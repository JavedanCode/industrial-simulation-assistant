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finaal\"/>
    </mc:Choice>
  </mc:AlternateContent>
  <bookViews>
    <workbookView xWindow="285" yWindow="1590" windowWidth="22755" windowHeight="10650" tabRatio="790" activeTab="1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ContinuousTimeStatsByRep!$A$1:$L$691</definedName>
    <definedName name="ExternalData_1" localSheetId="4" hidden="1">CounterStatsByRep!$A$1:$G$76</definedName>
    <definedName name="ExternalData_1" localSheetId="2" hidden="1">DiscreteTimeStatsByRep!$A$1:$K$2</definedName>
    <definedName name="ExternalData_1" localSheetId="6" hidden="1">FrequencyStatsByRep!$A$1:$K$2</definedName>
    <definedName name="ExternalData_1" localSheetId="5" hidden="1">OutputStatsByRep!$A$1:$H$406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62913"/>
  <pivotCaches>
    <pivotCache cacheId="70" r:id="rId8"/>
    <pivotCache cacheId="76" r:id="rId9"/>
    <pivotCache cacheId="82" r:id="rId10"/>
    <pivotCache cacheId="88" r:id="rId11"/>
    <pivotCache cacheId="9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I282" i="20"/>
  <c r="I283" i="20"/>
  <c r="I284" i="20"/>
  <c r="I285" i="20"/>
  <c r="I286" i="20"/>
  <c r="I287" i="20"/>
  <c r="I288" i="20"/>
  <c r="I289" i="20"/>
  <c r="I290" i="20"/>
  <c r="I291" i="20"/>
  <c r="I292" i="20"/>
  <c r="I293" i="20"/>
  <c r="I294" i="20"/>
  <c r="I295" i="20"/>
  <c r="I296" i="20"/>
  <c r="I297" i="20"/>
  <c r="I298" i="20"/>
  <c r="I299" i="20"/>
  <c r="I300" i="20"/>
  <c r="I301" i="20"/>
  <c r="I302" i="20"/>
  <c r="I303" i="20"/>
  <c r="I304" i="20"/>
  <c r="I305" i="20"/>
  <c r="I306" i="20"/>
  <c r="I307" i="20"/>
  <c r="I308" i="20"/>
  <c r="I309" i="20"/>
  <c r="I310" i="20"/>
  <c r="I311" i="20"/>
  <c r="I312" i="20"/>
  <c r="I313" i="20"/>
  <c r="I314" i="20"/>
  <c r="I315" i="20"/>
  <c r="I316" i="20"/>
  <c r="I317" i="20"/>
  <c r="I318" i="20"/>
  <c r="I319" i="20"/>
  <c r="I320" i="20"/>
  <c r="I321" i="20"/>
  <c r="I322" i="20"/>
  <c r="I323" i="20"/>
  <c r="I324" i="20"/>
  <c r="I325" i="20"/>
  <c r="I326" i="20"/>
  <c r="I327" i="20"/>
  <c r="I328" i="20"/>
  <c r="I329" i="20"/>
  <c r="I330" i="20"/>
  <c r="I331" i="20"/>
  <c r="I332" i="20"/>
  <c r="I333" i="20"/>
  <c r="I334" i="20"/>
  <c r="I335" i="20"/>
  <c r="I336" i="20"/>
  <c r="I337" i="20"/>
  <c r="I338" i="20"/>
  <c r="I339" i="20"/>
  <c r="I340" i="20"/>
  <c r="I341" i="20"/>
  <c r="I342" i="20"/>
  <c r="I343" i="20"/>
  <c r="I344" i="20"/>
  <c r="I345" i="20"/>
  <c r="I346" i="20"/>
  <c r="I347" i="20"/>
  <c r="I348" i="20"/>
  <c r="I349" i="20"/>
  <c r="I350" i="20"/>
  <c r="I351" i="20"/>
  <c r="I352" i="20"/>
  <c r="I353" i="20"/>
  <c r="I354" i="20"/>
  <c r="I355" i="20"/>
  <c r="I356" i="20"/>
  <c r="I357" i="20"/>
  <c r="I358" i="20"/>
  <c r="I359" i="20"/>
  <c r="I360" i="20"/>
  <c r="I361" i="20"/>
  <c r="I362" i="20"/>
  <c r="I363" i="20"/>
  <c r="I364" i="20"/>
  <c r="I365" i="20"/>
  <c r="I366" i="20"/>
  <c r="I367" i="20"/>
  <c r="I368" i="20"/>
  <c r="I369" i="20"/>
  <c r="I370" i="20"/>
  <c r="I371" i="20"/>
  <c r="I372" i="20"/>
  <c r="I373" i="20"/>
  <c r="I374" i="20"/>
  <c r="I375" i="20"/>
  <c r="I376" i="20"/>
  <c r="I377" i="20"/>
  <c r="I378" i="20"/>
  <c r="I379" i="20"/>
  <c r="I380" i="20"/>
  <c r="I381" i="20"/>
  <c r="I382" i="20"/>
  <c r="I383" i="20"/>
  <c r="I384" i="20"/>
  <c r="I385" i="20"/>
  <c r="I386" i="20"/>
  <c r="I387" i="20"/>
  <c r="I388" i="20"/>
  <c r="I389" i="20"/>
  <c r="I390" i="20"/>
  <c r="I391" i="20"/>
  <c r="I392" i="20"/>
  <c r="I393" i="20"/>
  <c r="I394" i="20"/>
  <c r="I395" i="20"/>
  <c r="I396" i="20"/>
  <c r="I397" i="20"/>
  <c r="I398" i="20"/>
  <c r="I399" i="20"/>
  <c r="I400" i="20"/>
  <c r="I401" i="20"/>
  <c r="I402" i="20"/>
  <c r="I403" i="20"/>
  <c r="I404" i="20"/>
  <c r="I405" i="20"/>
  <c r="I406" i="20"/>
  <c r="J2" i="20" a="1"/>
  <c r="J2" i="20"/>
  <c r="J3" i="20" a="1"/>
  <c r="J3" i="20" s="1"/>
  <c r="J4" i="20" a="1"/>
  <c r="J4" i="20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/>
  <c r="J16" i="20" a="1"/>
  <c r="J16" i="20" s="1"/>
  <c r="J17" i="20" a="1"/>
  <c r="J17" i="20" s="1"/>
  <c r="J18" i="20" a="1"/>
  <c r="J18" i="20" s="1"/>
  <c r="J19" i="20" a="1"/>
  <c r="J19" i="20" s="1"/>
  <c r="J20" i="20" a="1"/>
  <c r="J20" i="20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/>
  <c r="J32" i="20" a="1"/>
  <c r="J32" i="20"/>
  <c r="J33" i="20" a="1"/>
  <c r="J33" i="20" s="1"/>
  <c r="J34" i="20" a="1"/>
  <c r="J34" i="20" s="1"/>
  <c r="J35" i="20" a="1"/>
  <c r="J35" i="20" s="1"/>
  <c r="J36" i="20" a="1"/>
  <c r="J36" i="20"/>
  <c r="J37" i="20" a="1"/>
  <c r="J37" i="20" s="1"/>
  <c r="J38" i="20" a="1"/>
  <c r="J38" i="20" s="1"/>
  <c r="J39" i="20" a="1"/>
  <c r="J39" i="20" s="1"/>
  <c r="J40" i="20" a="1"/>
  <c r="J40" i="20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/>
  <c r="J47" i="20" a="1"/>
  <c r="J47" i="20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/>
  <c r="J65" i="20" a="1"/>
  <c r="J65" i="20" s="1"/>
  <c r="J66" i="20" a="1"/>
  <c r="J66" i="20" s="1"/>
  <c r="J67" i="20" a="1"/>
  <c r="J67" i="20" s="1"/>
  <c r="J68" i="20" a="1"/>
  <c r="J68" i="20" s="1"/>
  <c r="N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 s="1"/>
  <c r="J84" i="20" a="1"/>
  <c r="J84" i="20"/>
  <c r="J85" i="20" a="1"/>
  <c r="J85" i="20" s="1"/>
  <c r="J86" i="20" a="1"/>
  <c r="J86" i="20"/>
  <c r="J87" i="20" a="1"/>
  <c r="J87" i="20" s="1"/>
  <c r="J88" i="20" a="1"/>
  <c r="J88" i="20" s="1"/>
  <c r="J89" i="20" a="1"/>
  <c r="J89" i="20" s="1"/>
  <c r="J90" i="20" a="1"/>
  <c r="J90" i="20" s="1"/>
  <c r="J91" i="20" a="1"/>
  <c r="J91" i="20"/>
  <c r="J92" i="20" a="1"/>
  <c r="J92" i="20" s="1"/>
  <c r="J93" i="20" a="1"/>
  <c r="J93" i="20" s="1"/>
  <c r="J94" i="20" a="1"/>
  <c r="J94" i="20" s="1"/>
  <c r="J95" i="20" a="1"/>
  <c r="J95" i="20"/>
  <c r="J96" i="20" a="1"/>
  <c r="J96" i="20" s="1"/>
  <c r="J97" i="20" a="1"/>
  <c r="J97" i="20" s="1"/>
  <c r="J98" i="20" a="1"/>
  <c r="J98" i="20"/>
  <c r="J99" i="20" a="1"/>
  <c r="J99" i="20" s="1"/>
  <c r="J100" i="20" a="1"/>
  <c r="J100" i="20" s="1"/>
  <c r="J101" i="20" a="1"/>
  <c r="J101" i="20" s="1"/>
  <c r="J102" i="20" a="1"/>
  <c r="J102" i="20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/>
  <c r="J121" i="20" a="1"/>
  <c r="J121" i="20" s="1"/>
  <c r="J122" i="20" a="1"/>
  <c r="J122" i="20" s="1"/>
  <c r="J123" i="20" a="1"/>
  <c r="J123" i="20"/>
  <c r="J124" i="20" a="1"/>
  <c r="J124" i="20" s="1"/>
  <c r="J125" i="20" a="1"/>
  <c r="J125" i="20" s="1"/>
  <c r="J126" i="20" a="1"/>
  <c r="J126" i="20" s="1"/>
  <c r="J127" i="20" a="1"/>
  <c r="J127" i="20" s="1"/>
  <c r="N127" i="20" s="1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/>
  <c r="J137" i="20" a="1"/>
  <c r="J137" i="20" s="1"/>
  <c r="J138" i="20" a="1"/>
  <c r="J138" i="20" s="1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/>
  <c r="J144" i="20" a="1"/>
  <c r="J144" i="20" s="1"/>
  <c r="J145" i="20" a="1"/>
  <c r="J145" i="20" s="1"/>
  <c r="J146" i="20" a="1"/>
  <c r="J146" i="20" s="1"/>
  <c r="J147" i="20" a="1"/>
  <c r="J147" i="20" s="1"/>
  <c r="J148" i="20" a="1"/>
  <c r="J148" i="20"/>
  <c r="J149" i="20" a="1"/>
  <c r="J149" i="20" s="1"/>
  <c r="J150" i="20" a="1"/>
  <c r="J150" i="20" s="1"/>
  <c r="J151" i="20" a="1"/>
  <c r="J151" i="20" s="1"/>
  <c r="J152" i="20" a="1"/>
  <c r="J152" i="20"/>
  <c r="J153" i="20" a="1"/>
  <c r="J153" i="20" s="1"/>
  <c r="J154" i="20" a="1"/>
  <c r="J154" i="20" s="1"/>
  <c r="J155" i="20" a="1"/>
  <c r="J155" i="20" s="1"/>
  <c r="J156" i="20" a="1"/>
  <c r="J156" i="20" s="1"/>
  <c r="J157" i="20" a="1"/>
  <c r="J157" i="20" s="1"/>
  <c r="J158" i="20" a="1"/>
  <c r="J158" i="20" s="1"/>
  <c r="J159" i="20" a="1"/>
  <c r="J159" i="20" s="1"/>
  <c r="J160" i="20" a="1"/>
  <c r="J160" i="20" s="1"/>
  <c r="J161" i="20" a="1"/>
  <c r="J161" i="20" s="1"/>
  <c r="J162" i="20" a="1"/>
  <c r="J162" i="20" s="1"/>
  <c r="J163" i="20" a="1"/>
  <c r="J163" i="20" s="1"/>
  <c r="J164" i="20" a="1"/>
  <c r="J164" i="20"/>
  <c r="J165" i="20" a="1"/>
  <c r="J165" i="20" s="1"/>
  <c r="J166" i="20" a="1"/>
  <c r="J166" i="20"/>
  <c r="J167" i="20" a="1"/>
  <c r="J167" i="20" s="1"/>
  <c r="J168" i="20" a="1"/>
  <c r="J168" i="20" s="1"/>
  <c r="J169" i="20" a="1"/>
  <c r="J169" i="20" s="1"/>
  <c r="J170" i="20" a="1"/>
  <c r="J170" i="20" s="1"/>
  <c r="J171" i="20" a="1"/>
  <c r="J171" i="20"/>
  <c r="J172" i="20" a="1"/>
  <c r="J172" i="20" s="1"/>
  <c r="J173" i="20" a="1"/>
  <c r="J173" i="20" s="1"/>
  <c r="J174" i="20" a="1"/>
  <c r="J174" i="20" s="1"/>
  <c r="J175" i="20" a="1"/>
  <c r="J175" i="20" s="1"/>
  <c r="J176" i="20" a="1"/>
  <c r="J176" i="20" s="1"/>
  <c r="J177" i="20" a="1"/>
  <c r="J177" i="20" s="1"/>
  <c r="J178" i="20" a="1"/>
  <c r="J178" i="20"/>
  <c r="J179" i="20" a="1"/>
  <c r="J179" i="20" s="1"/>
  <c r="J180" i="20" a="1"/>
  <c r="J180" i="20" s="1"/>
  <c r="J181" i="20" a="1"/>
  <c r="J181" i="20" s="1"/>
  <c r="J182" i="20" a="1"/>
  <c r="J182" i="20" s="1"/>
  <c r="J183" i="20" a="1"/>
  <c r="J183" i="20" s="1"/>
  <c r="J184" i="20" a="1"/>
  <c r="J184" i="20"/>
  <c r="J185" i="20" a="1"/>
  <c r="J185" i="20" s="1"/>
  <c r="J186" i="20" a="1"/>
  <c r="J186" i="20" s="1"/>
  <c r="J187" i="20" a="1"/>
  <c r="J187" i="20"/>
  <c r="J188" i="20" a="1"/>
  <c r="J188" i="20" s="1"/>
  <c r="J189" i="20" a="1"/>
  <c r="J189" i="20" s="1"/>
  <c r="J190" i="20" a="1"/>
  <c r="J190" i="20" s="1"/>
  <c r="J191" i="20" a="1"/>
  <c r="J191" i="20" s="1"/>
  <c r="J192" i="20" a="1"/>
  <c r="J192" i="20" s="1"/>
  <c r="J193" i="20" a="1"/>
  <c r="J193" i="20" s="1"/>
  <c r="J194" i="20" a="1"/>
  <c r="J194" i="20" s="1"/>
  <c r="J195" i="20" a="1"/>
  <c r="J195" i="20" s="1"/>
  <c r="J196" i="20" a="1"/>
  <c r="J196" i="20" s="1"/>
  <c r="J197" i="20" a="1"/>
  <c r="J197" i="20" s="1"/>
  <c r="J198" i="20" a="1"/>
  <c r="J198" i="20" s="1"/>
  <c r="J199" i="20" a="1"/>
  <c r="J199" i="20" s="1"/>
  <c r="J200" i="20" a="1"/>
  <c r="J200" i="20"/>
  <c r="J201" i="20" a="1"/>
  <c r="J201" i="20" s="1"/>
  <c r="J202" i="20" a="1"/>
  <c r="J202" i="20" s="1"/>
  <c r="J203" i="20" a="1"/>
  <c r="J203" i="20" s="1"/>
  <c r="J204" i="20" a="1"/>
  <c r="J204" i="20" s="1"/>
  <c r="J205" i="20" a="1"/>
  <c r="J205" i="20" s="1"/>
  <c r="J206" i="20" a="1"/>
  <c r="J206" i="20" s="1"/>
  <c r="J207" i="20" a="1"/>
  <c r="J207" i="20"/>
  <c r="J208" i="20" a="1"/>
  <c r="J208" i="20" s="1"/>
  <c r="J209" i="20" a="1"/>
  <c r="J209" i="20" s="1"/>
  <c r="J210" i="20" a="1"/>
  <c r="J210" i="20" s="1"/>
  <c r="J211" i="20" a="1"/>
  <c r="J211" i="20" s="1"/>
  <c r="J212" i="20" a="1"/>
  <c r="J212" i="20"/>
  <c r="J213" i="20" a="1"/>
  <c r="J213" i="20" s="1"/>
  <c r="J214" i="20" a="1"/>
  <c r="J214" i="20" s="1"/>
  <c r="J215" i="20" a="1"/>
  <c r="J215" i="20" s="1"/>
  <c r="J216" i="20" a="1"/>
  <c r="J216" i="20"/>
  <c r="J217" i="20" a="1"/>
  <c r="J217" i="20" s="1"/>
  <c r="J218" i="20" a="1"/>
  <c r="J218" i="20" s="1"/>
  <c r="J219" i="20" a="1"/>
  <c r="J219" i="20" s="1"/>
  <c r="J220" i="20" a="1"/>
  <c r="J220" i="20" s="1"/>
  <c r="J221" i="20" a="1"/>
  <c r="J221" i="20" s="1"/>
  <c r="J222" i="20" a="1"/>
  <c r="J222" i="20" s="1"/>
  <c r="J223" i="20" a="1"/>
  <c r="J223" i="20" s="1"/>
  <c r="J224" i="20" a="1"/>
  <c r="J224" i="20" s="1"/>
  <c r="J225" i="20" a="1"/>
  <c r="J225" i="20" s="1"/>
  <c r="J226" i="20" a="1"/>
  <c r="J226" i="20" s="1"/>
  <c r="J227" i="20" a="1"/>
  <c r="J227" i="20" s="1"/>
  <c r="J228" i="20" a="1"/>
  <c r="J228" i="20"/>
  <c r="J229" i="20" a="1"/>
  <c r="J229" i="20" s="1"/>
  <c r="J230" i="20" a="1"/>
  <c r="J230" i="20"/>
  <c r="J231" i="20" a="1"/>
  <c r="J231" i="20" s="1"/>
  <c r="J232" i="20" a="1"/>
  <c r="J232" i="20" s="1"/>
  <c r="J233" i="20" a="1"/>
  <c r="J233" i="20" s="1"/>
  <c r="J234" i="20" a="1"/>
  <c r="J234" i="20" s="1"/>
  <c r="J235" i="20" a="1"/>
  <c r="J235" i="20"/>
  <c r="J236" i="20" a="1"/>
  <c r="J236" i="20" s="1"/>
  <c r="J237" i="20" a="1"/>
  <c r="J237" i="20" s="1"/>
  <c r="J238" i="20" a="1"/>
  <c r="J238" i="20" s="1"/>
  <c r="J239" i="20" a="1"/>
  <c r="J239" i="20" s="1"/>
  <c r="N239" i="20" s="1"/>
  <c r="J240" i="20" a="1"/>
  <c r="J240" i="20" s="1"/>
  <c r="J241" i="20" a="1"/>
  <c r="J241" i="20" s="1"/>
  <c r="J242" i="20" a="1"/>
  <c r="J242" i="20"/>
  <c r="J243" i="20" a="1"/>
  <c r="J243" i="20" s="1"/>
  <c r="J244" i="20" a="1"/>
  <c r="J244" i="20" s="1"/>
  <c r="J245" i="20" a="1"/>
  <c r="J245" i="20" s="1"/>
  <c r="J246" i="20" a="1"/>
  <c r="J246" i="20"/>
  <c r="J247" i="20" a="1"/>
  <c r="J247" i="20" s="1"/>
  <c r="J248" i="20" a="1"/>
  <c r="J248" i="20"/>
  <c r="J249" i="20" a="1"/>
  <c r="J249" i="20" s="1"/>
  <c r="J250" i="20" a="1"/>
  <c r="J250" i="20" s="1"/>
  <c r="J251" i="20" a="1"/>
  <c r="J251" i="20" s="1"/>
  <c r="J252" i="20" a="1"/>
  <c r="J252" i="20" s="1"/>
  <c r="J253" i="20" a="1"/>
  <c r="J253" i="20" s="1"/>
  <c r="J254" i="20" a="1"/>
  <c r="J254" i="20" s="1"/>
  <c r="J255" i="20" a="1"/>
  <c r="J255" i="20"/>
  <c r="J256" i="20" a="1"/>
  <c r="J256" i="20" s="1"/>
  <c r="J257" i="20" a="1"/>
  <c r="J257" i="20" s="1"/>
  <c r="J258" i="20" a="1"/>
  <c r="J258" i="20" s="1"/>
  <c r="J259" i="20" a="1"/>
  <c r="J259" i="20" s="1"/>
  <c r="J260" i="20" a="1"/>
  <c r="J260" i="20"/>
  <c r="J261" i="20" a="1"/>
  <c r="J261" i="20" s="1"/>
  <c r="J262" i="20" a="1"/>
  <c r="J262" i="20" s="1"/>
  <c r="J263" i="20" a="1"/>
  <c r="J263" i="20" s="1"/>
  <c r="J264" i="20" a="1"/>
  <c r="J264" i="20"/>
  <c r="J265" i="20" a="1"/>
  <c r="J265" i="20" s="1"/>
  <c r="J266" i="20" a="1"/>
  <c r="J266" i="20" s="1"/>
  <c r="J267" i="20" a="1"/>
  <c r="J267" i="20" s="1"/>
  <c r="J268" i="20" a="1"/>
  <c r="J268" i="20" s="1"/>
  <c r="J269" i="20" a="1"/>
  <c r="J269" i="20" s="1"/>
  <c r="J270" i="20" a="1"/>
  <c r="J270" i="20" s="1"/>
  <c r="J271" i="20" a="1"/>
  <c r="J271" i="20"/>
  <c r="J272" i="20" a="1"/>
  <c r="J272" i="20" s="1"/>
  <c r="J273" i="20" a="1"/>
  <c r="J273" i="20" s="1"/>
  <c r="J274" i="20" a="1"/>
  <c r="J274" i="20" s="1"/>
  <c r="J275" i="20" a="1"/>
  <c r="J275" i="20" s="1"/>
  <c r="J276" i="20" a="1"/>
  <c r="J276" i="20" s="1"/>
  <c r="J277" i="20" a="1"/>
  <c r="J277" i="20" s="1"/>
  <c r="J278" i="20" a="1"/>
  <c r="J278" i="20" s="1"/>
  <c r="J279" i="20" a="1"/>
  <c r="J279" i="20" s="1"/>
  <c r="J280" i="20" a="1"/>
  <c r="J280" i="20" s="1"/>
  <c r="J281" i="20" a="1"/>
  <c r="J281" i="20" s="1"/>
  <c r="J282" i="20" a="1"/>
  <c r="J282" i="20" s="1"/>
  <c r="J283" i="20" a="1"/>
  <c r="J283" i="20"/>
  <c r="J284" i="20" a="1"/>
  <c r="J284" i="20" s="1"/>
  <c r="J285" i="20" a="1"/>
  <c r="J285" i="20" s="1"/>
  <c r="J286" i="20" a="1"/>
  <c r="J286" i="20" s="1"/>
  <c r="J287" i="20" a="1"/>
  <c r="J287" i="20" s="1"/>
  <c r="J288" i="20" a="1"/>
  <c r="J288" i="20" s="1"/>
  <c r="J289" i="20" a="1"/>
  <c r="J289" i="20" s="1"/>
  <c r="J290" i="20" a="1"/>
  <c r="J290" i="20" s="1"/>
  <c r="J291" i="20" a="1"/>
  <c r="J291" i="20" s="1"/>
  <c r="J292" i="20" a="1"/>
  <c r="J292" i="20"/>
  <c r="J293" i="20" a="1"/>
  <c r="J293" i="20" s="1"/>
  <c r="J294" i="20" a="1"/>
  <c r="J294" i="20" s="1"/>
  <c r="J295" i="20" a="1"/>
  <c r="J295" i="20" s="1"/>
  <c r="J296" i="20" a="1"/>
  <c r="J296" i="20" s="1"/>
  <c r="J297" i="20" a="1"/>
  <c r="J297" i="20" s="1"/>
  <c r="J298" i="20" a="1"/>
  <c r="J298" i="20" s="1"/>
  <c r="J299" i="20" a="1"/>
  <c r="J299" i="20" s="1"/>
  <c r="J300" i="20" a="1"/>
  <c r="J300" i="20" s="1"/>
  <c r="J301" i="20" a="1"/>
  <c r="J301" i="20" s="1"/>
  <c r="J302" i="20" a="1"/>
  <c r="J302" i="20" s="1"/>
  <c r="J303" i="20" a="1"/>
  <c r="J303" i="20" s="1"/>
  <c r="J304" i="20" a="1"/>
  <c r="J304" i="20" s="1"/>
  <c r="J305" i="20" a="1"/>
  <c r="J305" i="20" s="1"/>
  <c r="J306" i="20" a="1"/>
  <c r="J306" i="20" s="1"/>
  <c r="J307" i="20" a="1"/>
  <c r="J307" i="20" s="1"/>
  <c r="J308" i="20" a="1"/>
  <c r="J308" i="20" s="1"/>
  <c r="J309" i="20" a="1"/>
  <c r="J309" i="20" s="1"/>
  <c r="J310" i="20" a="1"/>
  <c r="J310" i="20"/>
  <c r="J311" i="20" a="1"/>
  <c r="J311" i="20" s="1"/>
  <c r="J312" i="20" a="1"/>
  <c r="J312" i="20" s="1"/>
  <c r="J313" i="20" a="1"/>
  <c r="J313" i="20" s="1"/>
  <c r="J314" i="20" a="1"/>
  <c r="J314" i="20" s="1"/>
  <c r="J315" i="20" a="1"/>
  <c r="J315" i="20" s="1"/>
  <c r="J316" i="20" a="1"/>
  <c r="J316" i="20" s="1"/>
  <c r="J317" i="20" a="1"/>
  <c r="J317" i="20" s="1"/>
  <c r="J318" i="20" a="1"/>
  <c r="J318" i="20" s="1"/>
  <c r="J319" i="20" a="1"/>
  <c r="J319" i="20" s="1"/>
  <c r="J320" i="20" a="1"/>
  <c r="J320" i="20" s="1"/>
  <c r="J321" i="20" a="1"/>
  <c r="J321" i="20" s="1"/>
  <c r="J322" i="20" a="1"/>
  <c r="J322" i="20" s="1"/>
  <c r="J323" i="20" a="1"/>
  <c r="J323" i="20" s="1"/>
  <c r="J324" i="20" a="1"/>
  <c r="J324" i="20" s="1"/>
  <c r="J325" i="20" a="1"/>
  <c r="J325" i="20" s="1"/>
  <c r="J326" i="20" a="1"/>
  <c r="J326" i="20" s="1"/>
  <c r="J327" i="20" a="1"/>
  <c r="J327" i="20" s="1"/>
  <c r="J328" i="20" a="1"/>
  <c r="J328" i="20"/>
  <c r="J329" i="20" a="1"/>
  <c r="J329" i="20" s="1"/>
  <c r="J330" i="20" a="1"/>
  <c r="J330" i="20" s="1"/>
  <c r="J331" i="20" a="1"/>
  <c r="J331" i="20" s="1"/>
  <c r="J332" i="20" a="1"/>
  <c r="J332" i="20" s="1"/>
  <c r="J333" i="20" a="1"/>
  <c r="J333" i="20" s="1"/>
  <c r="J334" i="20" a="1"/>
  <c r="J334" i="20" s="1"/>
  <c r="J335" i="20" a="1"/>
  <c r="J335" i="20"/>
  <c r="J336" i="20" a="1"/>
  <c r="J336" i="20" s="1"/>
  <c r="J337" i="20" a="1"/>
  <c r="J337" i="20" s="1"/>
  <c r="J338" i="20" a="1"/>
  <c r="J338" i="20" s="1"/>
  <c r="J339" i="20" a="1"/>
  <c r="J339" i="20" s="1"/>
  <c r="J340" i="20" a="1"/>
  <c r="J340" i="20" s="1"/>
  <c r="J341" i="20" a="1"/>
  <c r="J341" i="20" s="1"/>
  <c r="J342" i="20" a="1"/>
  <c r="J342" i="20" s="1"/>
  <c r="J343" i="20" a="1"/>
  <c r="J343" i="20" s="1"/>
  <c r="J344" i="20" a="1"/>
  <c r="J344" i="20" s="1"/>
  <c r="J345" i="20" a="1"/>
  <c r="J345" i="20" s="1"/>
  <c r="J346" i="20" a="1"/>
  <c r="J346" i="20"/>
  <c r="J347" i="20" a="1"/>
  <c r="J347" i="20" s="1"/>
  <c r="J348" i="20" a="1"/>
  <c r="J348" i="20" s="1"/>
  <c r="J349" i="20" a="1"/>
  <c r="J349" i="20" s="1"/>
  <c r="J350" i="20" a="1"/>
  <c r="J350" i="20" s="1"/>
  <c r="J351" i="20" a="1"/>
  <c r="J351" i="20"/>
  <c r="J352" i="20" a="1"/>
  <c r="J352" i="20" s="1"/>
  <c r="J353" i="20" a="1"/>
  <c r="J353" i="20" s="1"/>
  <c r="J354" i="20" a="1"/>
  <c r="J354" i="20" s="1"/>
  <c r="J355" i="20" a="1"/>
  <c r="J355" i="20" s="1"/>
  <c r="J356" i="20" a="1"/>
  <c r="J356" i="20"/>
  <c r="J357" i="20" a="1"/>
  <c r="J357" i="20" s="1"/>
  <c r="J358" i="20" a="1"/>
  <c r="J358" i="20" s="1"/>
  <c r="J359" i="20" a="1"/>
  <c r="J359" i="20" s="1"/>
  <c r="J360" i="20" a="1"/>
  <c r="J360" i="20"/>
  <c r="J361" i="20" a="1"/>
  <c r="J361" i="20" s="1"/>
  <c r="J362" i="20" a="1"/>
  <c r="J362" i="20" s="1"/>
  <c r="J363" i="20" a="1"/>
  <c r="J363" i="20" s="1"/>
  <c r="J364" i="20" a="1"/>
  <c r="J364" i="20" s="1"/>
  <c r="J365" i="20" a="1"/>
  <c r="J365" i="20" s="1"/>
  <c r="J366" i="20" a="1"/>
  <c r="J366" i="20" s="1"/>
  <c r="J367" i="20" a="1"/>
  <c r="J367" i="20" s="1"/>
  <c r="J368" i="20" a="1"/>
  <c r="J368" i="20" s="1"/>
  <c r="J369" i="20" a="1"/>
  <c r="J369" i="20" s="1"/>
  <c r="J370" i="20" a="1"/>
  <c r="J370" i="20" s="1"/>
  <c r="J371" i="20" a="1"/>
  <c r="J371" i="20" s="1"/>
  <c r="J372" i="20" a="1"/>
  <c r="J372" i="20" s="1"/>
  <c r="J373" i="20" a="1"/>
  <c r="J373" i="20" s="1"/>
  <c r="J374" i="20" a="1"/>
  <c r="J374" i="20" s="1"/>
  <c r="J375" i="20" a="1"/>
  <c r="J375" i="20" s="1"/>
  <c r="J376" i="20" a="1"/>
  <c r="J376" i="20" s="1"/>
  <c r="J377" i="20" a="1"/>
  <c r="J377" i="20" s="1"/>
  <c r="J378" i="20" a="1"/>
  <c r="J378" i="20" s="1"/>
  <c r="J379" i="20" a="1"/>
  <c r="J379" i="20" s="1"/>
  <c r="J380" i="20" a="1"/>
  <c r="J380" i="20" s="1"/>
  <c r="J381" i="20" a="1"/>
  <c r="J381" i="20" s="1"/>
  <c r="J382" i="20" a="1"/>
  <c r="J382" i="20" s="1"/>
  <c r="J383" i="20" a="1"/>
  <c r="J383" i="20"/>
  <c r="J384" i="20" a="1"/>
  <c r="J384" i="20" s="1"/>
  <c r="J385" i="20" a="1"/>
  <c r="J385" i="20" s="1"/>
  <c r="J386" i="20" a="1"/>
  <c r="J386" i="20" s="1"/>
  <c r="J387" i="20" a="1"/>
  <c r="J387" i="20" s="1"/>
  <c r="J388" i="20" a="1"/>
  <c r="J388" i="20" s="1"/>
  <c r="J389" i="20" a="1"/>
  <c r="J389" i="20" s="1"/>
  <c r="J390" i="20" a="1"/>
  <c r="J390" i="20" s="1"/>
  <c r="J391" i="20" a="1"/>
  <c r="J391" i="20" s="1"/>
  <c r="J392" i="20" a="1"/>
  <c r="J392" i="20" s="1"/>
  <c r="J393" i="20" a="1"/>
  <c r="J393" i="20" s="1"/>
  <c r="J394" i="20" a="1"/>
  <c r="J394" i="20" s="1"/>
  <c r="J395" i="20" a="1"/>
  <c r="J395" i="20"/>
  <c r="J396" i="20" a="1"/>
  <c r="J396" i="20" s="1"/>
  <c r="J397" i="20" a="1"/>
  <c r="J397" i="20" s="1"/>
  <c r="J398" i="20" a="1"/>
  <c r="J398" i="20" s="1"/>
  <c r="J399" i="20" a="1"/>
  <c r="J399" i="20" s="1"/>
  <c r="J400" i="20" a="1"/>
  <c r="J400" i="20" s="1"/>
  <c r="J401" i="20" a="1"/>
  <c r="J401" i="20" s="1"/>
  <c r="J402" i="20" a="1"/>
  <c r="J402" i="20" s="1"/>
  <c r="J403" i="20" a="1"/>
  <c r="J403" i="20" s="1"/>
  <c r="J404" i="20" a="1"/>
  <c r="J404" i="20" s="1"/>
  <c r="J405" i="20" a="1"/>
  <c r="J405" i="20" s="1"/>
  <c r="J406" i="20" a="1"/>
  <c r="J406" i="20" s="1"/>
  <c r="K2" i="20" a="1"/>
  <c r="K2" i="20" s="1"/>
  <c r="K3" i="20" a="1"/>
  <c r="K3" i="20" s="1"/>
  <c r="K4" i="20" a="1"/>
  <c r="K4" i="20" s="1"/>
  <c r="K5" i="20" a="1"/>
  <c r="K5" i="20" s="1"/>
  <c r="K6" i="20" a="1"/>
  <c r="K6" i="20" s="1"/>
  <c r="K7" i="20" a="1"/>
  <c r="K7" i="20" s="1"/>
  <c r="K8" i="20" a="1"/>
  <c r="K8" i="20" s="1"/>
  <c r="K9" i="20" a="1"/>
  <c r="K9" i="20" s="1"/>
  <c r="K10" i="20" a="1"/>
  <c r="K10" i="20" s="1"/>
  <c r="K11" i="20" a="1"/>
  <c r="K11" i="20" s="1"/>
  <c r="K12" i="20" a="1"/>
  <c r="K12" i="20" s="1"/>
  <c r="K13" i="20" a="1"/>
  <c r="K13" i="20" s="1"/>
  <c r="K14" i="20" a="1"/>
  <c r="K14" i="20" s="1"/>
  <c r="K15" i="20" a="1"/>
  <c r="K15" i="20" s="1"/>
  <c r="K16" i="20" a="1"/>
  <c r="K16" i="20" s="1"/>
  <c r="K17" i="20" a="1"/>
  <c r="K17" i="20" s="1"/>
  <c r="K18" i="20" a="1"/>
  <c r="K18" i="20" s="1"/>
  <c r="K19" i="20" a="1"/>
  <c r="K19" i="20" s="1"/>
  <c r="K20" i="20" a="1"/>
  <c r="K20" i="20" s="1"/>
  <c r="K21" i="20" a="1"/>
  <c r="K21" i="20" s="1"/>
  <c r="K22" i="20" a="1"/>
  <c r="K22" i="20" s="1"/>
  <c r="K23" i="20" a="1"/>
  <c r="K23" i="20" s="1"/>
  <c r="K24" i="20" a="1"/>
  <c r="K24" i="20" s="1"/>
  <c r="K25" i="20" a="1"/>
  <c r="K25" i="20" s="1"/>
  <c r="K26" i="20" a="1"/>
  <c r="K26" i="20" s="1"/>
  <c r="K27" i="20" a="1"/>
  <c r="K27" i="20" s="1"/>
  <c r="K28" i="20" a="1"/>
  <c r="K28" i="20" s="1"/>
  <c r="K29" i="20" a="1"/>
  <c r="K29" i="20" s="1"/>
  <c r="K30" i="20" a="1"/>
  <c r="K30" i="20" s="1"/>
  <c r="K31" i="20" a="1"/>
  <c r="K31" i="20" s="1"/>
  <c r="K32" i="20" a="1"/>
  <c r="K32" i="20" s="1"/>
  <c r="K33" i="20" a="1"/>
  <c r="K33" i="20" s="1"/>
  <c r="K34" i="20" a="1"/>
  <c r="K34" i="20" s="1"/>
  <c r="K35" i="20" a="1"/>
  <c r="K35" i="20" s="1"/>
  <c r="K36" i="20" a="1"/>
  <c r="K36" i="20" s="1"/>
  <c r="K37" i="20" a="1"/>
  <c r="K37" i="20" s="1"/>
  <c r="K38" i="20" a="1"/>
  <c r="K38" i="20" s="1"/>
  <c r="K39" i="20" a="1"/>
  <c r="K39" i="20" s="1"/>
  <c r="K40" i="20" a="1"/>
  <c r="K40" i="20" s="1"/>
  <c r="K41" i="20" a="1"/>
  <c r="K41" i="20" s="1"/>
  <c r="K42" i="20" a="1"/>
  <c r="K42" i="20" s="1"/>
  <c r="K43" i="20" a="1"/>
  <c r="K43" i="20" s="1"/>
  <c r="K44" i="20" a="1"/>
  <c r="K44" i="20" s="1"/>
  <c r="K45" i="20" a="1"/>
  <c r="K45" i="20" s="1"/>
  <c r="K46" i="20" a="1"/>
  <c r="K46" i="20" s="1"/>
  <c r="K47" i="20" a="1"/>
  <c r="K47" i="20" s="1"/>
  <c r="K48" i="20" a="1"/>
  <c r="K48" i="20" s="1"/>
  <c r="K49" i="20" a="1"/>
  <c r="K49" i="20" s="1"/>
  <c r="K50" i="20" a="1"/>
  <c r="K50" i="20" s="1"/>
  <c r="K51" i="20" a="1"/>
  <c r="K51" i="20" s="1"/>
  <c r="K52" i="20" a="1"/>
  <c r="K52" i="20" s="1"/>
  <c r="K53" i="20" a="1"/>
  <c r="K53" i="20" s="1"/>
  <c r="K54" i="20" a="1"/>
  <c r="K54" i="20" s="1"/>
  <c r="K55" i="20" a="1"/>
  <c r="K55" i="20" s="1"/>
  <c r="K56" i="20" a="1"/>
  <c r="K56" i="20" s="1"/>
  <c r="K57" i="20" a="1"/>
  <c r="K57" i="20" s="1"/>
  <c r="K58" i="20" a="1"/>
  <c r="K58" i="20" s="1"/>
  <c r="K59" i="20" a="1"/>
  <c r="K59" i="20" s="1"/>
  <c r="K60" i="20" a="1"/>
  <c r="K60" i="20" s="1"/>
  <c r="K61" i="20" a="1"/>
  <c r="K61" i="20" s="1"/>
  <c r="K62" i="20" a="1"/>
  <c r="K62" i="20" s="1"/>
  <c r="K63" i="20" a="1"/>
  <c r="K63" i="20" s="1"/>
  <c r="K64" i="20" a="1"/>
  <c r="K64" i="20" s="1"/>
  <c r="K65" i="20" a="1"/>
  <c r="K65" i="20" s="1"/>
  <c r="K66" i="20" a="1"/>
  <c r="K66" i="20" s="1"/>
  <c r="K67" i="20" a="1"/>
  <c r="K67" i="20" s="1"/>
  <c r="K68" i="20" a="1"/>
  <c r="K68" i="20" s="1"/>
  <c r="K69" i="20" a="1"/>
  <c r="K69" i="20" s="1"/>
  <c r="K70" i="20" a="1"/>
  <c r="K70" i="20" s="1"/>
  <c r="K71" i="20" a="1"/>
  <c r="K71" i="20" s="1"/>
  <c r="K72" i="20" a="1"/>
  <c r="K72" i="20" s="1"/>
  <c r="K73" i="20" a="1"/>
  <c r="K73" i="20" s="1"/>
  <c r="K74" i="20" a="1"/>
  <c r="K74" i="20" s="1"/>
  <c r="K75" i="20" a="1"/>
  <c r="K75" i="20" s="1"/>
  <c r="K76" i="20" a="1"/>
  <c r="K76" i="20" s="1"/>
  <c r="K77" i="20" a="1"/>
  <c r="K77" i="20" s="1"/>
  <c r="K78" i="20" a="1"/>
  <c r="K78" i="20" s="1"/>
  <c r="K79" i="20" a="1"/>
  <c r="K79" i="20" s="1"/>
  <c r="K80" i="20" a="1"/>
  <c r="K80" i="20" s="1"/>
  <c r="K81" i="20" a="1"/>
  <c r="K81" i="20" s="1"/>
  <c r="K82" i="20" a="1"/>
  <c r="K82" i="20" s="1"/>
  <c r="K83" i="20" a="1"/>
  <c r="K83" i="20" s="1"/>
  <c r="K84" i="20" a="1"/>
  <c r="K84" i="20" s="1"/>
  <c r="K85" i="20" a="1"/>
  <c r="K85" i="20" s="1"/>
  <c r="K86" i="20" a="1"/>
  <c r="K86" i="20" s="1"/>
  <c r="K87" i="20" a="1"/>
  <c r="K87" i="20" s="1"/>
  <c r="K88" i="20" a="1"/>
  <c r="K88" i="20" s="1"/>
  <c r="K89" i="20" a="1"/>
  <c r="K89" i="20" s="1"/>
  <c r="K90" i="20" a="1"/>
  <c r="K90" i="20" s="1"/>
  <c r="K91" i="20" a="1"/>
  <c r="K91" i="20" s="1"/>
  <c r="K92" i="20" a="1"/>
  <c r="K92" i="20" s="1"/>
  <c r="K93" i="20" a="1"/>
  <c r="K93" i="20" s="1"/>
  <c r="K94" i="20" a="1"/>
  <c r="K94" i="20" s="1"/>
  <c r="K95" i="20" a="1"/>
  <c r="K95" i="20" s="1"/>
  <c r="K96" i="20" a="1"/>
  <c r="K96" i="20" s="1"/>
  <c r="K97" i="20" a="1"/>
  <c r="K97" i="20" s="1"/>
  <c r="K98" i="20" a="1"/>
  <c r="K98" i="20" s="1"/>
  <c r="K99" i="20" a="1"/>
  <c r="K99" i="20" s="1"/>
  <c r="K100" i="20" a="1"/>
  <c r="K100" i="20" s="1"/>
  <c r="K101" i="20" a="1"/>
  <c r="K101" i="20" s="1"/>
  <c r="K102" i="20" a="1"/>
  <c r="K102" i="20" s="1"/>
  <c r="K103" i="20" a="1"/>
  <c r="K103" i="20" s="1"/>
  <c r="K104" i="20" a="1"/>
  <c r="K104" i="20" s="1"/>
  <c r="K105" i="20" a="1"/>
  <c r="K105" i="20" s="1"/>
  <c r="K106" i="20" a="1"/>
  <c r="K106" i="20" s="1"/>
  <c r="K107" i="20" a="1"/>
  <c r="K107" i="20" s="1"/>
  <c r="K108" i="20" a="1"/>
  <c r="K108" i="20" s="1"/>
  <c r="K109" i="20" a="1"/>
  <c r="K109" i="20" s="1"/>
  <c r="K110" i="20" a="1"/>
  <c r="K110" i="20" s="1"/>
  <c r="K111" i="20" a="1"/>
  <c r="K111" i="20" s="1"/>
  <c r="K112" i="20" a="1"/>
  <c r="K112" i="20" s="1"/>
  <c r="K113" i="20" a="1"/>
  <c r="K113" i="20" s="1"/>
  <c r="K114" i="20" a="1"/>
  <c r="K114" i="20" s="1"/>
  <c r="K115" i="20" a="1"/>
  <c r="K115" i="20" s="1"/>
  <c r="K116" i="20" a="1"/>
  <c r="K116" i="20" s="1"/>
  <c r="K117" i="20" a="1"/>
  <c r="K117" i="20" s="1"/>
  <c r="K118" i="20" a="1"/>
  <c r="K118" i="20" s="1"/>
  <c r="K119" i="20" a="1"/>
  <c r="K119" i="20" s="1"/>
  <c r="K120" i="20" a="1"/>
  <c r="K120" i="20" s="1"/>
  <c r="K121" i="20" a="1"/>
  <c r="K121" i="20" s="1"/>
  <c r="K122" i="20" a="1"/>
  <c r="K122" i="20"/>
  <c r="K123" i="20" a="1"/>
  <c r="K123" i="20" s="1"/>
  <c r="K124" i="20" a="1"/>
  <c r="K124" i="20" s="1"/>
  <c r="K125" i="20" a="1"/>
  <c r="K125" i="20" s="1"/>
  <c r="K126" i="20" a="1"/>
  <c r="K126" i="20" s="1"/>
  <c r="K127" i="20" a="1"/>
  <c r="K127" i="20" s="1"/>
  <c r="K128" i="20" a="1"/>
  <c r="K128" i="20" s="1"/>
  <c r="K129" i="20" a="1"/>
  <c r="K129" i="20" s="1"/>
  <c r="K130" i="20" a="1"/>
  <c r="K130" i="20" s="1"/>
  <c r="K131" i="20" a="1"/>
  <c r="K131" i="20" s="1"/>
  <c r="K132" i="20" a="1"/>
  <c r="K132" i="20" s="1"/>
  <c r="K133" i="20" a="1"/>
  <c r="K133" i="20" s="1"/>
  <c r="K134" i="20" a="1"/>
  <c r="K134" i="20" s="1"/>
  <c r="K135" i="20" a="1"/>
  <c r="K135" i="20" s="1"/>
  <c r="K136" i="20" a="1"/>
  <c r="K136" i="20" s="1"/>
  <c r="K137" i="20" a="1"/>
  <c r="K137" i="20" s="1"/>
  <c r="K138" i="20" a="1"/>
  <c r="K138" i="20" s="1"/>
  <c r="K139" i="20" a="1"/>
  <c r="K139" i="20" s="1"/>
  <c r="K140" i="20" a="1"/>
  <c r="K140" i="20" s="1"/>
  <c r="K141" i="20" a="1"/>
  <c r="K141" i="20" s="1"/>
  <c r="K142" i="20" a="1"/>
  <c r="K142" i="20" s="1"/>
  <c r="K143" i="20" a="1"/>
  <c r="K143" i="20" s="1"/>
  <c r="K144" i="20" a="1"/>
  <c r="K144" i="20" s="1"/>
  <c r="K145" i="20" a="1"/>
  <c r="K145" i="20" s="1"/>
  <c r="K146" i="20" a="1"/>
  <c r="K146" i="20" s="1"/>
  <c r="K147" i="20" a="1"/>
  <c r="K147" i="20" s="1"/>
  <c r="K148" i="20" a="1"/>
  <c r="K148" i="20" s="1"/>
  <c r="K149" i="20" a="1"/>
  <c r="K149" i="20"/>
  <c r="K150" i="20" a="1"/>
  <c r="K150" i="20" s="1"/>
  <c r="K151" i="20" a="1"/>
  <c r="K151" i="20" s="1"/>
  <c r="K152" i="20" a="1"/>
  <c r="K152" i="20" s="1"/>
  <c r="K153" i="20" a="1"/>
  <c r="K153" i="20" s="1"/>
  <c r="K154" i="20" a="1"/>
  <c r="K154" i="20" s="1"/>
  <c r="K155" i="20" a="1"/>
  <c r="K155" i="20" s="1"/>
  <c r="K156" i="20" a="1"/>
  <c r="K156" i="20" s="1"/>
  <c r="K157" i="20" a="1"/>
  <c r="K157" i="20" s="1"/>
  <c r="K158" i="20" a="1"/>
  <c r="K158" i="20" s="1"/>
  <c r="K159" i="20" a="1"/>
  <c r="K159" i="20" s="1"/>
  <c r="K160" i="20" a="1"/>
  <c r="K160" i="20"/>
  <c r="K161" i="20" a="1"/>
  <c r="K161" i="20" s="1"/>
  <c r="K162" i="20" a="1"/>
  <c r="K162" i="20" s="1"/>
  <c r="K163" i="20" a="1"/>
  <c r="K163" i="20" s="1"/>
  <c r="K164" i="20" a="1"/>
  <c r="K164" i="20" s="1"/>
  <c r="K165" i="20" a="1"/>
  <c r="K165" i="20" s="1"/>
  <c r="K166" i="20" a="1"/>
  <c r="K166" i="20" s="1"/>
  <c r="K167" i="20" a="1"/>
  <c r="K167" i="20" s="1"/>
  <c r="K168" i="20" a="1"/>
  <c r="K168" i="20" s="1"/>
  <c r="K169" i="20" a="1"/>
  <c r="K169" i="20" s="1"/>
  <c r="K170" i="20" a="1"/>
  <c r="K170" i="20" s="1"/>
  <c r="K171" i="20" a="1"/>
  <c r="K171" i="20" s="1"/>
  <c r="K172" i="20" a="1"/>
  <c r="K172" i="20" s="1"/>
  <c r="K173" i="20" a="1"/>
  <c r="K173" i="20" s="1"/>
  <c r="K174" i="20" a="1"/>
  <c r="K174" i="20" s="1"/>
  <c r="K175" i="20" a="1"/>
  <c r="K175" i="20" s="1"/>
  <c r="K176" i="20" a="1"/>
  <c r="K176" i="20" s="1"/>
  <c r="K177" i="20" a="1"/>
  <c r="K177" i="20" s="1"/>
  <c r="K178" i="20" a="1"/>
  <c r="K178" i="20" s="1"/>
  <c r="K179" i="20" a="1"/>
  <c r="K179" i="20" s="1"/>
  <c r="K180" i="20" a="1"/>
  <c r="K180" i="20" s="1"/>
  <c r="K181" i="20" a="1"/>
  <c r="K181" i="20" s="1"/>
  <c r="K182" i="20" a="1"/>
  <c r="K182" i="20" s="1"/>
  <c r="K183" i="20" a="1"/>
  <c r="K183" i="20" s="1"/>
  <c r="K184" i="20" a="1"/>
  <c r="K184" i="20" s="1"/>
  <c r="K185" i="20" a="1"/>
  <c r="K185" i="20" s="1"/>
  <c r="K186" i="20" a="1"/>
  <c r="K186" i="20" s="1"/>
  <c r="K187" i="20" a="1"/>
  <c r="K187" i="20" s="1"/>
  <c r="K188" i="20" a="1"/>
  <c r="K188" i="20" s="1"/>
  <c r="K189" i="20" a="1"/>
  <c r="K189" i="20" s="1"/>
  <c r="K190" i="20" a="1"/>
  <c r="K190" i="20" s="1"/>
  <c r="K191" i="20" a="1"/>
  <c r="K191" i="20" s="1"/>
  <c r="K192" i="20" a="1"/>
  <c r="K192" i="20" s="1"/>
  <c r="K193" i="20" a="1"/>
  <c r="K193" i="20" s="1"/>
  <c r="K194" i="20" a="1"/>
  <c r="K194" i="20" s="1"/>
  <c r="K195" i="20" a="1"/>
  <c r="K195" i="20" s="1"/>
  <c r="K196" i="20" a="1"/>
  <c r="K196" i="20" s="1"/>
  <c r="K197" i="20" a="1"/>
  <c r="K197" i="20" s="1"/>
  <c r="K198" i="20" a="1"/>
  <c r="K198" i="20" s="1"/>
  <c r="K199" i="20" a="1"/>
  <c r="K199" i="20" s="1"/>
  <c r="K200" i="20" a="1"/>
  <c r="K200" i="20" s="1"/>
  <c r="K201" i="20" a="1"/>
  <c r="K201" i="20" s="1"/>
  <c r="K202" i="20" a="1"/>
  <c r="K202" i="20" s="1"/>
  <c r="K203" i="20" a="1"/>
  <c r="K203" i="20" s="1"/>
  <c r="K204" i="20" a="1"/>
  <c r="K204" i="20" s="1"/>
  <c r="K205" i="20" a="1"/>
  <c r="K205" i="20" s="1"/>
  <c r="K206" i="20" a="1"/>
  <c r="K206" i="20" s="1"/>
  <c r="K207" i="20" a="1"/>
  <c r="K207" i="20" s="1"/>
  <c r="K208" i="20" a="1"/>
  <c r="K208" i="20" s="1"/>
  <c r="K209" i="20" a="1"/>
  <c r="K209" i="20" s="1"/>
  <c r="K210" i="20" a="1"/>
  <c r="K210" i="20" s="1"/>
  <c r="K211" i="20" a="1"/>
  <c r="K211" i="20" s="1"/>
  <c r="K212" i="20" a="1"/>
  <c r="K212" i="20" s="1"/>
  <c r="K213" i="20" a="1"/>
  <c r="K213" i="20" s="1"/>
  <c r="K214" i="20" a="1"/>
  <c r="K214" i="20" s="1"/>
  <c r="K215" i="20" a="1"/>
  <c r="K215" i="20" s="1"/>
  <c r="K216" i="20" a="1"/>
  <c r="K216" i="20" s="1"/>
  <c r="K217" i="20" a="1"/>
  <c r="K217" i="20" s="1"/>
  <c r="K218" i="20" a="1"/>
  <c r="K218" i="20" s="1"/>
  <c r="K219" i="20" a="1"/>
  <c r="K219" i="20" s="1"/>
  <c r="K220" i="20" a="1"/>
  <c r="K220" i="20" s="1"/>
  <c r="K221" i="20" a="1"/>
  <c r="K221" i="20" s="1"/>
  <c r="K222" i="20" a="1"/>
  <c r="K222" i="20" s="1"/>
  <c r="K223" i="20" a="1"/>
  <c r="K223" i="20" s="1"/>
  <c r="K224" i="20" a="1"/>
  <c r="K224" i="20" s="1"/>
  <c r="K225" i="20" a="1"/>
  <c r="K225" i="20" s="1"/>
  <c r="K226" i="20" a="1"/>
  <c r="K226" i="20" s="1"/>
  <c r="K227" i="20" a="1"/>
  <c r="K227" i="20" s="1"/>
  <c r="K228" i="20" a="1"/>
  <c r="K228" i="20" s="1"/>
  <c r="K229" i="20" a="1"/>
  <c r="K229" i="20" s="1"/>
  <c r="K230" i="20" a="1"/>
  <c r="K230" i="20" s="1"/>
  <c r="K231" i="20" a="1"/>
  <c r="K231" i="20" s="1"/>
  <c r="K232" i="20" a="1"/>
  <c r="K232" i="20" s="1"/>
  <c r="K233" i="20" a="1"/>
  <c r="K233" i="20" s="1"/>
  <c r="K234" i="20" a="1"/>
  <c r="K234" i="20" s="1"/>
  <c r="K235" i="20" a="1"/>
  <c r="K235" i="20" s="1"/>
  <c r="K236" i="20" a="1"/>
  <c r="K236" i="20" s="1"/>
  <c r="K237" i="20" a="1"/>
  <c r="K237" i="20" s="1"/>
  <c r="K238" i="20" a="1"/>
  <c r="K238" i="20" s="1"/>
  <c r="K239" i="20" a="1"/>
  <c r="K239" i="20" s="1"/>
  <c r="K240" i="20" a="1"/>
  <c r="K240" i="20" s="1"/>
  <c r="K241" i="20" a="1"/>
  <c r="K241" i="20" s="1"/>
  <c r="K242" i="20" a="1"/>
  <c r="K242" i="20" s="1"/>
  <c r="K243" i="20" a="1"/>
  <c r="K243" i="20" s="1"/>
  <c r="K244" i="20" a="1"/>
  <c r="K244" i="20" s="1"/>
  <c r="K245" i="20" a="1"/>
  <c r="K245" i="20" s="1"/>
  <c r="K246" i="20" a="1"/>
  <c r="K246" i="20" s="1"/>
  <c r="K247" i="20" a="1"/>
  <c r="K247" i="20" s="1"/>
  <c r="K248" i="20" a="1"/>
  <c r="K248" i="20" s="1"/>
  <c r="K249" i="20" a="1"/>
  <c r="K249" i="20" s="1"/>
  <c r="K250" i="20" a="1"/>
  <c r="K250" i="20" s="1"/>
  <c r="K251" i="20" a="1"/>
  <c r="K251" i="20" s="1"/>
  <c r="K252" i="20" a="1"/>
  <c r="K252" i="20" s="1"/>
  <c r="K253" i="20" a="1"/>
  <c r="K253" i="20" s="1"/>
  <c r="K254" i="20" a="1"/>
  <c r="K254" i="20" s="1"/>
  <c r="K255" i="20" a="1"/>
  <c r="K255" i="20" s="1"/>
  <c r="K256" i="20" a="1"/>
  <c r="K256" i="20" s="1"/>
  <c r="K257" i="20" a="1"/>
  <c r="K257" i="20" s="1"/>
  <c r="K258" i="20" a="1"/>
  <c r="K258" i="20" s="1"/>
  <c r="K259" i="20" a="1"/>
  <c r="K259" i="20" s="1"/>
  <c r="K260" i="20" a="1"/>
  <c r="K260" i="20" s="1"/>
  <c r="K261" i="20" a="1"/>
  <c r="K261" i="20" s="1"/>
  <c r="K262" i="20" a="1"/>
  <c r="K262" i="20" s="1"/>
  <c r="K263" i="20" a="1"/>
  <c r="K263" i="20" s="1"/>
  <c r="K264" i="20" a="1"/>
  <c r="K264" i="20" s="1"/>
  <c r="K265" i="20" a="1"/>
  <c r="K265" i="20" s="1"/>
  <c r="K266" i="20" a="1"/>
  <c r="K266" i="20" s="1"/>
  <c r="K267" i="20" a="1"/>
  <c r="K267" i="20" s="1"/>
  <c r="K268" i="20" a="1"/>
  <c r="K268" i="20" s="1"/>
  <c r="K269" i="20" a="1"/>
  <c r="K269" i="20" s="1"/>
  <c r="K270" i="20" a="1"/>
  <c r="K270" i="20" s="1"/>
  <c r="K271" i="20" a="1"/>
  <c r="K271" i="20" s="1"/>
  <c r="K272" i="20" a="1"/>
  <c r="K272" i="20" s="1"/>
  <c r="K273" i="20" a="1"/>
  <c r="K273" i="20" s="1"/>
  <c r="K274" i="20" a="1"/>
  <c r="K274" i="20" s="1"/>
  <c r="K275" i="20" a="1"/>
  <c r="K275" i="20" s="1"/>
  <c r="K276" i="20" a="1"/>
  <c r="K276" i="20" s="1"/>
  <c r="K277" i="20" a="1"/>
  <c r="K277" i="20" s="1"/>
  <c r="K278" i="20" a="1"/>
  <c r="K278" i="20" s="1"/>
  <c r="K279" i="20" a="1"/>
  <c r="K279" i="20" s="1"/>
  <c r="K280" i="20" a="1"/>
  <c r="K280" i="20" s="1"/>
  <c r="K281" i="20" a="1"/>
  <c r="K281" i="20" s="1"/>
  <c r="K282" i="20" a="1"/>
  <c r="K282" i="20" s="1"/>
  <c r="K283" i="20" a="1"/>
  <c r="K283" i="20" s="1"/>
  <c r="K284" i="20" a="1"/>
  <c r="K284" i="20" s="1"/>
  <c r="K285" i="20" a="1"/>
  <c r="K285" i="20" s="1"/>
  <c r="K286" i="20" a="1"/>
  <c r="K286" i="20" s="1"/>
  <c r="K287" i="20" a="1"/>
  <c r="K287" i="20" s="1"/>
  <c r="K288" i="20" a="1"/>
  <c r="K288" i="20" s="1"/>
  <c r="K289" i="20" a="1"/>
  <c r="K289" i="20" s="1"/>
  <c r="K290" i="20" a="1"/>
  <c r="K290" i="20" s="1"/>
  <c r="K291" i="20" a="1"/>
  <c r="K291" i="20" s="1"/>
  <c r="K292" i="20" a="1"/>
  <c r="K292" i="20" s="1"/>
  <c r="K293" i="20" a="1"/>
  <c r="K293" i="20" s="1"/>
  <c r="K294" i="20" a="1"/>
  <c r="K294" i="20" s="1"/>
  <c r="K295" i="20" a="1"/>
  <c r="K295" i="20" s="1"/>
  <c r="K296" i="20" a="1"/>
  <c r="K296" i="20" s="1"/>
  <c r="K297" i="20" a="1"/>
  <c r="K297" i="20" s="1"/>
  <c r="K298" i="20" a="1"/>
  <c r="K298" i="20" s="1"/>
  <c r="K299" i="20" a="1"/>
  <c r="K299" i="20" s="1"/>
  <c r="K300" i="20" a="1"/>
  <c r="K300" i="20" s="1"/>
  <c r="K301" i="20" a="1"/>
  <c r="K301" i="20" s="1"/>
  <c r="K302" i="20" a="1"/>
  <c r="K302" i="20" s="1"/>
  <c r="K303" i="20" a="1"/>
  <c r="K303" i="20" s="1"/>
  <c r="K304" i="20" a="1"/>
  <c r="K304" i="20" s="1"/>
  <c r="K305" i="20" a="1"/>
  <c r="K305" i="20" s="1"/>
  <c r="K306" i="20" a="1"/>
  <c r="K306" i="20" s="1"/>
  <c r="K307" i="20" a="1"/>
  <c r="K307" i="20" s="1"/>
  <c r="K308" i="20" a="1"/>
  <c r="K308" i="20" s="1"/>
  <c r="K309" i="20" a="1"/>
  <c r="K309" i="20" s="1"/>
  <c r="K310" i="20" a="1"/>
  <c r="K310" i="20" s="1"/>
  <c r="K311" i="20" a="1"/>
  <c r="K311" i="20" s="1"/>
  <c r="K312" i="20" a="1"/>
  <c r="K312" i="20" s="1"/>
  <c r="K313" i="20" a="1"/>
  <c r="K313" i="20" s="1"/>
  <c r="K314" i="20" a="1"/>
  <c r="K314" i="20" s="1"/>
  <c r="K315" i="20" a="1"/>
  <c r="K315" i="20" s="1"/>
  <c r="K316" i="20" a="1"/>
  <c r="K316" i="20" s="1"/>
  <c r="K317" i="20" a="1"/>
  <c r="K317" i="20" s="1"/>
  <c r="K318" i="20" a="1"/>
  <c r="K318" i="20" s="1"/>
  <c r="K319" i="20" a="1"/>
  <c r="K319" i="20" s="1"/>
  <c r="K320" i="20" a="1"/>
  <c r="K320" i="20" s="1"/>
  <c r="K321" i="20" a="1"/>
  <c r="K321" i="20" s="1"/>
  <c r="K322" i="20" a="1"/>
  <c r="K322" i="20" s="1"/>
  <c r="K323" i="20" a="1"/>
  <c r="K323" i="20" s="1"/>
  <c r="K324" i="20" a="1"/>
  <c r="K324" i="20" s="1"/>
  <c r="K325" i="20" a="1"/>
  <c r="K325" i="20" s="1"/>
  <c r="K326" i="20" a="1"/>
  <c r="K326" i="20" s="1"/>
  <c r="K327" i="20" a="1"/>
  <c r="K327" i="20" s="1"/>
  <c r="K328" i="20" a="1"/>
  <c r="K328" i="20" s="1"/>
  <c r="K329" i="20" a="1"/>
  <c r="K329" i="20" s="1"/>
  <c r="K330" i="20" a="1"/>
  <c r="K330" i="20" s="1"/>
  <c r="K331" i="20" a="1"/>
  <c r="K331" i="20" s="1"/>
  <c r="K332" i="20" a="1"/>
  <c r="K332" i="20" s="1"/>
  <c r="K333" i="20" a="1"/>
  <c r="K333" i="20" s="1"/>
  <c r="K334" i="20" a="1"/>
  <c r="K334" i="20" s="1"/>
  <c r="K335" i="20" a="1"/>
  <c r="K335" i="20" s="1"/>
  <c r="K336" i="20" a="1"/>
  <c r="K336" i="20" s="1"/>
  <c r="K337" i="20" a="1"/>
  <c r="K337" i="20" s="1"/>
  <c r="K338" i="20" a="1"/>
  <c r="K338" i="20" s="1"/>
  <c r="K339" i="20" a="1"/>
  <c r="K339" i="20" s="1"/>
  <c r="K340" i="20" a="1"/>
  <c r="K340" i="20" s="1"/>
  <c r="K341" i="20" a="1"/>
  <c r="K341" i="20" s="1"/>
  <c r="K342" i="20" a="1"/>
  <c r="K342" i="20" s="1"/>
  <c r="K343" i="20" a="1"/>
  <c r="K343" i="20" s="1"/>
  <c r="K344" i="20" a="1"/>
  <c r="K344" i="20" s="1"/>
  <c r="K345" i="20" a="1"/>
  <c r="K345" i="20" s="1"/>
  <c r="K346" i="20" a="1"/>
  <c r="K346" i="20" s="1"/>
  <c r="K347" i="20" a="1"/>
  <c r="K347" i="20" s="1"/>
  <c r="K348" i="20" a="1"/>
  <c r="K348" i="20" s="1"/>
  <c r="K349" i="20" a="1"/>
  <c r="K349" i="20" s="1"/>
  <c r="K350" i="20" a="1"/>
  <c r="K350" i="20" s="1"/>
  <c r="K351" i="20" a="1"/>
  <c r="K351" i="20" s="1"/>
  <c r="K352" i="20" a="1"/>
  <c r="K352" i="20" s="1"/>
  <c r="K353" i="20" a="1"/>
  <c r="K353" i="20" s="1"/>
  <c r="K354" i="20" a="1"/>
  <c r="K354" i="20" s="1"/>
  <c r="K355" i="20" a="1"/>
  <c r="K355" i="20" s="1"/>
  <c r="K356" i="20" a="1"/>
  <c r="K356" i="20" s="1"/>
  <c r="K357" i="20" a="1"/>
  <c r="K357" i="20" s="1"/>
  <c r="K358" i="20" a="1"/>
  <c r="K358" i="20" s="1"/>
  <c r="K359" i="20" a="1"/>
  <c r="K359" i="20" s="1"/>
  <c r="K360" i="20" a="1"/>
  <c r="K360" i="20" s="1"/>
  <c r="K361" i="20" a="1"/>
  <c r="K361" i="20" s="1"/>
  <c r="K362" i="20" a="1"/>
  <c r="K362" i="20" s="1"/>
  <c r="K363" i="20" a="1"/>
  <c r="K363" i="20" s="1"/>
  <c r="K364" i="20" a="1"/>
  <c r="K364" i="20" s="1"/>
  <c r="K365" i="20" a="1"/>
  <c r="K365" i="20" s="1"/>
  <c r="K366" i="20" a="1"/>
  <c r="K366" i="20" s="1"/>
  <c r="K367" i="20" a="1"/>
  <c r="K367" i="20" s="1"/>
  <c r="K368" i="20" a="1"/>
  <c r="K368" i="20" s="1"/>
  <c r="K369" i="20" a="1"/>
  <c r="K369" i="20" s="1"/>
  <c r="K370" i="20" a="1"/>
  <c r="K370" i="20" s="1"/>
  <c r="K371" i="20" a="1"/>
  <c r="K371" i="20" s="1"/>
  <c r="K372" i="20" a="1"/>
  <c r="K372" i="20" s="1"/>
  <c r="K373" i="20" a="1"/>
  <c r="K373" i="20" s="1"/>
  <c r="K374" i="20" a="1"/>
  <c r="K374" i="20" s="1"/>
  <c r="K375" i="20" a="1"/>
  <c r="K375" i="20" s="1"/>
  <c r="K376" i="20" a="1"/>
  <c r="K376" i="20" s="1"/>
  <c r="K377" i="20" a="1"/>
  <c r="K377" i="20" s="1"/>
  <c r="K378" i="20" a="1"/>
  <c r="K378" i="20" s="1"/>
  <c r="K379" i="20" a="1"/>
  <c r="K379" i="20" s="1"/>
  <c r="K380" i="20" a="1"/>
  <c r="K380" i="20" s="1"/>
  <c r="K381" i="20" a="1"/>
  <c r="K381" i="20" s="1"/>
  <c r="K382" i="20" a="1"/>
  <c r="K382" i="20" s="1"/>
  <c r="K383" i="20" a="1"/>
  <c r="K383" i="20" s="1"/>
  <c r="K384" i="20" a="1"/>
  <c r="K384" i="20" s="1"/>
  <c r="K385" i="20" a="1"/>
  <c r="K385" i="20" s="1"/>
  <c r="K386" i="20" a="1"/>
  <c r="K386" i="20" s="1"/>
  <c r="K387" i="20" a="1"/>
  <c r="K387" i="20" s="1"/>
  <c r="K388" i="20" a="1"/>
  <c r="K388" i="20" s="1"/>
  <c r="K389" i="20" a="1"/>
  <c r="K389" i="20" s="1"/>
  <c r="K390" i="20" a="1"/>
  <c r="K390" i="20" s="1"/>
  <c r="K391" i="20" a="1"/>
  <c r="K391" i="20" s="1"/>
  <c r="K392" i="20" a="1"/>
  <c r="K392" i="20" s="1"/>
  <c r="K393" i="20" a="1"/>
  <c r="K393" i="20" s="1"/>
  <c r="K394" i="20" a="1"/>
  <c r="K394" i="20" s="1"/>
  <c r="K395" i="20" a="1"/>
  <c r="K395" i="20" s="1"/>
  <c r="K396" i="20" a="1"/>
  <c r="K396" i="20" s="1"/>
  <c r="K397" i="20" a="1"/>
  <c r="K397" i="20" s="1"/>
  <c r="K398" i="20" a="1"/>
  <c r="K398" i="20" s="1"/>
  <c r="K399" i="20" a="1"/>
  <c r="K399" i="20" s="1"/>
  <c r="K400" i="20" a="1"/>
  <c r="K400" i="20" s="1"/>
  <c r="K401" i="20" a="1"/>
  <c r="K401" i="20" s="1"/>
  <c r="K402" i="20" a="1"/>
  <c r="K402" i="20" s="1"/>
  <c r="K403" i="20" a="1"/>
  <c r="K403" i="20" s="1"/>
  <c r="K404" i="20" a="1"/>
  <c r="K404" i="20" s="1"/>
  <c r="K405" i="20" a="1"/>
  <c r="K405" i="20" s="1"/>
  <c r="K406" i="20" a="1"/>
  <c r="K406" i="20" s="1"/>
  <c r="L2" i="20" a="1"/>
  <c r="L2" i="20" s="1"/>
  <c r="L3" i="20" a="1"/>
  <c r="L3" i="20" s="1"/>
  <c r="L4" i="20" a="1"/>
  <c r="L4" i="20" s="1"/>
  <c r="L5" i="20" a="1"/>
  <c r="L5" i="20" s="1"/>
  <c r="L6" i="20" a="1"/>
  <c r="L6" i="20" s="1"/>
  <c r="L7" i="20" a="1"/>
  <c r="L7" i="20" s="1"/>
  <c r="L8" i="20" a="1"/>
  <c r="L8" i="20" s="1"/>
  <c r="L9" i="20" a="1"/>
  <c r="L9" i="20" s="1"/>
  <c r="L10" i="20" a="1"/>
  <c r="L10" i="20" s="1"/>
  <c r="L11" i="20" a="1"/>
  <c r="L11" i="20" s="1"/>
  <c r="L12" i="20" a="1"/>
  <c r="L12" i="20" s="1"/>
  <c r="L13" i="20" a="1"/>
  <c r="L13" i="20" s="1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 s="1"/>
  <c r="L20" i="20" a="1"/>
  <c r="L20" i="20" s="1"/>
  <c r="L21" i="20" a="1"/>
  <c r="L21" i="20" s="1"/>
  <c r="L22" i="20" a="1"/>
  <c r="L22" i="20" s="1"/>
  <c r="L23" i="20" a="1"/>
  <c r="L23" i="20" s="1"/>
  <c r="L24" i="20" a="1"/>
  <c r="L24" i="20" s="1"/>
  <c r="L25" i="20" a="1"/>
  <c r="L25" i="20" s="1"/>
  <c r="L26" i="20" a="1"/>
  <c r="L26" i="20" s="1"/>
  <c r="L27" i="20" a="1"/>
  <c r="L27" i="20" s="1"/>
  <c r="L28" i="20" a="1"/>
  <c r="L28" i="20" s="1"/>
  <c r="L29" i="20" a="1"/>
  <c r="L29" i="20" s="1"/>
  <c r="L30" i="20" a="1"/>
  <c r="L30" i="20" s="1"/>
  <c r="L31" i="20" a="1"/>
  <c r="L31" i="20" s="1"/>
  <c r="L32" i="20" a="1"/>
  <c r="L32" i="20" s="1"/>
  <c r="L33" i="20" a="1"/>
  <c r="L33" i="20" s="1"/>
  <c r="L34" i="20" a="1"/>
  <c r="L34" i="20" s="1"/>
  <c r="L35" i="20" a="1"/>
  <c r="L35" i="20" s="1"/>
  <c r="L36" i="20" a="1"/>
  <c r="L36" i="20" s="1"/>
  <c r="L37" i="20" a="1"/>
  <c r="L37" i="20" s="1"/>
  <c r="L38" i="20" a="1"/>
  <c r="L38" i="20" s="1"/>
  <c r="L39" i="20" a="1"/>
  <c r="L39" i="20" s="1"/>
  <c r="L40" i="20" a="1"/>
  <c r="L40" i="20" s="1"/>
  <c r="L41" i="20" a="1"/>
  <c r="L41" i="20" s="1"/>
  <c r="L42" i="20" a="1"/>
  <c r="L42" i="20" s="1"/>
  <c r="L43" i="20" a="1"/>
  <c r="L43" i="20" s="1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/>
  <c r="L51" i="20" a="1"/>
  <c r="L51" i="20" s="1"/>
  <c r="L52" i="20" a="1"/>
  <c r="L52" i="20" s="1"/>
  <c r="L53" i="20" a="1"/>
  <c r="L53" i="20" s="1"/>
  <c r="L54" i="20" a="1"/>
  <c r="L54" i="20" s="1"/>
  <c r="L55" i="20" a="1"/>
  <c r="L55" i="20" s="1"/>
  <c r="L56" i="20" a="1"/>
  <c r="L56" i="20" s="1"/>
  <c r="L57" i="20" a="1"/>
  <c r="L57" i="20" s="1"/>
  <c r="L58" i="20" a="1"/>
  <c r="L58" i="20" s="1"/>
  <c r="L59" i="20" a="1"/>
  <c r="L59" i="20" s="1"/>
  <c r="L60" i="20" a="1"/>
  <c r="L60" i="20" s="1"/>
  <c r="L61" i="20" a="1"/>
  <c r="L61" i="20" s="1"/>
  <c r="L62" i="20" a="1"/>
  <c r="L62" i="20" s="1"/>
  <c r="L63" i="20" a="1"/>
  <c r="L63" i="20" s="1"/>
  <c r="L64" i="20" a="1"/>
  <c r="L64" i="20" s="1"/>
  <c r="L65" i="20" a="1"/>
  <c r="L65" i="20" s="1"/>
  <c r="L66" i="20" a="1"/>
  <c r="L66" i="20" s="1"/>
  <c r="L67" i="20" a="1"/>
  <c r="L67" i="20" s="1"/>
  <c r="L68" i="20" a="1"/>
  <c r="L68" i="20" s="1"/>
  <c r="L69" i="20" a="1"/>
  <c r="L69" i="20"/>
  <c r="L70" i="20" a="1"/>
  <c r="L70" i="20" s="1"/>
  <c r="L71" i="20" a="1"/>
  <c r="L71" i="20" s="1"/>
  <c r="L72" i="20" a="1"/>
  <c r="L72" i="20" s="1"/>
  <c r="L73" i="20" a="1"/>
  <c r="L73" i="20" s="1"/>
  <c r="L74" i="20" a="1"/>
  <c r="L74" i="20" s="1"/>
  <c r="L75" i="20" a="1"/>
  <c r="L75" i="20" s="1"/>
  <c r="L76" i="20" a="1"/>
  <c r="L76" i="20" s="1"/>
  <c r="L77" i="20" a="1"/>
  <c r="L77" i="20" s="1"/>
  <c r="L78" i="20" a="1"/>
  <c r="L78" i="20" s="1"/>
  <c r="L79" i="20" a="1"/>
  <c r="L79" i="20" s="1"/>
  <c r="L80" i="20" a="1"/>
  <c r="L80" i="20" s="1"/>
  <c r="L81" i="20" a="1"/>
  <c r="L81" i="20" s="1"/>
  <c r="L82" i="20" a="1"/>
  <c r="L82" i="20" s="1"/>
  <c r="L83" i="20" a="1"/>
  <c r="L83" i="20" s="1"/>
  <c r="L84" i="20" a="1"/>
  <c r="L84" i="20"/>
  <c r="L85" i="20" a="1"/>
  <c r="L85" i="20" s="1"/>
  <c r="L86" i="20" a="1"/>
  <c r="L86" i="20" s="1"/>
  <c r="L87" i="20" a="1"/>
  <c r="L87" i="20" s="1"/>
  <c r="L88" i="20" a="1"/>
  <c r="L88" i="20" s="1"/>
  <c r="L89" i="20" a="1"/>
  <c r="L89" i="20" s="1"/>
  <c r="L90" i="20" a="1"/>
  <c r="L90" i="20" s="1"/>
  <c r="L91" i="20" a="1"/>
  <c r="L91" i="20" s="1"/>
  <c r="L92" i="20" a="1"/>
  <c r="L92" i="20" s="1"/>
  <c r="L93" i="20" a="1"/>
  <c r="L93" i="20" s="1"/>
  <c r="L94" i="20" a="1"/>
  <c r="L94" i="20" s="1"/>
  <c r="L95" i="20" a="1"/>
  <c r="L95" i="20" s="1"/>
  <c r="L96" i="20" a="1"/>
  <c r="L96" i="20" s="1"/>
  <c r="L97" i="20" a="1"/>
  <c r="L97" i="20" s="1"/>
  <c r="L98" i="20" a="1"/>
  <c r="L98" i="20" s="1"/>
  <c r="L99" i="20" a="1"/>
  <c r="L99" i="20" s="1"/>
  <c r="L100" i="20" a="1"/>
  <c r="L100" i="20" s="1"/>
  <c r="L101" i="20" a="1"/>
  <c r="L101" i="20" s="1"/>
  <c r="L102" i="20" a="1"/>
  <c r="L102" i="20"/>
  <c r="L103" i="20" a="1"/>
  <c r="L103" i="20" s="1"/>
  <c r="L104" i="20" a="1"/>
  <c r="L104" i="20" s="1"/>
  <c r="L105" i="20" a="1"/>
  <c r="L105" i="20" s="1"/>
  <c r="L106" i="20" a="1"/>
  <c r="L106" i="20" s="1"/>
  <c r="L107" i="20" a="1"/>
  <c r="L107" i="20" s="1"/>
  <c r="L108" i="20" a="1"/>
  <c r="L108" i="20"/>
  <c r="L109" i="20" a="1"/>
  <c r="L109" i="20" s="1"/>
  <c r="L110" i="20" a="1"/>
  <c r="L110" i="20" s="1"/>
  <c r="L111" i="20" a="1"/>
  <c r="L111" i="20" s="1"/>
  <c r="L112" i="20" a="1"/>
  <c r="L112" i="20" s="1"/>
  <c r="L113" i="20" a="1"/>
  <c r="L113" i="20"/>
  <c r="L114" i="20" a="1"/>
  <c r="L114" i="20" s="1"/>
  <c r="L115" i="20" a="1"/>
  <c r="L115" i="20" s="1"/>
  <c r="L116" i="20" a="1"/>
  <c r="L116" i="20" s="1"/>
  <c r="L117" i="20" a="1"/>
  <c r="L117" i="20" s="1"/>
  <c r="L118" i="20" a="1"/>
  <c r="L118" i="20" s="1"/>
  <c r="L119" i="20" a="1"/>
  <c r="L119" i="20" s="1"/>
  <c r="L120" i="20" a="1"/>
  <c r="L120" i="20" s="1"/>
  <c r="L121" i="20" a="1"/>
  <c r="L121" i="20" s="1"/>
  <c r="L122" i="20" a="1"/>
  <c r="L122" i="20" s="1"/>
  <c r="L123" i="20" a="1"/>
  <c r="L123" i="20" s="1"/>
  <c r="L124" i="20" a="1"/>
  <c r="L124" i="20" s="1"/>
  <c r="L125" i="20" a="1"/>
  <c r="L125" i="20"/>
  <c r="L126" i="20" a="1"/>
  <c r="L126" i="20" s="1"/>
  <c r="L127" i="20" a="1"/>
  <c r="L127" i="20" s="1"/>
  <c r="L128" i="20" a="1"/>
  <c r="L128" i="20" s="1"/>
  <c r="L129" i="20" a="1"/>
  <c r="L129" i="20" s="1"/>
  <c r="L130" i="20" a="1"/>
  <c r="L130" i="20" s="1"/>
  <c r="L131" i="20" a="1"/>
  <c r="L131" i="20" s="1"/>
  <c r="L132" i="20" a="1"/>
  <c r="L132" i="20" s="1"/>
  <c r="L133" i="20" a="1"/>
  <c r="L133" i="20" s="1"/>
  <c r="L134" i="20" a="1"/>
  <c r="L134" i="20" s="1"/>
  <c r="L135" i="20" a="1"/>
  <c r="L135" i="20" s="1"/>
  <c r="L136" i="20" a="1"/>
  <c r="L136" i="20" s="1"/>
  <c r="L137" i="20" a="1"/>
  <c r="L137" i="20" s="1"/>
  <c r="L138" i="20" a="1"/>
  <c r="L138" i="20" s="1"/>
  <c r="L139" i="20" a="1"/>
  <c r="L139" i="20" s="1"/>
  <c r="L140" i="20" a="1"/>
  <c r="L140" i="20" s="1"/>
  <c r="L141" i="20" a="1"/>
  <c r="L141" i="20" s="1"/>
  <c r="L142" i="20" a="1"/>
  <c r="L142" i="20" s="1"/>
  <c r="L143" i="20" a="1"/>
  <c r="L143" i="20" s="1"/>
  <c r="L144" i="20" a="1"/>
  <c r="L144" i="20" s="1"/>
  <c r="L145" i="20" a="1"/>
  <c r="L145" i="20"/>
  <c r="L146" i="20" a="1"/>
  <c r="L146" i="20"/>
  <c r="L147" i="20" a="1"/>
  <c r="L147" i="20" s="1"/>
  <c r="L148" i="20" a="1"/>
  <c r="L148" i="20" s="1"/>
  <c r="L149" i="20" a="1"/>
  <c r="L149" i="20"/>
  <c r="L150" i="20" a="1"/>
  <c r="L150" i="20" s="1"/>
  <c r="L151" i="20" a="1"/>
  <c r="L151" i="20" s="1"/>
  <c r="L152" i="20" a="1"/>
  <c r="L152" i="20" s="1"/>
  <c r="L153" i="20" a="1"/>
  <c r="L153" i="20" s="1"/>
  <c r="L154" i="20" a="1"/>
  <c r="L154" i="20" s="1"/>
  <c r="L155" i="20" a="1"/>
  <c r="L155" i="20" s="1"/>
  <c r="L156" i="20" a="1"/>
  <c r="L156" i="20"/>
  <c r="L157" i="20" a="1"/>
  <c r="L157" i="20"/>
  <c r="L158" i="20" a="1"/>
  <c r="L158" i="20" s="1"/>
  <c r="L159" i="20" a="1"/>
  <c r="L159" i="20" s="1"/>
  <c r="L160" i="20" a="1"/>
  <c r="L160" i="20" s="1"/>
  <c r="L161" i="20" a="1"/>
  <c r="L161" i="20" s="1"/>
  <c r="L162" i="20" a="1"/>
  <c r="L162" i="20" s="1"/>
  <c r="L163" i="20" a="1"/>
  <c r="L163" i="20" s="1"/>
  <c r="L164" i="20" a="1"/>
  <c r="L164" i="20" s="1"/>
  <c r="L165" i="20" a="1"/>
  <c r="L165" i="20" s="1"/>
  <c r="L166" i="20" a="1"/>
  <c r="L166" i="20" s="1"/>
  <c r="L167" i="20" a="1"/>
  <c r="L167" i="20" s="1"/>
  <c r="L168" i="20" a="1"/>
  <c r="L168" i="20" s="1"/>
  <c r="L169" i="20" a="1"/>
  <c r="L169" i="20" s="1"/>
  <c r="L170" i="20" a="1"/>
  <c r="L170" i="20" s="1"/>
  <c r="L171" i="20" a="1"/>
  <c r="L171" i="20" s="1"/>
  <c r="L172" i="20" a="1"/>
  <c r="L172" i="20" s="1"/>
  <c r="L173" i="20" a="1"/>
  <c r="L173" i="20" s="1"/>
  <c r="L174" i="20" a="1"/>
  <c r="L174" i="20"/>
  <c r="L175" i="20" a="1"/>
  <c r="L175" i="20" s="1"/>
  <c r="L176" i="20" a="1"/>
  <c r="L176" i="20" s="1"/>
  <c r="L177" i="20" a="1"/>
  <c r="L177" i="20" s="1"/>
  <c r="L178" i="20" a="1"/>
  <c r="L178" i="20"/>
  <c r="L179" i="20" a="1"/>
  <c r="L179" i="20" s="1"/>
  <c r="L180" i="20" a="1"/>
  <c r="L180" i="20" s="1"/>
  <c r="L181" i="20" a="1"/>
  <c r="L181" i="20" s="1"/>
  <c r="L182" i="20" a="1"/>
  <c r="L182" i="20" s="1"/>
  <c r="L183" i="20" a="1"/>
  <c r="L183" i="20" s="1"/>
  <c r="L184" i="20" a="1"/>
  <c r="L184" i="20" s="1"/>
  <c r="L185" i="20" a="1"/>
  <c r="L185" i="20"/>
  <c r="L186" i="20" a="1"/>
  <c r="L186" i="20" s="1"/>
  <c r="L187" i="20" a="1"/>
  <c r="L187" i="20" s="1"/>
  <c r="L188" i="20" a="1"/>
  <c r="L188" i="20"/>
  <c r="L189" i="20" a="1"/>
  <c r="L189" i="20" s="1"/>
  <c r="L190" i="20" a="1"/>
  <c r="L190" i="20"/>
  <c r="L191" i="20" a="1"/>
  <c r="L191" i="20" s="1"/>
  <c r="L192" i="20" a="1"/>
  <c r="L192" i="20" s="1"/>
  <c r="L193" i="20" a="1"/>
  <c r="L193" i="20" s="1"/>
  <c r="L194" i="20" a="1"/>
  <c r="L194" i="20" s="1"/>
  <c r="L195" i="20" a="1"/>
  <c r="L195" i="20" s="1"/>
  <c r="L196" i="20" a="1"/>
  <c r="L196" i="20" s="1"/>
  <c r="L197" i="20" a="1"/>
  <c r="L197" i="20" s="1"/>
  <c r="L198" i="20" a="1"/>
  <c r="L198" i="20"/>
  <c r="L199" i="20" a="1"/>
  <c r="L199" i="20" s="1"/>
  <c r="L200" i="20" a="1"/>
  <c r="L200" i="20" s="1"/>
  <c r="L201" i="20" a="1"/>
  <c r="L201" i="20" s="1"/>
  <c r="L202" i="20" a="1"/>
  <c r="L202" i="20" s="1"/>
  <c r="L203" i="20" a="1"/>
  <c r="L203" i="20" s="1"/>
  <c r="L204" i="20" a="1"/>
  <c r="L204" i="20" s="1"/>
  <c r="L205" i="20" a="1"/>
  <c r="L205" i="20" s="1"/>
  <c r="L206" i="20" a="1"/>
  <c r="L206" i="20" s="1"/>
  <c r="L207" i="20" a="1"/>
  <c r="L207" i="20" s="1"/>
  <c r="L208" i="20" a="1"/>
  <c r="L208" i="20" s="1"/>
  <c r="L209" i="20" a="1"/>
  <c r="L209" i="20" s="1"/>
  <c r="L210" i="20" a="1"/>
  <c r="L210" i="20" s="1"/>
  <c r="L211" i="20" a="1"/>
  <c r="L211" i="20" s="1"/>
  <c r="L212" i="20" a="1"/>
  <c r="L212" i="20" s="1"/>
  <c r="L213" i="20" a="1"/>
  <c r="L213" i="20" s="1"/>
  <c r="L214" i="20" a="1"/>
  <c r="L214" i="20"/>
  <c r="L215" i="20" a="1"/>
  <c r="L215" i="20" s="1"/>
  <c r="L216" i="20" a="1"/>
  <c r="L216" i="20" s="1"/>
  <c r="L217" i="20" a="1"/>
  <c r="L217" i="20" s="1"/>
  <c r="L218" i="20" a="1"/>
  <c r="L218" i="20" s="1"/>
  <c r="L219" i="20" a="1"/>
  <c r="L219" i="20" s="1"/>
  <c r="L220" i="20" a="1"/>
  <c r="L220" i="20" s="1"/>
  <c r="L221" i="20" a="1"/>
  <c r="L221" i="20" s="1"/>
  <c r="L222" i="20" a="1"/>
  <c r="L222" i="20" s="1"/>
  <c r="L223" i="20" a="1"/>
  <c r="L223" i="20" s="1"/>
  <c r="L224" i="20" a="1"/>
  <c r="L224" i="20"/>
  <c r="L225" i="20" a="1"/>
  <c r="L225" i="20" s="1"/>
  <c r="L226" i="20" a="1"/>
  <c r="L226" i="20" s="1"/>
  <c r="L227" i="20" a="1"/>
  <c r="L227" i="20" s="1"/>
  <c r="L228" i="20" a="1"/>
  <c r="L228" i="20" s="1"/>
  <c r="L229" i="20" a="1"/>
  <c r="L229" i="20" s="1"/>
  <c r="L230" i="20" a="1"/>
  <c r="L230" i="20"/>
  <c r="L231" i="20" a="1"/>
  <c r="L231" i="20" s="1"/>
  <c r="L232" i="20" a="1"/>
  <c r="L232" i="20" s="1"/>
  <c r="L233" i="20" a="1"/>
  <c r="L233" i="20" s="1"/>
  <c r="L234" i="20" a="1"/>
  <c r="L234" i="20" s="1"/>
  <c r="L235" i="20" a="1"/>
  <c r="L235" i="20" s="1"/>
  <c r="L236" i="20" a="1"/>
  <c r="L236" i="20" s="1"/>
  <c r="L237" i="20" a="1"/>
  <c r="L237" i="20"/>
  <c r="L238" i="20" a="1"/>
  <c r="L238" i="20"/>
  <c r="L239" i="20" a="1"/>
  <c r="L239" i="20" s="1"/>
  <c r="L240" i="20" a="1"/>
  <c r="L240" i="20" s="1"/>
  <c r="L241" i="20" a="1"/>
  <c r="L241" i="20"/>
  <c r="L242" i="20" a="1"/>
  <c r="L242" i="20" s="1"/>
  <c r="L243" i="20" a="1"/>
  <c r="L243" i="20" s="1"/>
  <c r="L244" i="20" a="1"/>
  <c r="L244" i="20" s="1"/>
  <c r="L245" i="20" a="1"/>
  <c r="L245" i="20" s="1"/>
  <c r="L246" i="20" a="1"/>
  <c r="L246" i="20"/>
  <c r="L247" i="20" a="1"/>
  <c r="L247" i="20" s="1"/>
  <c r="L248" i="20" a="1"/>
  <c r="L248" i="20" s="1"/>
  <c r="L249" i="20" a="1"/>
  <c r="L249" i="20" s="1"/>
  <c r="L250" i="20" a="1"/>
  <c r="L250" i="20" s="1"/>
  <c r="L251" i="20" a="1"/>
  <c r="L251" i="20" s="1"/>
  <c r="L252" i="20" a="1"/>
  <c r="L252" i="20" s="1"/>
  <c r="L253" i="20" a="1"/>
  <c r="L253" i="20"/>
  <c r="L254" i="20" a="1"/>
  <c r="L254" i="20"/>
  <c r="L255" i="20" a="1"/>
  <c r="L255" i="20" s="1"/>
  <c r="L256" i="20" a="1"/>
  <c r="L256" i="20" s="1"/>
  <c r="L257" i="20" a="1"/>
  <c r="L257" i="20" s="1"/>
  <c r="L258" i="20" a="1"/>
  <c r="L258" i="20"/>
  <c r="L259" i="20" a="1"/>
  <c r="L259" i="20"/>
  <c r="L260" i="20" a="1"/>
  <c r="L260" i="20"/>
  <c r="L261" i="20" a="1"/>
  <c r="L261" i="20" s="1"/>
  <c r="L262" i="20" a="1"/>
  <c r="L262" i="20" s="1"/>
  <c r="L263" i="20" a="1"/>
  <c r="L263" i="20" s="1"/>
  <c r="L264" i="20" a="1"/>
  <c r="L264" i="20" s="1"/>
  <c r="L265" i="20" a="1"/>
  <c r="L265" i="20" s="1"/>
  <c r="L266" i="20" a="1"/>
  <c r="L266" i="20" s="1"/>
  <c r="L267" i="20" a="1"/>
  <c r="L267" i="20" s="1"/>
  <c r="L268" i="20" a="1"/>
  <c r="L268" i="20" s="1"/>
  <c r="L269" i="20" a="1"/>
  <c r="L269" i="20" s="1"/>
  <c r="L270" i="20" a="1"/>
  <c r="L270" i="20"/>
  <c r="L271" i="20" a="1"/>
  <c r="L271" i="20" s="1"/>
  <c r="L272" i="20" a="1"/>
  <c r="L272" i="20" s="1"/>
  <c r="L273" i="20" a="1"/>
  <c r="L273" i="20" s="1"/>
  <c r="L274" i="20" a="1"/>
  <c r="L274" i="20"/>
  <c r="L275" i="20" a="1"/>
  <c r="L275" i="20" s="1"/>
  <c r="L276" i="20" a="1"/>
  <c r="L276" i="20" s="1"/>
  <c r="L277" i="20" a="1"/>
  <c r="L277" i="20" s="1"/>
  <c r="L278" i="20" a="1"/>
  <c r="L278" i="20" s="1"/>
  <c r="L279" i="20" a="1"/>
  <c r="L279" i="20" s="1"/>
  <c r="L280" i="20" a="1"/>
  <c r="L280" i="20"/>
  <c r="L281" i="20" a="1"/>
  <c r="L281" i="20" s="1"/>
  <c r="L282" i="20" a="1"/>
  <c r="L282" i="20" s="1"/>
  <c r="L283" i="20" a="1"/>
  <c r="L283" i="20"/>
  <c r="L284" i="20" a="1"/>
  <c r="L284" i="20" s="1"/>
  <c r="L285" i="20" a="1"/>
  <c r="L285" i="20" s="1"/>
  <c r="L286" i="20" a="1"/>
  <c r="L286" i="20" s="1"/>
  <c r="L287" i="20" a="1"/>
  <c r="L287" i="20" s="1"/>
  <c r="L288" i="20" a="1"/>
  <c r="L288" i="20" s="1"/>
  <c r="L289" i="20" a="1"/>
  <c r="L289" i="20" s="1"/>
  <c r="L290" i="20" a="1"/>
  <c r="L290" i="20" s="1"/>
  <c r="L291" i="20" a="1"/>
  <c r="L291" i="20"/>
  <c r="L292" i="20" a="1"/>
  <c r="L292" i="20" s="1"/>
  <c r="L293" i="20" a="1"/>
  <c r="L293" i="20" s="1"/>
  <c r="L294" i="20" a="1"/>
  <c r="L294" i="20"/>
  <c r="L295" i="20" a="1"/>
  <c r="L295" i="20" s="1"/>
  <c r="L296" i="20" a="1"/>
  <c r="L296" i="20" s="1"/>
  <c r="L297" i="20" a="1"/>
  <c r="L297" i="20" s="1"/>
  <c r="L298" i="20" a="1"/>
  <c r="L298" i="20" s="1"/>
  <c r="L299" i="20" a="1"/>
  <c r="L299" i="20" s="1"/>
  <c r="L300" i="20" a="1"/>
  <c r="L300" i="20" s="1"/>
  <c r="L301" i="20" a="1"/>
  <c r="L301" i="20" s="1"/>
  <c r="L302" i="20" a="1"/>
  <c r="L302" i="20"/>
  <c r="L303" i="20" a="1"/>
  <c r="L303" i="20" s="1"/>
  <c r="L304" i="20" a="1"/>
  <c r="L304" i="20" s="1"/>
  <c r="L305" i="20" a="1"/>
  <c r="L305" i="20" s="1"/>
  <c r="L306" i="20" a="1"/>
  <c r="L306" i="20" s="1"/>
  <c r="L307" i="20" a="1"/>
  <c r="L307" i="20" s="1"/>
  <c r="L308" i="20" a="1"/>
  <c r="L308" i="20"/>
  <c r="L309" i="20" a="1"/>
  <c r="L309" i="20" s="1"/>
  <c r="L310" i="20" a="1"/>
  <c r="L310" i="20" s="1"/>
  <c r="L311" i="20" a="1"/>
  <c r="L311" i="20" s="1"/>
  <c r="L312" i="20" a="1"/>
  <c r="L312" i="20"/>
  <c r="L313" i="20" a="1"/>
  <c r="L313" i="20" s="1"/>
  <c r="L314" i="20" a="1"/>
  <c r="L314" i="20" s="1"/>
  <c r="L315" i="20" a="1"/>
  <c r="L315" i="20"/>
  <c r="L316" i="20" a="1"/>
  <c r="L316" i="20" s="1"/>
  <c r="L317" i="20" a="1"/>
  <c r="L317" i="20" s="1"/>
  <c r="L318" i="20" a="1"/>
  <c r="L318" i="20" s="1"/>
  <c r="L319" i="20" a="1"/>
  <c r="L319" i="20" s="1"/>
  <c r="L320" i="20" a="1"/>
  <c r="L320" i="20" s="1"/>
  <c r="L321" i="20" a="1"/>
  <c r="L321" i="20" s="1"/>
  <c r="L322" i="20" a="1"/>
  <c r="L322" i="20" s="1"/>
  <c r="L323" i="20" a="1"/>
  <c r="L323" i="20"/>
  <c r="L324" i="20" a="1"/>
  <c r="L324" i="20"/>
  <c r="L325" i="20" a="1"/>
  <c r="L325" i="20" s="1"/>
  <c r="L326" i="20" a="1"/>
  <c r="L326" i="20" s="1"/>
  <c r="L327" i="20" a="1"/>
  <c r="L327" i="20" s="1"/>
  <c r="L328" i="20" a="1"/>
  <c r="L328" i="20" s="1"/>
  <c r="L329" i="20" a="1"/>
  <c r="L329" i="20" s="1"/>
  <c r="L330" i="20" a="1"/>
  <c r="L330" i="20" s="1"/>
  <c r="L331" i="20" a="1"/>
  <c r="L331" i="20" s="1"/>
  <c r="L332" i="20" a="1"/>
  <c r="L332" i="20" s="1"/>
  <c r="L333" i="20" a="1"/>
  <c r="L333" i="20" s="1"/>
  <c r="L334" i="20" a="1"/>
  <c r="L334" i="20"/>
  <c r="L335" i="20" a="1"/>
  <c r="L335" i="20"/>
  <c r="L336" i="20" a="1"/>
  <c r="L336" i="20" s="1"/>
  <c r="L337" i="20" a="1"/>
  <c r="L337" i="20" s="1"/>
  <c r="L338" i="20" a="1"/>
  <c r="L338" i="20" s="1"/>
  <c r="L339" i="20" a="1"/>
  <c r="L339" i="20" s="1"/>
  <c r="L340" i="20" a="1"/>
  <c r="L340" i="20"/>
  <c r="L341" i="20" a="1"/>
  <c r="L341" i="20" s="1"/>
  <c r="L342" i="20" a="1"/>
  <c r="L342" i="20" s="1"/>
  <c r="L343" i="20" a="1"/>
  <c r="L343" i="20" s="1"/>
  <c r="L344" i="20" a="1"/>
  <c r="L344" i="20" s="1"/>
  <c r="L345" i="20" a="1"/>
  <c r="L345" i="20" s="1"/>
  <c r="L346" i="20" a="1"/>
  <c r="L346" i="20"/>
  <c r="L347" i="20" a="1"/>
  <c r="L347" i="20"/>
  <c r="L348" i="20" a="1"/>
  <c r="L348" i="20" s="1"/>
  <c r="L349" i="20" a="1"/>
  <c r="L349" i="20" s="1"/>
  <c r="L350" i="20" a="1"/>
  <c r="L350" i="20" s="1"/>
  <c r="L351" i="20" a="1"/>
  <c r="L351" i="20" s="1"/>
  <c r="L352" i="20" a="1"/>
  <c r="L352" i="20"/>
  <c r="L353" i="20" a="1"/>
  <c r="L353" i="20" s="1"/>
  <c r="L354" i="20" a="1"/>
  <c r="L354" i="20" s="1"/>
  <c r="L355" i="20" a="1"/>
  <c r="L355" i="20" s="1"/>
  <c r="L356" i="20" a="1"/>
  <c r="L356" i="20"/>
  <c r="L357" i="20" a="1"/>
  <c r="L357" i="20" s="1"/>
  <c r="L358" i="20" a="1"/>
  <c r="L358" i="20"/>
  <c r="L359" i="20" a="1"/>
  <c r="L359" i="20" s="1"/>
  <c r="L360" i="20" a="1"/>
  <c r="L360" i="20" s="1"/>
  <c r="L361" i="20" a="1"/>
  <c r="L361" i="20" s="1"/>
  <c r="L362" i="20" a="1"/>
  <c r="L362" i="20" s="1"/>
  <c r="L363" i="20" a="1"/>
  <c r="L363" i="20" s="1"/>
  <c r="L364" i="20" a="1"/>
  <c r="L364" i="20" s="1"/>
  <c r="L365" i="20" a="1"/>
  <c r="L365" i="20" s="1"/>
  <c r="L366" i="20" a="1"/>
  <c r="L366" i="20"/>
  <c r="L367" i="20" a="1"/>
  <c r="L367" i="20"/>
  <c r="L368" i="20" a="1"/>
  <c r="L368" i="20" s="1"/>
  <c r="L369" i="20" a="1"/>
  <c r="L369" i="20" s="1"/>
  <c r="L370" i="20" a="1"/>
  <c r="L370" i="20"/>
  <c r="L371" i="20" a="1"/>
  <c r="L371" i="20" s="1"/>
  <c r="L372" i="20" a="1"/>
  <c r="L372" i="20" s="1"/>
  <c r="L373" i="20" a="1"/>
  <c r="L373" i="20" s="1"/>
  <c r="L374" i="20" a="1"/>
  <c r="L374" i="20" s="1"/>
  <c r="L375" i="20" a="1"/>
  <c r="L375" i="20" s="1"/>
  <c r="L376" i="20" a="1"/>
  <c r="L376" i="20" s="1"/>
  <c r="L377" i="20" a="1"/>
  <c r="L377" i="20" s="1"/>
  <c r="L378" i="20" a="1"/>
  <c r="L378" i="20"/>
  <c r="L379" i="20" a="1"/>
  <c r="L379" i="20"/>
  <c r="L380" i="20" a="1"/>
  <c r="L380" i="20" s="1"/>
  <c r="L381" i="20" a="1"/>
  <c r="L381" i="20" s="1"/>
  <c r="L382" i="20" a="1"/>
  <c r="L382" i="20" s="1"/>
  <c r="L383" i="20" a="1"/>
  <c r="L383" i="20" s="1"/>
  <c r="L384" i="20" a="1"/>
  <c r="L384" i="20" s="1"/>
  <c r="L385" i="20" a="1"/>
  <c r="L385" i="20" s="1"/>
  <c r="L386" i="20" a="1"/>
  <c r="L386" i="20" s="1"/>
  <c r="L387" i="20" a="1"/>
  <c r="L387" i="20"/>
  <c r="L388" i="20" a="1"/>
  <c r="L388" i="20"/>
  <c r="L389" i="20" a="1"/>
  <c r="L389" i="20" s="1"/>
  <c r="L390" i="20" a="1"/>
  <c r="L390" i="20"/>
  <c r="L391" i="20" a="1"/>
  <c r="L391" i="20" s="1"/>
  <c r="L392" i="20" a="1"/>
  <c r="L392" i="20" s="1"/>
  <c r="L393" i="20" a="1"/>
  <c r="L393" i="20" s="1"/>
  <c r="L394" i="20" a="1"/>
  <c r="L394" i="20" s="1"/>
  <c r="L395" i="20" a="1"/>
  <c r="L395" i="20" s="1"/>
  <c r="L396" i="20" a="1"/>
  <c r="L396" i="20"/>
  <c r="L397" i="20" a="1"/>
  <c r="L397" i="20" s="1"/>
  <c r="L398" i="20" a="1"/>
  <c r="L398" i="20" s="1"/>
  <c r="L399" i="20" a="1"/>
  <c r="L399" i="20" s="1"/>
  <c r="L400" i="20" a="1"/>
  <c r="L400" i="20" s="1"/>
  <c r="L401" i="20" a="1"/>
  <c r="L401" i="20" s="1"/>
  <c r="L402" i="20" a="1"/>
  <c r="L402" i="20"/>
  <c r="L403" i="20" a="1"/>
  <c r="L403" i="20" s="1"/>
  <c r="L404" i="20" a="1"/>
  <c r="L404" i="20" s="1"/>
  <c r="L405" i="20" a="1"/>
  <c r="L405" i="20" s="1"/>
  <c r="L406" i="20" a="1"/>
  <c r="L406" i="20" s="1"/>
  <c r="M2" i="20" a="1"/>
  <c r="M2" i="20" s="1"/>
  <c r="N2" i="20" s="1"/>
  <c r="M3" i="20" a="1"/>
  <c r="M3" i="20" s="1"/>
  <c r="N3" i="20" s="1"/>
  <c r="M4" i="20" a="1"/>
  <c r="M4" i="20" s="1"/>
  <c r="M5" i="20" a="1"/>
  <c r="M5" i="20"/>
  <c r="N5" i="20" s="1"/>
  <c r="M6" i="20" a="1"/>
  <c r="M6" i="20" s="1"/>
  <c r="N6" i="20" s="1"/>
  <c r="M7" i="20" a="1"/>
  <c r="M7" i="20" s="1"/>
  <c r="M8" i="20" a="1"/>
  <c r="M8" i="20" s="1"/>
  <c r="M9" i="20" a="1"/>
  <c r="M9" i="20" s="1"/>
  <c r="N9" i="20" s="1"/>
  <c r="M10" i="20" a="1"/>
  <c r="M10" i="20" s="1"/>
  <c r="M11" i="20" a="1"/>
  <c r="M11" i="20"/>
  <c r="N11" i="20" s="1"/>
  <c r="M12" i="20" a="1"/>
  <c r="M12" i="20" s="1"/>
  <c r="M13" i="20" a="1"/>
  <c r="M13" i="20"/>
  <c r="N13" i="20" s="1"/>
  <c r="M14" i="20" a="1"/>
  <c r="M14" i="20" s="1"/>
  <c r="M15" i="20" a="1"/>
  <c r="M15" i="20"/>
  <c r="M16" i="20" a="1"/>
  <c r="M16" i="20" s="1"/>
  <c r="N16" i="20" s="1"/>
  <c r="M17" i="20" a="1"/>
  <c r="M17" i="20" s="1"/>
  <c r="M18" i="20" a="1"/>
  <c r="M18" i="20"/>
  <c r="M19" i="20" a="1"/>
  <c r="M19" i="20" s="1"/>
  <c r="N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N25" i="20" s="1"/>
  <c r="M26" i="20" a="1"/>
  <c r="M26" i="20" s="1"/>
  <c r="N26" i="20" s="1"/>
  <c r="M27" i="20" a="1"/>
  <c r="M27" i="20" s="1"/>
  <c r="M28" i="20" a="1"/>
  <c r="M28" i="20" s="1"/>
  <c r="M29" i="20" a="1"/>
  <c r="M29" i="20" s="1"/>
  <c r="M30" i="20" a="1"/>
  <c r="M30" i="20" s="1"/>
  <c r="N30" i="20" s="1"/>
  <c r="M31" i="20" a="1"/>
  <c r="M31" i="20" s="1"/>
  <c r="N31" i="20" s="1"/>
  <c r="M32" i="20" a="1"/>
  <c r="M32" i="20" s="1"/>
  <c r="M33" i="20" a="1"/>
  <c r="M33" i="20" s="1"/>
  <c r="M34" i="20" a="1"/>
  <c r="M34" i="20"/>
  <c r="N34" i="20" s="1"/>
  <c r="M35" i="20" a="1"/>
  <c r="M35" i="20"/>
  <c r="N35" i="20" s="1"/>
  <c r="M36" i="20" a="1"/>
  <c r="M36" i="20" s="1"/>
  <c r="M37" i="20" a="1"/>
  <c r="M37" i="20" s="1"/>
  <c r="N37" i="20" s="1"/>
  <c r="M38" i="20" a="1"/>
  <c r="M38" i="20"/>
  <c r="M39" i="20" a="1"/>
  <c r="M39" i="20" s="1"/>
  <c r="N39" i="20" s="1"/>
  <c r="M40" i="20" a="1"/>
  <c r="M40" i="20" s="1"/>
  <c r="M41" i="20" a="1"/>
  <c r="M41" i="20"/>
  <c r="M42" i="20" a="1"/>
  <c r="M42" i="20" s="1"/>
  <c r="M43" i="20" a="1"/>
  <c r="M43" i="20" s="1"/>
  <c r="M44" i="20" a="1"/>
  <c r="M44" i="20" s="1"/>
  <c r="M45" i="20" a="1"/>
  <c r="M45" i="20" s="1"/>
  <c r="N45" i="20" s="1"/>
  <c r="M46" i="20" a="1"/>
  <c r="M46" i="20" s="1"/>
  <c r="N46" i="20" s="1"/>
  <c r="M47" i="20" a="1"/>
  <c r="M47" i="20"/>
  <c r="M48" i="20" a="1"/>
  <c r="M48" i="20" s="1"/>
  <c r="M49" i="20" a="1"/>
  <c r="M49" i="20" s="1"/>
  <c r="N49" i="20" s="1"/>
  <c r="M50" i="20" a="1"/>
  <c r="M50" i="20" s="1"/>
  <c r="M51" i="20" a="1"/>
  <c r="M51" i="20" s="1"/>
  <c r="N51" i="20" s="1"/>
  <c r="M52" i="20" a="1"/>
  <c r="M52" i="20" s="1"/>
  <c r="M53" i="20" a="1"/>
  <c r="M53" i="20" s="1"/>
  <c r="M54" i="20" a="1"/>
  <c r="M54" i="20"/>
  <c r="M55" i="20" a="1"/>
  <c r="M55" i="20" s="1"/>
  <c r="M56" i="20" a="1"/>
  <c r="M56" i="20" s="1"/>
  <c r="M57" i="20" a="1"/>
  <c r="M57" i="20"/>
  <c r="M58" i="20" a="1"/>
  <c r="M58" i="20" s="1"/>
  <c r="M59" i="20" a="1"/>
  <c r="M59" i="20" s="1"/>
  <c r="M60" i="20" a="1"/>
  <c r="M60" i="20" s="1"/>
  <c r="M61" i="20" a="1"/>
  <c r="M61" i="20" s="1"/>
  <c r="N61" i="20" s="1"/>
  <c r="M62" i="20" a="1"/>
  <c r="M62" i="20" s="1"/>
  <c r="N62" i="20" s="1"/>
  <c r="M63" i="20" a="1"/>
  <c r="M63" i="20" s="1"/>
  <c r="N63" i="20" s="1"/>
  <c r="M64" i="20" a="1"/>
  <c r="M64" i="20" s="1"/>
  <c r="M65" i="20" a="1"/>
  <c r="M65" i="20" s="1"/>
  <c r="M66" i="20" a="1"/>
  <c r="M66" i="20" s="1"/>
  <c r="M67" i="20" a="1"/>
  <c r="M67" i="20"/>
  <c r="N67" i="20" s="1"/>
  <c r="M68" i="20" a="1"/>
  <c r="M68" i="20" s="1"/>
  <c r="M69" i="20" a="1"/>
  <c r="M69" i="20"/>
  <c r="N69" i="20" s="1"/>
  <c r="M70" i="20" a="1"/>
  <c r="M70" i="20" s="1"/>
  <c r="N70" i="20" s="1"/>
  <c r="M71" i="20" a="1"/>
  <c r="M71" i="20" s="1"/>
  <c r="M72" i="20" a="1"/>
  <c r="M72" i="20" s="1"/>
  <c r="M73" i="20" a="1"/>
  <c r="M73" i="20" s="1"/>
  <c r="N73" i="20" s="1"/>
  <c r="M74" i="20" a="1"/>
  <c r="M74" i="20" s="1"/>
  <c r="M75" i="20" a="1"/>
  <c r="M75" i="20" s="1"/>
  <c r="N75" i="20" s="1"/>
  <c r="M76" i="20" a="1"/>
  <c r="M76" i="20" s="1"/>
  <c r="M77" i="20" a="1"/>
  <c r="M77" i="20" s="1"/>
  <c r="N77" i="20" s="1"/>
  <c r="M78" i="20" a="1"/>
  <c r="M78" i="20" s="1"/>
  <c r="M79" i="20" a="1"/>
  <c r="M79" i="20"/>
  <c r="M80" i="20" a="1"/>
  <c r="M80" i="20" s="1"/>
  <c r="M81" i="20" a="1"/>
  <c r="M81" i="20"/>
  <c r="N81" i="20" s="1"/>
  <c r="M82" i="20" a="1"/>
  <c r="M82" i="20" s="1"/>
  <c r="N82" i="20" s="1"/>
  <c r="M83" i="20" a="1"/>
  <c r="M83" i="20" s="1"/>
  <c r="N83" i="20" s="1"/>
  <c r="M84" i="20" a="1"/>
  <c r="M84" i="20" s="1"/>
  <c r="M85" i="20" a="1"/>
  <c r="M85" i="20" s="1"/>
  <c r="M86" i="20" a="1"/>
  <c r="M86" i="20" s="1"/>
  <c r="M87" i="20" a="1"/>
  <c r="M87" i="20"/>
  <c r="M88" i="20" a="1"/>
  <c r="M88" i="20" s="1"/>
  <c r="M89" i="20" a="1"/>
  <c r="M89" i="20" s="1"/>
  <c r="N89" i="20" s="1"/>
  <c r="M90" i="20" a="1"/>
  <c r="M90" i="20"/>
  <c r="M91" i="20" a="1"/>
  <c r="M91" i="20" s="1"/>
  <c r="N91" i="20" s="1"/>
  <c r="M92" i="20" a="1"/>
  <c r="M92" i="20" s="1"/>
  <c r="M93" i="20" a="1"/>
  <c r="M93" i="20"/>
  <c r="M94" i="20" a="1"/>
  <c r="M94" i="20" s="1"/>
  <c r="N94" i="20" s="1"/>
  <c r="M95" i="20" a="1"/>
  <c r="M95" i="20" s="1"/>
  <c r="N95" i="20" s="1"/>
  <c r="M96" i="20" a="1"/>
  <c r="M96" i="20" s="1"/>
  <c r="M97" i="20" a="1"/>
  <c r="M97" i="20" s="1"/>
  <c r="M98" i="20" a="1"/>
  <c r="M98" i="20" s="1"/>
  <c r="M99" i="20" a="1"/>
  <c r="M99" i="20"/>
  <c r="N99" i="20" s="1"/>
  <c r="M100" i="20" a="1"/>
  <c r="M100" i="20" s="1"/>
  <c r="M101" i="20" a="1"/>
  <c r="M101" i="20" s="1"/>
  <c r="M102" i="20" a="1"/>
  <c r="M102" i="20" s="1"/>
  <c r="N102" i="20" s="1"/>
  <c r="M103" i="20" a="1"/>
  <c r="M103" i="20" s="1"/>
  <c r="M104" i="20" a="1"/>
  <c r="M104" i="20" s="1"/>
  <c r="M105" i="20" a="1"/>
  <c r="M105" i="20"/>
  <c r="M106" i="20" a="1"/>
  <c r="M106" i="20" s="1"/>
  <c r="M107" i="20" a="1"/>
  <c r="M107" i="20" s="1"/>
  <c r="M108" i="20" a="1"/>
  <c r="M108" i="20" s="1"/>
  <c r="M109" i="20" a="1"/>
  <c r="M109" i="20" s="1"/>
  <c r="N109" i="20" s="1"/>
  <c r="M110" i="20" a="1"/>
  <c r="M110" i="20" s="1"/>
  <c r="N110" i="20" s="1"/>
  <c r="M111" i="20" a="1"/>
  <c r="M111" i="20"/>
  <c r="M112" i="20" a="1"/>
  <c r="M112" i="20" s="1"/>
  <c r="N112" i="20" s="1"/>
  <c r="M113" i="20" a="1"/>
  <c r="M113" i="20" s="1"/>
  <c r="M114" i="20" a="1"/>
  <c r="M114" i="20" s="1"/>
  <c r="N114" i="20" s="1"/>
  <c r="M115" i="20" a="1"/>
  <c r="M115" i="20" s="1"/>
  <c r="N115" i="20" s="1"/>
  <c r="M116" i="20" a="1"/>
  <c r="M116" i="20" s="1"/>
  <c r="M117" i="20" a="1"/>
  <c r="M117" i="20"/>
  <c r="M118" i="20" a="1"/>
  <c r="M118" i="20" s="1"/>
  <c r="N118" i="20" s="1"/>
  <c r="M119" i="20" a="1"/>
  <c r="M119" i="20" s="1"/>
  <c r="M120" i="20" a="1"/>
  <c r="M120" i="20" s="1"/>
  <c r="N120" i="20" s="1"/>
  <c r="M121" i="20" a="1"/>
  <c r="M121" i="20"/>
  <c r="M122" i="20" a="1"/>
  <c r="M122" i="20"/>
  <c r="M123" i="20" a="1"/>
  <c r="M123" i="20" s="1"/>
  <c r="N123" i="20" s="1"/>
  <c r="M124" i="20" a="1"/>
  <c r="M124" i="20" s="1"/>
  <c r="M125" i="20" a="1"/>
  <c r="M125" i="20"/>
  <c r="M126" i="20" a="1"/>
  <c r="M126" i="20" s="1"/>
  <c r="N126" i="20" s="1"/>
  <c r="M127" i="20" a="1"/>
  <c r="M127" i="20" s="1"/>
  <c r="M128" i="20" a="1"/>
  <c r="M128" i="20" s="1"/>
  <c r="N128" i="20" s="1"/>
  <c r="M129" i="20" a="1"/>
  <c r="M129" i="20" s="1"/>
  <c r="N129" i="20" s="1"/>
  <c r="M130" i="20" a="1"/>
  <c r="M130" i="20" s="1"/>
  <c r="M131" i="20" a="1"/>
  <c r="M131" i="20" s="1"/>
  <c r="N131" i="20" s="1"/>
  <c r="M132" i="20" a="1"/>
  <c r="M132" i="20" s="1"/>
  <c r="M133" i="20" a="1"/>
  <c r="M133" i="20"/>
  <c r="M134" i="20" a="1"/>
  <c r="M134" i="20" s="1"/>
  <c r="M135" i="20" a="1"/>
  <c r="M135" i="20" s="1"/>
  <c r="M136" i="20" a="1"/>
  <c r="M136" i="20"/>
  <c r="N136" i="20" s="1"/>
  <c r="M137" i="20" a="1"/>
  <c r="M137" i="20"/>
  <c r="M138" i="20" a="1"/>
  <c r="M138" i="20" s="1"/>
  <c r="N138" i="20" s="1"/>
  <c r="M139" i="20" a="1"/>
  <c r="M139" i="20" s="1"/>
  <c r="M140" i="20" a="1"/>
  <c r="M140" i="20" s="1"/>
  <c r="N140" i="20" s="1"/>
  <c r="M141" i="20" a="1"/>
  <c r="M141" i="20"/>
  <c r="N141" i="20" s="1"/>
  <c r="M142" i="20" a="1"/>
  <c r="M142" i="20"/>
  <c r="M143" i="20" a="1"/>
  <c r="M143" i="20" s="1"/>
  <c r="M144" i="20" a="1"/>
  <c r="M144" i="20" s="1"/>
  <c r="N144" i="20" s="1"/>
  <c r="M145" i="20" a="1"/>
  <c r="M145" i="20" s="1"/>
  <c r="N145" i="20" s="1"/>
  <c r="M146" i="20" a="1"/>
  <c r="M146" i="20" s="1"/>
  <c r="M147" i="20" a="1"/>
  <c r="M147" i="20" s="1"/>
  <c r="N147" i="20" s="1"/>
  <c r="M148" i="20" a="1"/>
  <c r="M148" i="20" s="1"/>
  <c r="M149" i="20" a="1"/>
  <c r="M149" i="20" s="1"/>
  <c r="N149" i="20" s="1"/>
  <c r="M150" i="20" a="1"/>
  <c r="M150" i="20" s="1"/>
  <c r="M151" i="20" a="1"/>
  <c r="M151" i="20" s="1"/>
  <c r="M152" i="20" a="1"/>
  <c r="M152" i="20" s="1"/>
  <c r="N152" i="20" s="1"/>
  <c r="M153" i="20" a="1"/>
  <c r="M153" i="20"/>
  <c r="M154" i="20" a="1"/>
  <c r="M154" i="20"/>
  <c r="M155" i="20" a="1"/>
  <c r="M155" i="20" s="1"/>
  <c r="M156" i="20" a="1"/>
  <c r="M156" i="20"/>
  <c r="M157" i="20" a="1"/>
  <c r="M157" i="20" s="1"/>
  <c r="M158" i="20" a="1"/>
  <c r="M158" i="20" s="1"/>
  <c r="N158" i="20" s="1"/>
  <c r="M159" i="20" a="1"/>
  <c r="M159" i="20" s="1"/>
  <c r="M160" i="20" a="1"/>
  <c r="M160" i="20" s="1"/>
  <c r="N160" i="20" s="1"/>
  <c r="M161" i="20" a="1"/>
  <c r="M161" i="20"/>
  <c r="N161" i="20" s="1"/>
  <c r="M162" i="20" a="1"/>
  <c r="M162" i="20" s="1"/>
  <c r="N162" i="20" s="1"/>
  <c r="M163" i="20" a="1"/>
  <c r="M163" i="20" s="1"/>
  <c r="N163" i="20" s="1"/>
  <c r="M164" i="20" a="1"/>
  <c r="M164" i="20" s="1"/>
  <c r="M165" i="20" a="1"/>
  <c r="M165" i="20"/>
  <c r="M166" i="20" a="1"/>
  <c r="M166" i="20" s="1"/>
  <c r="M167" i="20" a="1"/>
  <c r="M167" i="20" s="1"/>
  <c r="M168" i="20" a="1"/>
  <c r="M168" i="20" s="1"/>
  <c r="N168" i="20" s="1"/>
  <c r="M169" i="20" a="1"/>
  <c r="M169" i="20"/>
  <c r="M170" i="20" a="1"/>
  <c r="M170" i="20" s="1"/>
  <c r="N170" i="20" s="1"/>
  <c r="M171" i="20" a="1"/>
  <c r="M171" i="20" s="1"/>
  <c r="N171" i="20" s="1"/>
  <c r="M172" i="20" a="1"/>
  <c r="M172" i="20"/>
  <c r="M173" i="20" a="1"/>
  <c r="M173" i="20" s="1"/>
  <c r="N173" i="20" s="1"/>
  <c r="M174" i="20" a="1"/>
  <c r="M174" i="20"/>
  <c r="N174" i="20" s="1"/>
  <c r="M175" i="20" a="1"/>
  <c r="M175" i="20" s="1"/>
  <c r="M176" i="20" a="1"/>
  <c r="M176" i="20" s="1"/>
  <c r="M177" i="20" a="1"/>
  <c r="M177" i="20"/>
  <c r="M178" i="20" a="1"/>
  <c r="M178" i="20" s="1"/>
  <c r="N178" i="20" s="1"/>
  <c r="M179" i="20" a="1"/>
  <c r="M179" i="20" s="1"/>
  <c r="N179" i="20" s="1"/>
  <c r="M180" i="20" a="1"/>
  <c r="M180" i="20" s="1"/>
  <c r="M181" i="20" a="1"/>
  <c r="M181" i="20" s="1"/>
  <c r="M182" i="20" a="1"/>
  <c r="M182" i="20" s="1"/>
  <c r="M183" i="20" a="1"/>
  <c r="M183" i="20" s="1"/>
  <c r="M184" i="20" a="1"/>
  <c r="M184" i="20" s="1"/>
  <c r="N184" i="20" s="1"/>
  <c r="M185" i="20" a="1"/>
  <c r="M185" i="20"/>
  <c r="M186" i="20" a="1"/>
  <c r="M186" i="20"/>
  <c r="M187" i="20" a="1"/>
  <c r="M187" i="20" s="1"/>
  <c r="N187" i="20" s="1"/>
  <c r="M188" i="20" a="1"/>
  <c r="M188" i="20" s="1"/>
  <c r="M189" i="20" a="1"/>
  <c r="M189" i="20"/>
  <c r="M190" i="20" a="1"/>
  <c r="M190" i="20" s="1"/>
  <c r="N190" i="20" s="1"/>
  <c r="M191" i="20" a="1"/>
  <c r="M191" i="20" s="1"/>
  <c r="M192" i="20" a="1"/>
  <c r="M192" i="20" s="1"/>
  <c r="N192" i="20" s="1"/>
  <c r="M193" i="20" a="1"/>
  <c r="M193" i="20" s="1"/>
  <c r="M194" i="20" a="1"/>
  <c r="M194" i="20" s="1"/>
  <c r="M195" i="20" a="1"/>
  <c r="M195" i="20" s="1"/>
  <c r="N195" i="20" s="1"/>
  <c r="M196" i="20" a="1"/>
  <c r="M196" i="20" s="1"/>
  <c r="N196" i="20" s="1"/>
  <c r="M197" i="20" a="1"/>
  <c r="M197" i="20"/>
  <c r="M198" i="20" a="1"/>
  <c r="M198" i="20" s="1"/>
  <c r="M199" i="20" a="1"/>
  <c r="M199" i="20" s="1"/>
  <c r="M200" i="20" a="1"/>
  <c r="M200" i="20" s="1"/>
  <c r="M201" i="20" a="1"/>
  <c r="M201" i="20"/>
  <c r="M202" i="20" a="1"/>
  <c r="M202" i="20" s="1"/>
  <c r="N202" i="20" s="1"/>
  <c r="M203" i="20" a="1"/>
  <c r="M203" i="20" s="1"/>
  <c r="M204" i="20" a="1"/>
  <c r="M204" i="20"/>
  <c r="M205" i="20" a="1"/>
  <c r="M205" i="20" s="1"/>
  <c r="N205" i="20" s="1"/>
  <c r="M206" i="20" a="1"/>
  <c r="M206" i="20"/>
  <c r="N206" i="20" s="1"/>
  <c r="M207" i="20" a="1"/>
  <c r="M207" i="20" s="1"/>
  <c r="M208" i="20" a="1"/>
  <c r="M208" i="20" s="1"/>
  <c r="M209" i="20" a="1"/>
  <c r="M209" i="20"/>
  <c r="M210" i="20" a="1"/>
  <c r="M210" i="20" s="1"/>
  <c r="M211" i="20" a="1"/>
  <c r="M211" i="20" s="1"/>
  <c r="N211" i="20" s="1"/>
  <c r="M212" i="20" a="1"/>
  <c r="M212" i="20" s="1"/>
  <c r="M213" i="20" a="1"/>
  <c r="M213" i="20" s="1"/>
  <c r="N213" i="20" s="1"/>
  <c r="M214" i="20" a="1"/>
  <c r="M214" i="20" s="1"/>
  <c r="M215" i="20" a="1"/>
  <c r="M215" i="20" s="1"/>
  <c r="M216" i="20" a="1"/>
  <c r="M216" i="20" s="1"/>
  <c r="N216" i="20" s="1"/>
  <c r="M217" i="20" a="1"/>
  <c r="M217" i="20" s="1"/>
  <c r="M218" i="20" a="1"/>
  <c r="M218" i="20" s="1"/>
  <c r="N218" i="20" s="1"/>
  <c r="M219" i="20" a="1"/>
  <c r="M219" i="20" s="1"/>
  <c r="N219" i="20" s="1"/>
  <c r="M220" i="20" a="1"/>
  <c r="M220" i="20" s="1"/>
  <c r="N220" i="20" s="1"/>
  <c r="M221" i="20" a="1"/>
  <c r="M221" i="20"/>
  <c r="M222" i="20" a="1"/>
  <c r="M222" i="20" s="1"/>
  <c r="N222" i="20" s="1"/>
  <c r="M223" i="20" a="1"/>
  <c r="M223" i="20" s="1"/>
  <c r="M224" i="20" a="1"/>
  <c r="M224" i="20" s="1"/>
  <c r="N224" i="20" s="1"/>
  <c r="M225" i="20" a="1"/>
  <c r="M225" i="20" s="1"/>
  <c r="M226" i="20" a="1"/>
  <c r="M226" i="20" s="1"/>
  <c r="M227" i="20" a="1"/>
  <c r="M227" i="20" s="1"/>
  <c r="N227" i="20" s="1"/>
  <c r="M228" i="20" a="1"/>
  <c r="M228" i="20" s="1"/>
  <c r="N228" i="20" s="1"/>
  <c r="M229" i="20" a="1"/>
  <c r="M229" i="20"/>
  <c r="M230" i="20" a="1"/>
  <c r="M230" i="20" s="1"/>
  <c r="N230" i="20" s="1"/>
  <c r="M231" i="20" a="1"/>
  <c r="M231" i="20" s="1"/>
  <c r="M232" i="20" a="1"/>
  <c r="M232" i="20" s="1"/>
  <c r="M233" i="20" a="1"/>
  <c r="M233" i="20"/>
  <c r="M234" i="20" a="1"/>
  <c r="M234" i="20" s="1"/>
  <c r="N234" i="20" s="1"/>
  <c r="M235" i="20" a="1"/>
  <c r="M235" i="20" s="1"/>
  <c r="N235" i="20" s="1"/>
  <c r="M236" i="20" a="1"/>
  <c r="M236" i="20"/>
  <c r="M237" i="20" a="1"/>
  <c r="M237" i="20" s="1"/>
  <c r="N237" i="20" s="1"/>
  <c r="M238" i="20" a="1"/>
  <c r="M238" i="20"/>
  <c r="N238" i="20" s="1"/>
  <c r="M239" i="20" a="1"/>
  <c r="M239" i="20" s="1"/>
  <c r="M240" i="20" a="1"/>
  <c r="M240" i="20" s="1"/>
  <c r="M241" i="20" a="1"/>
  <c r="M241" i="20"/>
  <c r="M242" i="20" a="1"/>
  <c r="M242" i="20" s="1"/>
  <c r="N242" i="20" s="1"/>
  <c r="M243" i="20" a="1"/>
  <c r="M243" i="20" s="1"/>
  <c r="N243" i="20" s="1"/>
  <c r="M244" i="20" a="1"/>
  <c r="M244" i="20"/>
  <c r="M245" i="20" a="1"/>
  <c r="M245" i="20" s="1"/>
  <c r="M246" i="20" a="1"/>
  <c r="M246" i="20" s="1"/>
  <c r="N246" i="20" s="1"/>
  <c r="M247" i="20" a="1"/>
  <c r="M247" i="20" s="1"/>
  <c r="M248" i="20" a="1"/>
  <c r="M248" i="20" s="1"/>
  <c r="N248" i="20" s="1"/>
  <c r="M249" i="20" a="1"/>
  <c r="M249" i="20"/>
  <c r="M250" i="20" a="1"/>
  <c r="M250" i="20" s="1"/>
  <c r="N250" i="20" s="1"/>
  <c r="M251" i="20" a="1"/>
  <c r="M251" i="20" s="1"/>
  <c r="M252" i="20" a="1"/>
  <c r="M252" i="20"/>
  <c r="M253" i="20" a="1"/>
  <c r="M253" i="20" s="1"/>
  <c r="N253" i="20" s="1"/>
  <c r="M254" i="20" a="1"/>
  <c r="M254" i="20"/>
  <c r="N254" i="20" s="1"/>
  <c r="M255" i="20" a="1"/>
  <c r="M255" i="20" s="1"/>
  <c r="M256" i="20" a="1"/>
  <c r="M256" i="20" s="1"/>
  <c r="M257" i="20" a="1"/>
  <c r="M257" i="20"/>
  <c r="M258" i="20" a="1"/>
  <c r="M258" i="20" s="1"/>
  <c r="N258" i="20" s="1"/>
  <c r="M259" i="20" a="1"/>
  <c r="M259" i="20" s="1"/>
  <c r="N259" i="20" s="1"/>
  <c r="M260" i="20" a="1"/>
  <c r="M260" i="20" s="1"/>
  <c r="N260" i="20" s="1"/>
  <c r="M261" i="20" a="1"/>
  <c r="M261" i="20"/>
  <c r="M262" i="20" a="1"/>
  <c r="M262" i="20" s="1"/>
  <c r="N262" i="20" s="1"/>
  <c r="M263" i="20" a="1"/>
  <c r="M263" i="20" s="1"/>
  <c r="M264" i="20" a="1"/>
  <c r="M264" i="20" s="1"/>
  <c r="N264" i="20" s="1"/>
  <c r="M265" i="20" a="1"/>
  <c r="M265" i="20" s="1"/>
  <c r="M266" i="20" a="1"/>
  <c r="M266" i="20" s="1"/>
  <c r="N266" i="20" s="1"/>
  <c r="M267" i="20" a="1"/>
  <c r="M267" i="20" s="1"/>
  <c r="M268" i="20" a="1"/>
  <c r="M268" i="20" s="1"/>
  <c r="M269" i="20" a="1"/>
  <c r="M269" i="20"/>
  <c r="N269" i="20" s="1"/>
  <c r="M270" i="20" a="1"/>
  <c r="M270" i="20" s="1"/>
  <c r="N270" i="20" s="1"/>
  <c r="M271" i="20" a="1"/>
  <c r="M271" i="20" s="1"/>
  <c r="M272" i="20" a="1"/>
  <c r="M272" i="20" s="1"/>
  <c r="N272" i="20" s="1"/>
  <c r="M273" i="20" a="1"/>
  <c r="M273" i="20" s="1"/>
  <c r="M274" i="20" a="1"/>
  <c r="M274" i="20" s="1"/>
  <c r="M275" i="20" a="1"/>
  <c r="M275" i="20" s="1"/>
  <c r="N275" i="20" s="1"/>
  <c r="M276" i="20" a="1"/>
  <c r="M276" i="20" s="1"/>
  <c r="N276" i="20" s="1"/>
  <c r="M277" i="20" a="1"/>
  <c r="M277" i="20"/>
  <c r="M278" i="20" a="1"/>
  <c r="M278" i="20" s="1"/>
  <c r="M279" i="20" a="1"/>
  <c r="M279" i="20" s="1"/>
  <c r="M280" i="20" a="1"/>
  <c r="M280" i="20" s="1"/>
  <c r="M281" i="20" a="1"/>
  <c r="M281" i="20"/>
  <c r="M282" i="20" a="1"/>
  <c r="M282" i="20" s="1"/>
  <c r="M283" i="20" a="1"/>
  <c r="M283" i="20" s="1"/>
  <c r="N283" i="20" s="1"/>
  <c r="M284" i="20" a="1"/>
  <c r="M284" i="20" s="1"/>
  <c r="M285" i="20" a="1"/>
  <c r="M285" i="20"/>
  <c r="M286" i="20" a="1"/>
  <c r="M286" i="20"/>
  <c r="N286" i="20" s="1"/>
  <c r="M287" i="20" a="1"/>
  <c r="M287" i="20" s="1"/>
  <c r="M288" i="20" a="1"/>
  <c r="M288" i="20" s="1"/>
  <c r="M289" i="20" a="1"/>
  <c r="M289" i="20" s="1"/>
  <c r="M290" i="20" a="1"/>
  <c r="M290" i="20" s="1"/>
  <c r="M291" i="20" a="1"/>
  <c r="M291" i="20" s="1"/>
  <c r="N291" i="20" s="1"/>
  <c r="M292" i="20" a="1"/>
  <c r="M292" i="20" s="1"/>
  <c r="N292" i="20" s="1"/>
  <c r="M293" i="20" a="1"/>
  <c r="M293" i="20" s="1"/>
  <c r="N293" i="20" s="1"/>
  <c r="M294" i="20" a="1"/>
  <c r="M294" i="20"/>
  <c r="N294" i="20" s="1"/>
  <c r="M295" i="20" a="1"/>
  <c r="M295" i="20" s="1"/>
  <c r="M296" i="20" a="1"/>
  <c r="M296" i="20" s="1"/>
  <c r="M297" i="20" a="1"/>
  <c r="M297" i="20"/>
  <c r="M298" i="20" a="1"/>
  <c r="M298" i="20" s="1"/>
  <c r="N298" i="20" s="1"/>
  <c r="M299" i="20" a="1"/>
  <c r="M299" i="20" s="1"/>
  <c r="M300" i="20" a="1"/>
  <c r="M300" i="20"/>
  <c r="M301" i="20" a="1"/>
  <c r="M301" i="20" s="1"/>
  <c r="N301" i="20" s="1"/>
  <c r="M302" i="20" a="1"/>
  <c r="M302" i="20"/>
  <c r="N302" i="20" s="1"/>
  <c r="M303" i="20" a="1"/>
  <c r="M303" i="20" s="1"/>
  <c r="M304" i="20" a="1"/>
  <c r="M304" i="20" s="1"/>
  <c r="N304" i="20" s="1"/>
  <c r="M305" i="20" a="1"/>
  <c r="M305" i="20"/>
  <c r="M306" i="20" a="1"/>
  <c r="M306" i="20" s="1"/>
  <c r="M307" i="20" a="1"/>
  <c r="M307" i="20" s="1"/>
  <c r="N307" i="20" s="1"/>
  <c r="M308" i="20" a="1"/>
  <c r="M308" i="20"/>
  <c r="M309" i="20" a="1"/>
  <c r="M309" i="20" s="1"/>
  <c r="M310" i="20" a="1"/>
  <c r="M310" i="20" s="1"/>
  <c r="N310" i="20" s="1"/>
  <c r="M311" i="20" a="1"/>
  <c r="M311" i="20" s="1"/>
  <c r="M312" i="20" a="1"/>
  <c r="M312" i="20" s="1"/>
  <c r="M313" i="20" a="1"/>
  <c r="M313" i="20"/>
  <c r="M314" i="20" a="1"/>
  <c r="M314" i="20" s="1"/>
  <c r="N314" i="20" s="1"/>
  <c r="M315" i="20" a="1"/>
  <c r="M315" i="20" s="1"/>
  <c r="N315" i="20" s="1"/>
  <c r="M316" i="20" a="1"/>
  <c r="M316" i="20"/>
  <c r="M317" i="20" a="1"/>
  <c r="M317" i="20" s="1"/>
  <c r="M318" i="20" a="1"/>
  <c r="M318" i="20"/>
  <c r="N318" i="20" s="1"/>
  <c r="M319" i="20" a="1"/>
  <c r="M319" i="20" s="1"/>
  <c r="M320" i="20" a="1"/>
  <c r="M320" i="20" s="1"/>
  <c r="N320" i="20" s="1"/>
  <c r="M321" i="20" a="1"/>
  <c r="M321" i="20"/>
  <c r="M322" i="20" a="1"/>
  <c r="M322" i="20" s="1"/>
  <c r="N322" i="20" s="1"/>
  <c r="M323" i="20" a="1"/>
  <c r="M323" i="20" s="1"/>
  <c r="N323" i="20" s="1"/>
  <c r="M324" i="20" a="1"/>
  <c r="M324" i="20" s="1"/>
  <c r="M325" i="20" a="1"/>
  <c r="M325" i="20"/>
  <c r="M326" i="20" a="1"/>
  <c r="M326" i="20" s="1"/>
  <c r="N326" i="20" s="1"/>
  <c r="M327" i="20" a="1"/>
  <c r="M327" i="20" s="1"/>
  <c r="M328" i="20" a="1"/>
  <c r="M328" i="20" s="1"/>
  <c r="N328" i="20" s="1"/>
  <c r="M329" i="20" a="1"/>
  <c r="M329" i="20" s="1"/>
  <c r="N329" i="20" s="1"/>
  <c r="M330" i="20" a="1"/>
  <c r="M330" i="20" s="1"/>
  <c r="N330" i="20" s="1"/>
  <c r="M331" i="20" a="1"/>
  <c r="M331" i="20" s="1"/>
  <c r="M332" i="20" a="1"/>
  <c r="M332" i="20" s="1"/>
  <c r="M333" i="20" a="1"/>
  <c r="M333" i="20"/>
  <c r="N333" i="20" s="1"/>
  <c r="M334" i="20" a="1"/>
  <c r="M334" i="20" s="1"/>
  <c r="N334" i="20" s="1"/>
  <c r="M335" i="20" a="1"/>
  <c r="M335" i="20" s="1"/>
  <c r="M336" i="20" a="1"/>
  <c r="M336" i="20" s="1"/>
  <c r="N336" i="20" s="1"/>
  <c r="M337" i="20" a="1"/>
  <c r="M337" i="20" s="1"/>
  <c r="M338" i="20" a="1"/>
  <c r="M338" i="20" s="1"/>
  <c r="M339" i="20" a="1"/>
  <c r="M339" i="20" s="1"/>
  <c r="N339" i="20" s="1"/>
  <c r="M340" i="20" a="1"/>
  <c r="M340" i="20" s="1"/>
  <c r="M341" i="20" a="1"/>
  <c r="M341" i="20"/>
  <c r="M342" i="20" a="1"/>
  <c r="M342" i="20" s="1"/>
  <c r="N342" i="20" s="1"/>
  <c r="M343" i="20" a="1"/>
  <c r="M343" i="20" s="1"/>
  <c r="M344" i="20" a="1"/>
  <c r="M344" i="20" s="1"/>
  <c r="M345" i="20" a="1"/>
  <c r="M345" i="20" s="1"/>
  <c r="M346" i="20" a="1"/>
  <c r="M346" i="20" s="1"/>
  <c r="N346" i="20" s="1"/>
  <c r="M347" i="20" a="1"/>
  <c r="M347" i="20" s="1"/>
  <c r="M348" i="20" a="1"/>
  <c r="M348" i="20"/>
  <c r="M349" i="20" a="1"/>
  <c r="M349" i="20"/>
  <c r="M350" i="20" a="1"/>
  <c r="M350" i="20" s="1"/>
  <c r="N350" i="20" s="1"/>
  <c r="M351" i="20" a="1"/>
  <c r="M351" i="20" s="1"/>
  <c r="M352" i="20" a="1"/>
  <c r="M352" i="20" s="1"/>
  <c r="M353" i="20" a="1"/>
  <c r="M353" i="20"/>
  <c r="M354" i="20" a="1"/>
  <c r="M354" i="20" s="1"/>
  <c r="M355" i="20" a="1"/>
  <c r="M355" i="20" s="1"/>
  <c r="M356" i="20" a="1"/>
  <c r="M356" i="20" s="1"/>
  <c r="N356" i="20" s="1"/>
  <c r="M357" i="20" a="1"/>
  <c r="M357" i="20" s="1"/>
  <c r="M358" i="20" a="1"/>
  <c r="M358" i="20"/>
  <c r="N358" i="20" s="1"/>
  <c r="M359" i="20" a="1"/>
  <c r="M359" i="20" s="1"/>
  <c r="M360" i="20" a="1"/>
  <c r="M360" i="20" s="1"/>
  <c r="N360" i="20" s="1"/>
  <c r="M361" i="20" a="1"/>
  <c r="M361" i="20" s="1"/>
  <c r="N361" i="20" s="1"/>
  <c r="M362" i="20" a="1"/>
  <c r="M362" i="20" s="1"/>
  <c r="N362" i="20" s="1"/>
  <c r="M363" i="20" a="1"/>
  <c r="M363" i="20" s="1"/>
  <c r="M364" i="20" a="1"/>
  <c r="M364" i="20"/>
  <c r="M365" i="20" a="1"/>
  <c r="M365" i="20" s="1"/>
  <c r="N365" i="20" s="1"/>
  <c r="M366" i="20" a="1"/>
  <c r="M366" i="20"/>
  <c r="N366" i="20" s="1"/>
  <c r="M367" i="20" a="1"/>
  <c r="M367" i="20" s="1"/>
  <c r="M368" i="20" a="1"/>
  <c r="M368" i="20" s="1"/>
  <c r="N368" i="20" s="1"/>
  <c r="M369" i="20" a="1"/>
  <c r="M369" i="20"/>
  <c r="M370" i="20" a="1"/>
  <c r="M370" i="20" s="1"/>
  <c r="N370" i="20" s="1"/>
  <c r="M371" i="20" a="1"/>
  <c r="M371" i="20" s="1"/>
  <c r="N371" i="20" s="1"/>
  <c r="M372" i="20" a="1"/>
  <c r="M372" i="20"/>
  <c r="M373" i="20" a="1"/>
  <c r="M373" i="20" s="1"/>
  <c r="M374" i="20" a="1"/>
  <c r="M374" i="20" s="1"/>
  <c r="N374" i="20" s="1"/>
  <c r="M375" i="20" a="1"/>
  <c r="M375" i="20" s="1"/>
  <c r="M376" i="20" a="1"/>
  <c r="M376" i="20" s="1"/>
  <c r="M377" i="20" a="1"/>
  <c r="M377" i="20"/>
  <c r="M378" i="20" a="1"/>
  <c r="M378" i="20" s="1"/>
  <c r="N378" i="20" s="1"/>
  <c r="M379" i="20" a="1"/>
  <c r="M379" i="20" s="1"/>
  <c r="N379" i="20" s="1"/>
  <c r="M380" i="20" a="1"/>
  <c r="M380" i="20"/>
  <c r="M381" i="20" a="1"/>
  <c r="M381" i="20"/>
  <c r="N381" i="20" s="1"/>
  <c r="M382" i="20" a="1"/>
  <c r="M382" i="20"/>
  <c r="N382" i="20" s="1"/>
  <c r="M383" i="20" a="1"/>
  <c r="M383" i="20" s="1"/>
  <c r="M384" i="20" a="1"/>
  <c r="M384" i="20" s="1"/>
  <c r="N384" i="20" s="1"/>
  <c r="M385" i="20" a="1"/>
  <c r="M385" i="20"/>
  <c r="M386" i="20" a="1"/>
  <c r="M386" i="20" s="1"/>
  <c r="N386" i="20" s="1"/>
  <c r="M387" i="20" a="1"/>
  <c r="M387" i="20" s="1"/>
  <c r="M388" i="20" a="1"/>
  <c r="M388" i="20" s="1"/>
  <c r="N388" i="20" s="1"/>
  <c r="M389" i="20" a="1"/>
  <c r="M389" i="20"/>
  <c r="N389" i="20" s="1"/>
  <c r="M390" i="20" a="1"/>
  <c r="M390" i="20" s="1"/>
  <c r="N390" i="20" s="1"/>
  <c r="M391" i="20" a="1"/>
  <c r="M391" i="20" s="1"/>
  <c r="M392" i="20" a="1"/>
  <c r="M392" i="20" s="1"/>
  <c r="N392" i="20" s="1"/>
  <c r="M393" i="20" a="1"/>
  <c r="M393" i="20" s="1"/>
  <c r="M394" i="20" a="1"/>
  <c r="M394" i="20" s="1"/>
  <c r="N394" i="20" s="1"/>
  <c r="M395" i="20" a="1"/>
  <c r="M395" i="20" s="1"/>
  <c r="M396" i="20" a="1"/>
  <c r="M396" i="20" s="1"/>
  <c r="M397" i="20" a="1"/>
  <c r="M397" i="20"/>
  <c r="N397" i="20" s="1"/>
  <c r="M398" i="20" a="1"/>
  <c r="M398" i="20" s="1"/>
  <c r="M399" i="20" a="1"/>
  <c r="M399" i="20" s="1"/>
  <c r="N399" i="20" s="1"/>
  <c r="M400" i="20" a="1"/>
  <c r="M400" i="20" s="1"/>
  <c r="N400" i="20" s="1"/>
  <c r="M401" i="20" a="1"/>
  <c r="M401" i="20" s="1"/>
  <c r="M402" i="20" a="1"/>
  <c r="M402" i="20" s="1"/>
  <c r="N402" i="20" s="1"/>
  <c r="M403" i="20" a="1"/>
  <c r="M403" i="20" s="1"/>
  <c r="N403" i="20" s="1"/>
  <c r="M404" i="20" a="1"/>
  <c r="M404" i="20" s="1"/>
  <c r="M405" i="20" a="1"/>
  <c r="M405" i="20" s="1"/>
  <c r="N405" i="20" s="1"/>
  <c r="M406" i="20" a="1"/>
  <c r="M406" i="20" s="1"/>
  <c r="N406" i="20" s="1"/>
  <c r="N4" i="20"/>
  <c r="N7" i="20"/>
  <c r="N10" i="20"/>
  <c r="N12" i="20"/>
  <c r="N15" i="20"/>
  <c r="N17" i="20"/>
  <c r="N20" i="20"/>
  <c r="N21" i="20"/>
  <c r="N24" i="20"/>
  <c r="N28" i="20"/>
  <c r="N29" i="20"/>
  <c r="N32" i="20"/>
  <c r="N33" i="20"/>
  <c r="N36" i="20"/>
  <c r="N40" i="20"/>
  <c r="N41" i="20"/>
  <c r="N42" i="20"/>
  <c r="N44" i="20"/>
  <c r="N47" i="20"/>
  <c r="N48" i="20"/>
  <c r="N53" i="20"/>
  <c r="N56" i="20"/>
  <c r="N57" i="20"/>
  <c r="N58" i="20"/>
  <c r="N60" i="20"/>
  <c r="N64" i="20"/>
  <c r="N65" i="20"/>
  <c r="N71" i="20"/>
  <c r="N74" i="20"/>
  <c r="N76" i="20"/>
  <c r="N79" i="20"/>
  <c r="N80" i="20"/>
  <c r="N84" i="20"/>
  <c r="N85" i="20"/>
  <c r="N87" i="20"/>
  <c r="N88" i="20"/>
  <c r="N90" i="20"/>
  <c r="N92" i="20"/>
  <c r="N93" i="20"/>
  <c r="N96" i="20"/>
  <c r="N97" i="20"/>
  <c r="N100" i="20"/>
  <c r="N103" i="20"/>
  <c r="N104" i="20"/>
  <c r="N105" i="20"/>
  <c r="N106" i="20"/>
  <c r="N108" i="20"/>
  <c r="N113" i="20"/>
  <c r="N117" i="20"/>
  <c r="N119" i="20"/>
  <c r="N121" i="20"/>
  <c r="N122" i="20"/>
  <c r="N124" i="20"/>
  <c r="N125" i="20"/>
  <c r="N133" i="20"/>
  <c r="N135" i="20"/>
  <c r="N137" i="20"/>
  <c r="N143" i="20"/>
  <c r="N151" i="20"/>
  <c r="N153" i="20"/>
  <c r="N154" i="20"/>
  <c r="N156" i="20"/>
  <c r="N157" i="20"/>
  <c r="N159" i="20"/>
  <c r="N165" i="20"/>
  <c r="N167" i="20"/>
  <c r="N169" i="20"/>
  <c r="N172" i="20"/>
  <c r="N175" i="20"/>
  <c r="N177" i="20"/>
  <c r="N181" i="20"/>
  <c r="N183" i="20"/>
  <c r="N185" i="20"/>
  <c r="N186" i="20"/>
  <c r="N188" i="20"/>
  <c r="N189" i="20"/>
  <c r="N191" i="20"/>
  <c r="N193" i="20"/>
  <c r="N197" i="20"/>
  <c r="N199" i="20"/>
  <c r="N201" i="20"/>
  <c r="N204" i="20"/>
  <c r="N207" i="20"/>
  <c r="N209" i="20"/>
  <c r="N215" i="20"/>
  <c r="N217" i="20"/>
  <c r="N221" i="20"/>
  <c r="N223" i="20"/>
  <c r="N225" i="20"/>
  <c r="N229" i="20"/>
  <c r="N231" i="20"/>
  <c r="N233" i="20"/>
  <c r="N236" i="20"/>
  <c r="N241" i="20"/>
  <c r="N244" i="20"/>
  <c r="N245" i="20"/>
  <c r="N247" i="20"/>
  <c r="N249" i="20"/>
  <c r="N252" i="20"/>
  <c r="N255" i="20"/>
  <c r="N257" i="20"/>
  <c r="N261" i="20"/>
  <c r="N263" i="20"/>
  <c r="N265" i="20"/>
  <c r="N268" i="20"/>
  <c r="N271" i="20"/>
  <c r="N273" i="20"/>
  <c r="N277" i="20"/>
  <c r="N279" i="20"/>
  <c r="N281" i="20"/>
  <c r="N284" i="20"/>
  <c r="N285" i="20"/>
  <c r="N287" i="20"/>
  <c r="N289" i="20"/>
  <c r="N295" i="20"/>
  <c r="N297" i="20"/>
  <c r="N300" i="20"/>
  <c r="N303" i="20"/>
  <c r="N305" i="20"/>
  <c r="N308" i="20"/>
  <c r="N309" i="20"/>
  <c r="N313" i="20"/>
  <c r="N316" i="20"/>
  <c r="N317" i="20"/>
  <c r="N319" i="20"/>
  <c r="N321" i="20"/>
  <c r="N325" i="20"/>
  <c r="N327" i="20"/>
  <c r="N332" i="20"/>
  <c r="N335" i="20"/>
  <c r="N337" i="20"/>
  <c r="N340" i="20"/>
  <c r="N341" i="20"/>
  <c r="N343" i="20"/>
  <c r="N345" i="20"/>
  <c r="N349" i="20"/>
  <c r="N351" i="20"/>
  <c r="N353" i="20"/>
  <c r="N357" i="20"/>
  <c r="N359" i="20"/>
  <c r="N364" i="20"/>
  <c r="N367" i="20"/>
  <c r="N369" i="20"/>
  <c r="N372" i="20"/>
  <c r="N373" i="20"/>
  <c r="N375" i="20"/>
  <c r="N377" i="20"/>
  <c r="N380" i="20"/>
  <c r="N383" i="20"/>
  <c r="N385" i="20"/>
  <c r="N391" i="20"/>
  <c r="N393" i="20"/>
  <c r="N396" i="20"/>
  <c r="N401" i="20"/>
  <c r="O2" i="20" a="1"/>
  <c r="O2" i="20" s="1"/>
  <c r="O3" i="20" a="1"/>
  <c r="O3" i="20" s="1"/>
  <c r="O4" i="20" a="1"/>
  <c r="O4" i="20" s="1"/>
  <c r="O5" i="20" a="1"/>
  <c r="O5" i="20" s="1"/>
  <c r="O6" i="20" a="1"/>
  <c r="O6" i="20"/>
  <c r="O7" i="20" a="1"/>
  <c r="O7" i="20" s="1"/>
  <c r="O8" i="20" a="1"/>
  <c r="O8" i="20"/>
  <c r="O9" i="20" a="1"/>
  <c r="O9" i="20" s="1"/>
  <c r="O10" i="20" a="1"/>
  <c r="O10" i="20" s="1"/>
  <c r="O11" i="20" a="1"/>
  <c r="O11" i="20" s="1"/>
  <c r="O12" i="20" a="1"/>
  <c r="O12" i="20"/>
  <c r="O13" i="20" a="1"/>
  <c r="O13" i="20" s="1"/>
  <c r="O14" i="20" a="1"/>
  <c r="O14" i="20"/>
  <c r="O15" i="20" a="1"/>
  <c r="O15" i="20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/>
  <c r="O29" i="20" a="1"/>
  <c r="O29" i="20" s="1"/>
  <c r="O30" i="20" a="1"/>
  <c r="O30" i="20" s="1"/>
  <c r="O31" i="20" a="1"/>
  <c r="O31" i="20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/>
  <c r="O63" i="20" a="1"/>
  <c r="O63" i="20"/>
  <c r="O64" i="20" a="1"/>
  <c r="O64" i="20" s="1"/>
  <c r="O65" i="20" a="1"/>
  <c r="O65" i="20" s="1"/>
  <c r="O66" i="20" a="1"/>
  <c r="O66" i="20" s="1"/>
  <c r="O67" i="20" a="1"/>
  <c r="O67" i="20" s="1"/>
  <c r="O68" i="20" a="1"/>
  <c r="O68" i="20" s="1"/>
  <c r="O69" i="20" a="1"/>
  <c r="O69" i="20" s="1"/>
  <c r="O70" i="20" a="1"/>
  <c r="O70" i="20" s="1"/>
  <c r="O71" i="20" a="1"/>
  <c r="O71" i="20"/>
  <c r="O72" i="20" a="1"/>
  <c r="O72" i="20" s="1"/>
  <c r="O73" i="20" a="1"/>
  <c r="O73" i="20" s="1"/>
  <c r="O74" i="20" a="1"/>
  <c r="O74" i="20" s="1"/>
  <c r="O75" i="20" a="1"/>
  <c r="O75" i="20" s="1"/>
  <c r="O76" i="20" a="1"/>
  <c r="O76" i="20" s="1"/>
  <c r="O77" i="20" a="1"/>
  <c r="O77" i="20" s="1"/>
  <c r="O78" i="20" a="1"/>
  <c r="O78" i="20" s="1"/>
  <c r="O79" i="20" a="1"/>
  <c r="O79" i="20"/>
  <c r="O80" i="20" a="1"/>
  <c r="O80" i="20"/>
  <c r="O81" i="20" a="1"/>
  <c r="O81" i="20" s="1"/>
  <c r="O82" i="20" a="1"/>
  <c r="O82" i="20" s="1"/>
  <c r="O83" i="20" a="1"/>
  <c r="O83" i="20" s="1"/>
  <c r="O84" i="20" a="1"/>
  <c r="O84" i="20" s="1"/>
  <c r="O85" i="20" a="1"/>
  <c r="O85" i="20" s="1"/>
  <c r="O86" i="20" a="1"/>
  <c r="O86" i="20" s="1"/>
  <c r="O87" i="20" a="1"/>
  <c r="O87" i="20" s="1"/>
  <c r="O88" i="20" a="1"/>
  <c r="O88" i="20"/>
  <c r="O89" i="20" a="1"/>
  <c r="O89" i="20" s="1"/>
  <c r="O90" i="20" a="1"/>
  <c r="O90" i="20" s="1"/>
  <c r="O91" i="20" a="1"/>
  <c r="O91" i="20" s="1"/>
  <c r="O92" i="20" a="1"/>
  <c r="O92" i="20" s="1"/>
  <c r="O93" i="20" a="1"/>
  <c r="O93" i="20" s="1"/>
  <c r="O94" i="20" a="1"/>
  <c r="O94" i="20" s="1"/>
  <c r="O95" i="20" a="1"/>
  <c r="O95" i="20" s="1"/>
  <c r="O96" i="20" a="1"/>
  <c r="O96" i="20"/>
  <c r="O97" i="20" a="1"/>
  <c r="O97" i="20" s="1"/>
  <c r="O98" i="20" a="1"/>
  <c r="O98" i="20" s="1"/>
  <c r="O99" i="20" a="1"/>
  <c r="O99" i="20" s="1"/>
  <c r="O100" i="20" a="1"/>
  <c r="O100" i="20" s="1"/>
  <c r="O101" i="20" a="1"/>
  <c r="O101" i="20" s="1"/>
  <c r="O102" i="20" a="1"/>
  <c r="O102" i="20" s="1"/>
  <c r="O103" i="20" a="1"/>
  <c r="O103" i="20" s="1"/>
  <c r="O104" i="20" a="1"/>
  <c r="O104" i="20" s="1"/>
  <c r="O105" i="20" a="1"/>
  <c r="O105" i="20" s="1"/>
  <c r="O106" i="20" a="1"/>
  <c r="O106" i="20" s="1"/>
  <c r="O107" i="20" a="1"/>
  <c r="O107" i="20" s="1"/>
  <c r="O108" i="20" a="1"/>
  <c r="O108" i="20" s="1"/>
  <c r="O109" i="20" a="1"/>
  <c r="O109" i="20" s="1"/>
  <c r="O110" i="20" a="1"/>
  <c r="O110" i="20"/>
  <c r="O111" i="20" a="1"/>
  <c r="O111" i="20" s="1"/>
  <c r="O112" i="20" a="1"/>
  <c r="O112" i="20" s="1"/>
  <c r="O113" i="20" a="1"/>
  <c r="O113" i="20" s="1"/>
  <c r="O114" i="20" a="1"/>
  <c r="O114" i="20" s="1"/>
  <c r="O115" i="20" a="1"/>
  <c r="O115" i="20" s="1"/>
  <c r="O116" i="20" a="1"/>
  <c r="O116" i="20" s="1"/>
  <c r="O117" i="20" a="1"/>
  <c r="O117" i="20" s="1"/>
  <c r="O118" i="20" a="1"/>
  <c r="O118" i="20"/>
  <c r="O119" i="20" a="1"/>
  <c r="O119" i="20" s="1"/>
  <c r="O120" i="20" a="1"/>
  <c r="O120" i="20" s="1"/>
  <c r="O121" i="20" a="1"/>
  <c r="O121" i="20" s="1"/>
  <c r="O122" i="20" a="1"/>
  <c r="O122" i="20" s="1"/>
  <c r="O123" i="20" a="1"/>
  <c r="O123" i="20" s="1"/>
  <c r="O124" i="20" a="1"/>
  <c r="O124" i="20" s="1"/>
  <c r="O125" i="20" a="1"/>
  <c r="O125" i="20" s="1"/>
  <c r="O126" i="20" a="1"/>
  <c r="O126" i="20"/>
  <c r="O127" i="20" a="1"/>
  <c r="O127" i="20"/>
  <c r="O128" i="20" a="1"/>
  <c r="O128" i="20" s="1"/>
  <c r="O129" i="20" a="1"/>
  <c r="O129" i="20" s="1"/>
  <c r="O130" i="20" a="1"/>
  <c r="O130" i="20" s="1"/>
  <c r="O131" i="20" a="1"/>
  <c r="O131" i="20" s="1"/>
  <c r="O132" i="20" a="1"/>
  <c r="O132" i="20" s="1"/>
  <c r="O133" i="20" a="1"/>
  <c r="O133" i="20" s="1"/>
  <c r="O134" i="20" a="1"/>
  <c r="O134" i="20" s="1"/>
  <c r="O135" i="20" a="1"/>
  <c r="O135" i="20"/>
  <c r="O136" i="20" a="1"/>
  <c r="O136" i="20" s="1"/>
  <c r="O137" i="20" a="1"/>
  <c r="O137" i="20" s="1"/>
  <c r="O138" i="20" a="1"/>
  <c r="O138" i="20" s="1"/>
  <c r="O139" i="20" a="1"/>
  <c r="O139" i="20" s="1"/>
  <c r="O140" i="20" a="1"/>
  <c r="O140" i="20" s="1"/>
  <c r="O141" i="20" a="1"/>
  <c r="O141" i="20" s="1"/>
  <c r="O142" i="20" a="1"/>
  <c r="O142" i="20" s="1"/>
  <c r="O143" i="20" a="1"/>
  <c r="O143" i="20"/>
  <c r="O144" i="20" a="1"/>
  <c r="O144" i="20"/>
  <c r="O145" i="20" a="1"/>
  <c r="O145" i="20" s="1"/>
  <c r="O146" i="20" a="1"/>
  <c r="O146" i="20" s="1"/>
  <c r="O147" i="20" a="1"/>
  <c r="O147" i="20" s="1"/>
  <c r="O148" i="20" a="1"/>
  <c r="O148" i="20" s="1"/>
  <c r="O149" i="20" a="1"/>
  <c r="O149" i="20" s="1"/>
  <c r="O150" i="20" a="1"/>
  <c r="O150" i="20" s="1"/>
  <c r="O151" i="20" a="1"/>
  <c r="O151" i="20" s="1"/>
  <c r="O152" i="20" a="1"/>
  <c r="O152" i="20"/>
  <c r="O153" i="20" a="1"/>
  <c r="O153" i="20" s="1"/>
  <c r="O154" i="20" a="1"/>
  <c r="O154" i="20" s="1"/>
  <c r="O155" i="20" a="1"/>
  <c r="O155" i="20" s="1"/>
  <c r="O156" i="20" a="1"/>
  <c r="O156" i="20" s="1"/>
  <c r="O157" i="20" a="1"/>
  <c r="O157" i="20" s="1"/>
  <c r="O158" i="20" a="1"/>
  <c r="O158" i="20" s="1"/>
  <c r="O159" i="20" a="1"/>
  <c r="O159" i="20" s="1"/>
  <c r="O160" i="20" a="1"/>
  <c r="O160" i="20"/>
  <c r="O161" i="20" a="1"/>
  <c r="O161" i="20" s="1"/>
  <c r="O162" i="20" a="1"/>
  <c r="O162" i="20" s="1"/>
  <c r="O163" i="20" a="1"/>
  <c r="O163" i="20" s="1"/>
  <c r="O164" i="20" a="1"/>
  <c r="O164" i="20" s="1"/>
  <c r="O165" i="20" a="1"/>
  <c r="O165" i="20" s="1"/>
  <c r="O166" i="20" a="1"/>
  <c r="O166" i="20" s="1"/>
  <c r="O167" i="20" a="1"/>
  <c r="O167" i="20" s="1"/>
  <c r="O168" i="20" a="1"/>
  <c r="O168" i="20" s="1"/>
  <c r="O169" i="20" a="1"/>
  <c r="O169" i="20" s="1"/>
  <c r="O170" i="20" a="1"/>
  <c r="O170" i="20" s="1"/>
  <c r="O171" i="20" a="1"/>
  <c r="O171" i="20" s="1"/>
  <c r="O172" i="20" a="1"/>
  <c r="O172" i="20" s="1"/>
  <c r="O173" i="20" a="1"/>
  <c r="O173" i="20" s="1"/>
  <c r="O174" i="20" a="1"/>
  <c r="O174" i="20"/>
  <c r="O175" i="20" a="1"/>
  <c r="O175" i="20" s="1"/>
  <c r="O176" i="20" a="1"/>
  <c r="O176" i="20" s="1"/>
  <c r="O177" i="20" a="1"/>
  <c r="O177" i="20" s="1"/>
  <c r="O178" i="20" a="1"/>
  <c r="O178" i="20" s="1"/>
  <c r="O179" i="20" a="1"/>
  <c r="O179" i="20" s="1"/>
  <c r="O180" i="20" a="1"/>
  <c r="O180" i="20" s="1"/>
  <c r="O181" i="20" a="1"/>
  <c r="O181" i="20" s="1"/>
  <c r="O182" i="20" a="1"/>
  <c r="O182" i="20"/>
  <c r="O183" i="20" a="1"/>
  <c r="O183" i="20" s="1"/>
  <c r="O184" i="20" a="1"/>
  <c r="O184" i="20" s="1"/>
  <c r="O185" i="20" a="1"/>
  <c r="O185" i="20" s="1"/>
  <c r="O186" i="20" a="1"/>
  <c r="O186" i="20" s="1"/>
  <c r="O187" i="20" a="1"/>
  <c r="O187" i="20" s="1"/>
  <c r="O188" i="20" a="1"/>
  <c r="O188" i="20" s="1"/>
  <c r="O189" i="20" a="1"/>
  <c r="O189" i="20" s="1"/>
  <c r="O190" i="20" a="1"/>
  <c r="O190" i="20"/>
  <c r="O191" i="20" a="1"/>
  <c r="O191" i="20"/>
  <c r="O192" i="20" a="1"/>
  <c r="O192" i="20" s="1"/>
  <c r="O193" i="20" a="1"/>
  <c r="O193" i="20" s="1"/>
  <c r="O194" i="20" a="1"/>
  <c r="O194" i="20" s="1"/>
  <c r="O195" i="20" a="1"/>
  <c r="O195" i="20" s="1"/>
  <c r="O196" i="20" a="1"/>
  <c r="O196" i="20" s="1"/>
  <c r="O197" i="20" a="1"/>
  <c r="O197" i="20" s="1"/>
  <c r="O198" i="20" a="1"/>
  <c r="O198" i="20" s="1"/>
  <c r="O199" i="20" a="1"/>
  <c r="O199" i="20" s="1"/>
  <c r="O200" i="20" a="1"/>
  <c r="O200" i="20" s="1"/>
  <c r="O201" i="20" a="1"/>
  <c r="O201" i="20" s="1"/>
  <c r="O202" i="20" a="1"/>
  <c r="O202" i="20" s="1"/>
  <c r="O203" i="20" a="1"/>
  <c r="O203" i="20" s="1"/>
  <c r="O204" i="20" a="1"/>
  <c r="O204" i="20" s="1"/>
  <c r="O205" i="20" a="1"/>
  <c r="O205" i="20" s="1"/>
  <c r="O206" i="20" a="1"/>
  <c r="O206" i="20" s="1"/>
  <c r="O207" i="20" a="1"/>
  <c r="O207" i="20" s="1"/>
  <c r="O208" i="20" a="1"/>
  <c r="O208" i="20" s="1"/>
  <c r="O209" i="20" a="1"/>
  <c r="O209" i="20" s="1"/>
  <c r="O210" i="20" a="1"/>
  <c r="O210" i="20" s="1"/>
  <c r="O211" i="20" a="1"/>
  <c r="O211" i="20" s="1"/>
  <c r="O212" i="20" a="1"/>
  <c r="O212" i="20" s="1"/>
  <c r="O213" i="20" a="1"/>
  <c r="O213" i="20" s="1"/>
  <c r="O214" i="20" a="1"/>
  <c r="O214" i="20" s="1"/>
  <c r="O215" i="20" a="1"/>
  <c r="O215" i="20" s="1"/>
  <c r="O216" i="20" a="1"/>
  <c r="O216" i="20" s="1"/>
  <c r="O217" i="20" a="1"/>
  <c r="O217" i="20" s="1"/>
  <c r="O218" i="20" a="1"/>
  <c r="O218" i="20" s="1"/>
  <c r="O219" i="20" a="1"/>
  <c r="O219" i="20" s="1"/>
  <c r="O220" i="20" a="1"/>
  <c r="O220" i="20" s="1"/>
  <c r="O221" i="20" a="1"/>
  <c r="O221" i="20" s="1"/>
  <c r="O222" i="20" a="1"/>
  <c r="O222" i="20" s="1"/>
  <c r="O223" i="20" a="1"/>
  <c r="O223" i="20" s="1"/>
  <c r="O224" i="20" a="1"/>
  <c r="O224" i="20" s="1"/>
  <c r="O225" i="20" a="1"/>
  <c r="O225" i="20" s="1"/>
  <c r="O226" i="20" a="1"/>
  <c r="O226" i="20" s="1"/>
  <c r="O227" i="20" a="1"/>
  <c r="O227" i="20"/>
  <c r="O228" i="20" a="1"/>
  <c r="O228" i="20" s="1"/>
  <c r="O229" i="20" a="1"/>
  <c r="O229" i="20" s="1"/>
  <c r="O230" i="20" a="1"/>
  <c r="O230" i="20" s="1"/>
  <c r="O231" i="20" a="1"/>
  <c r="O231" i="20"/>
  <c r="O232" i="20" a="1"/>
  <c r="O232" i="20" s="1"/>
  <c r="O233" i="20" a="1"/>
  <c r="O233" i="20" s="1"/>
  <c r="O234" i="20" a="1"/>
  <c r="O234" i="20" s="1"/>
  <c r="O235" i="20" a="1"/>
  <c r="O235" i="20" s="1"/>
  <c r="O236" i="20" a="1"/>
  <c r="O236" i="20" s="1"/>
  <c r="O237" i="20" a="1"/>
  <c r="O237" i="20" s="1"/>
  <c r="O238" i="20" a="1"/>
  <c r="O238" i="20" s="1"/>
  <c r="O239" i="20" a="1"/>
  <c r="O239" i="20" s="1"/>
  <c r="O240" i="20" a="1"/>
  <c r="O240" i="20" s="1"/>
  <c r="O241" i="20" a="1"/>
  <c r="O241" i="20" s="1"/>
  <c r="O242" i="20" a="1"/>
  <c r="O242" i="20" s="1"/>
  <c r="O243" i="20" a="1"/>
  <c r="O243" i="20" s="1"/>
  <c r="O244" i="20" a="1"/>
  <c r="O244" i="20" s="1"/>
  <c r="O245" i="20" a="1"/>
  <c r="O245" i="20" s="1"/>
  <c r="O246" i="20" a="1"/>
  <c r="O246" i="20"/>
  <c r="O247" i="20" a="1"/>
  <c r="O247" i="20" s="1"/>
  <c r="O248" i="20" a="1"/>
  <c r="O248" i="20" s="1"/>
  <c r="O249" i="20" a="1"/>
  <c r="O249" i="20" s="1"/>
  <c r="O250" i="20" a="1"/>
  <c r="O250" i="20" s="1"/>
  <c r="O251" i="20" a="1"/>
  <c r="O251" i="20" s="1"/>
  <c r="O252" i="20" a="1"/>
  <c r="O252" i="20" s="1"/>
  <c r="O253" i="20" a="1"/>
  <c r="O253" i="20" s="1"/>
  <c r="O254" i="20" a="1"/>
  <c r="O254" i="20"/>
  <c r="O255" i="20" a="1"/>
  <c r="O255" i="20" s="1"/>
  <c r="O256" i="20" a="1"/>
  <c r="O256" i="20" s="1"/>
  <c r="O257" i="20" a="1"/>
  <c r="O257" i="20" s="1"/>
  <c r="O258" i="20" a="1"/>
  <c r="O258" i="20" s="1"/>
  <c r="O259" i="20" a="1"/>
  <c r="O259" i="20" s="1"/>
  <c r="O260" i="20" a="1"/>
  <c r="O260" i="20" s="1"/>
  <c r="O261" i="20" a="1"/>
  <c r="O261" i="20" s="1"/>
  <c r="O262" i="20" a="1"/>
  <c r="O262" i="20" s="1"/>
  <c r="O263" i="20" a="1"/>
  <c r="O263" i="20"/>
  <c r="O264" i="20" a="1"/>
  <c r="O264" i="20" s="1"/>
  <c r="O265" i="20" a="1"/>
  <c r="O265" i="20" s="1"/>
  <c r="O266" i="20" a="1"/>
  <c r="O266" i="20" s="1"/>
  <c r="O267" i="20" a="1"/>
  <c r="O267" i="20" s="1"/>
  <c r="O268" i="20" a="1"/>
  <c r="O268" i="20" s="1"/>
  <c r="O269" i="20" a="1"/>
  <c r="O269" i="20" s="1"/>
  <c r="O270" i="20" a="1"/>
  <c r="O270" i="20"/>
  <c r="O271" i="20" a="1"/>
  <c r="O271" i="20" s="1"/>
  <c r="O272" i="20" a="1"/>
  <c r="O272" i="20" s="1"/>
  <c r="O273" i="20" a="1"/>
  <c r="O273" i="20" s="1"/>
  <c r="O274" i="20" a="1"/>
  <c r="O274" i="20" s="1"/>
  <c r="O275" i="20" a="1"/>
  <c r="O275" i="20" s="1"/>
  <c r="O276" i="20" a="1"/>
  <c r="O276" i="20" s="1"/>
  <c r="O277" i="20" a="1"/>
  <c r="O277" i="20" s="1"/>
  <c r="O278" i="20" a="1"/>
  <c r="O278" i="20" s="1"/>
  <c r="O279" i="20" a="1"/>
  <c r="O279" i="20" s="1"/>
  <c r="O280" i="20" a="1"/>
  <c r="O280" i="20"/>
  <c r="O281" i="20" a="1"/>
  <c r="O281" i="20" s="1"/>
  <c r="O282" i="20" a="1"/>
  <c r="O282" i="20" s="1"/>
  <c r="O283" i="20" a="1"/>
  <c r="O283" i="20" s="1"/>
  <c r="O284" i="20" a="1"/>
  <c r="O284" i="20" s="1"/>
  <c r="O285" i="20" a="1"/>
  <c r="O285" i="20" s="1"/>
  <c r="O286" i="20" a="1"/>
  <c r="O286" i="20" s="1"/>
  <c r="O287" i="20" a="1"/>
  <c r="O287" i="20" s="1"/>
  <c r="O288" i="20" a="1"/>
  <c r="O288" i="20" s="1"/>
  <c r="O289" i="20" a="1"/>
  <c r="O289" i="20" s="1"/>
  <c r="O290" i="20" a="1"/>
  <c r="O290" i="20" s="1"/>
  <c r="O291" i="20" a="1"/>
  <c r="O291" i="20" s="1"/>
  <c r="O292" i="20" a="1"/>
  <c r="O292" i="20"/>
  <c r="O293" i="20" a="1"/>
  <c r="O293" i="20" s="1"/>
  <c r="O294" i="20" a="1"/>
  <c r="O294" i="20"/>
  <c r="O295" i="20" a="1"/>
  <c r="O295" i="20"/>
  <c r="O296" i="20" a="1"/>
  <c r="O296" i="20" s="1"/>
  <c r="O297" i="20" a="1"/>
  <c r="O297" i="20" s="1"/>
  <c r="O298" i="20" a="1"/>
  <c r="O298" i="20" s="1"/>
  <c r="O299" i="20" a="1"/>
  <c r="O299" i="20" s="1"/>
  <c r="O300" i="20" a="1"/>
  <c r="O300" i="20" s="1"/>
  <c r="O301" i="20" a="1"/>
  <c r="O301" i="20" s="1"/>
  <c r="O302" i="20" a="1"/>
  <c r="O302" i="20" s="1"/>
  <c r="O303" i="20" a="1"/>
  <c r="O303" i="20" s="1"/>
  <c r="O304" i="20" a="1"/>
  <c r="O304" i="20" s="1"/>
  <c r="O305" i="20" a="1"/>
  <c r="O305" i="20" s="1"/>
  <c r="O306" i="20" a="1"/>
  <c r="O306" i="20" s="1"/>
  <c r="O307" i="20" a="1"/>
  <c r="O307" i="20" s="1"/>
  <c r="O308" i="20" a="1"/>
  <c r="O308" i="20" s="1"/>
  <c r="O309" i="20" a="1"/>
  <c r="O309" i="20" s="1"/>
  <c r="O310" i="20" a="1"/>
  <c r="O310" i="20" s="1"/>
  <c r="O311" i="20" a="1"/>
  <c r="O311" i="20" s="1"/>
  <c r="O312" i="20" a="1"/>
  <c r="O312" i="20" s="1"/>
  <c r="O313" i="20" a="1"/>
  <c r="O313" i="20" s="1"/>
  <c r="O314" i="20" a="1"/>
  <c r="O314" i="20" s="1"/>
  <c r="O315" i="20" a="1"/>
  <c r="O315" i="20"/>
  <c r="O316" i="20" a="1"/>
  <c r="O316" i="20"/>
  <c r="O317" i="20" a="1"/>
  <c r="O317" i="20" s="1"/>
  <c r="O318" i="20" a="1"/>
  <c r="O318" i="20"/>
  <c r="O319" i="20" a="1"/>
  <c r="O319" i="20" s="1"/>
  <c r="O320" i="20" a="1"/>
  <c r="O320" i="20" s="1"/>
  <c r="O321" i="20" a="1"/>
  <c r="O321" i="20" s="1"/>
  <c r="O322" i="20" a="1"/>
  <c r="O322" i="20" s="1"/>
  <c r="O323" i="20" a="1"/>
  <c r="O323" i="20" s="1"/>
  <c r="O324" i="20" a="1"/>
  <c r="O324" i="20" s="1"/>
  <c r="O325" i="20" a="1"/>
  <c r="O325" i="20" s="1"/>
  <c r="O326" i="20" a="1"/>
  <c r="O326" i="20" s="1"/>
  <c r="O327" i="20" a="1"/>
  <c r="O327" i="20" s="1"/>
  <c r="O328" i="20" a="1"/>
  <c r="O328" i="20" s="1"/>
  <c r="O329" i="20" a="1"/>
  <c r="O329" i="20" s="1"/>
  <c r="O330" i="20" a="1"/>
  <c r="O330" i="20"/>
  <c r="O331" i="20" a="1"/>
  <c r="O331" i="20" s="1"/>
  <c r="O332" i="20" a="1"/>
  <c r="O332" i="20" s="1"/>
  <c r="O333" i="20" a="1"/>
  <c r="O333" i="20" s="1"/>
  <c r="O334" i="20" a="1"/>
  <c r="O334" i="20"/>
  <c r="O335" i="20" a="1"/>
  <c r="O335" i="20" s="1"/>
  <c r="O336" i="20" a="1"/>
  <c r="O336" i="20" s="1"/>
  <c r="O337" i="20" a="1"/>
  <c r="O337" i="20" s="1"/>
  <c r="O338" i="20" a="1"/>
  <c r="O338" i="20" s="1"/>
  <c r="O339" i="20" a="1"/>
  <c r="O339" i="20" s="1"/>
  <c r="O340" i="20" a="1"/>
  <c r="O340" i="20" s="1"/>
  <c r="O341" i="20" a="1"/>
  <c r="O341" i="20" s="1"/>
  <c r="O342" i="20" a="1"/>
  <c r="O342" i="20" s="1"/>
  <c r="O343" i="20" a="1"/>
  <c r="O343" i="20" s="1"/>
  <c r="O344" i="20" a="1"/>
  <c r="O344" i="20" s="1"/>
  <c r="O345" i="20" a="1"/>
  <c r="O345" i="20" s="1"/>
  <c r="O346" i="20" a="1"/>
  <c r="O346" i="20" s="1"/>
  <c r="O347" i="20" a="1"/>
  <c r="O347" i="20" s="1"/>
  <c r="O348" i="20" a="1"/>
  <c r="O348" i="20" s="1"/>
  <c r="O349" i="20" a="1"/>
  <c r="O349" i="20" s="1"/>
  <c r="O350" i="20" a="1"/>
  <c r="O350" i="20" s="1"/>
  <c r="O351" i="20" a="1"/>
  <c r="O351" i="20" s="1"/>
  <c r="O352" i="20" a="1"/>
  <c r="O352" i="20" s="1"/>
  <c r="O353" i="20" a="1"/>
  <c r="O353" i="20" s="1"/>
  <c r="O354" i="20" a="1"/>
  <c r="O354" i="20" s="1"/>
  <c r="O355" i="20" a="1"/>
  <c r="O355" i="20" s="1"/>
  <c r="O356" i="20" a="1"/>
  <c r="O356" i="20" s="1"/>
  <c r="O357" i="20" a="1"/>
  <c r="O357" i="20" s="1"/>
  <c r="O358" i="20" a="1"/>
  <c r="O358" i="20" s="1"/>
  <c r="O359" i="20" a="1"/>
  <c r="O359" i="20" s="1"/>
  <c r="O360" i="20" a="1"/>
  <c r="O360" i="20" s="1"/>
  <c r="O361" i="20" a="1"/>
  <c r="O361" i="20" s="1"/>
  <c r="O362" i="20" a="1"/>
  <c r="O362" i="20" s="1"/>
  <c r="O363" i="20" a="1"/>
  <c r="O363" i="20" s="1"/>
  <c r="O364" i="20" a="1"/>
  <c r="O364" i="20" s="1"/>
  <c r="O365" i="20" a="1"/>
  <c r="O365" i="20" s="1"/>
  <c r="O366" i="20" a="1"/>
  <c r="O366" i="20" s="1"/>
  <c r="O367" i="20" a="1"/>
  <c r="O367" i="20" s="1"/>
  <c r="O368" i="20" a="1"/>
  <c r="O368" i="20" s="1"/>
  <c r="O369" i="20" a="1"/>
  <c r="O369" i="20" s="1"/>
  <c r="O370" i="20" a="1"/>
  <c r="O370" i="20" s="1"/>
  <c r="O371" i="20" a="1"/>
  <c r="O371" i="20" s="1"/>
  <c r="O372" i="20" a="1"/>
  <c r="O372" i="20" s="1"/>
  <c r="O373" i="20" a="1"/>
  <c r="O373" i="20" s="1"/>
  <c r="O374" i="20" a="1"/>
  <c r="O374" i="20" s="1"/>
  <c r="O375" i="20" a="1"/>
  <c r="O375" i="20" s="1"/>
  <c r="O376" i="20" a="1"/>
  <c r="O376" i="20" s="1"/>
  <c r="O377" i="20" a="1"/>
  <c r="O377" i="20" s="1"/>
  <c r="O378" i="20" a="1"/>
  <c r="O378" i="20" s="1"/>
  <c r="O379" i="20" a="1"/>
  <c r="O379" i="20" s="1"/>
  <c r="O380" i="20" a="1"/>
  <c r="O380" i="20" s="1"/>
  <c r="O381" i="20" a="1"/>
  <c r="O381" i="20" s="1"/>
  <c r="O382" i="20" a="1"/>
  <c r="O382" i="20" s="1"/>
  <c r="O383" i="20" a="1"/>
  <c r="O383" i="20" s="1"/>
  <c r="O384" i="20" a="1"/>
  <c r="O384" i="20" s="1"/>
  <c r="O385" i="20" a="1"/>
  <c r="O385" i="20" s="1"/>
  <c r="O386" i="20" a="1"/>
  <c r="O386" i="20" s="1"/>
  <c r="O387" i="20" a="1"/>
  <c r="O387" i="20" s="1"/>
  <c r="O388" i="20" a="1"/>
  <c r="O388" i="20" s="1"/>
  <c r="O389" i="20" a="1"/>
  <c r="O389" i="20" s="1"/>
  <c r="O390" i="20" a="1"/>
  <c r="O390" i="20" s="1"/>
  <c r="O391" i="20" a="1"/>
  <c r="O391" i="20" s="1"/>
  <c r="O392" i="20" a="1"/>
  <c r="O392" i="20" s="1"/>
  <c r="O393" i="20" a="1"/>
  <c r="O393" i="20" s="1"/>
  <c r="O394" i="20" a="1"/>
  <c r="O394" i="20" s="1"/>
  <c r="O395" i="20" a="1"/>
  <c r="O395" i="20" s="1"/>
  <c r="O396" i="20" a="1"/>
  <c r="O396" i="20" s="1"/>
  <c r="O397" i="20" a="1"/>
  <c r="O397" i="20" s="1"/>
  <c r="O398" i="20" a="1"/>
  <c r="O398" i="20" s="1"/>
  <c r="O399" i="20" a="1"/>
  <c r="O399" i="20" s="1"/>
  <c r="O400" i="20" a="1"/>
  <c r="O400" i="20" s="1"/>
  <c r="O401" i="20" a="1"/>
  <c r="O401" i="20" s="1"/>
  <c r="O402" i="20" a="1"/>
  <c r="O402" i="20" s="1"/>
  <c r="O403" i="20" a="1"/>
  <c r="O403" i="20" s="1"/>
  <c r="O404" i="20" a="1"/>
  <c r="O404" i="20" s="1"/>
  <c r="O405" i="20" a="1"/>
  <c r="O405" i="20" s="1"/>
  <c r="O406" i="20" a="1"/>
  <c r="O406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 s="1"/>
  <c r="P15" i="20" a="1"/>
  <c r="P15" i="20" s="1"/>
  <c r="P16" i="20" a="1"/>
  <c r="P16" i="20" s="1"/>
  <c r="P17" i="20" a="1"/>
  <c r="P17" i="20" s="1"/>
  <c r="P18" i="20" a="1"/>
  <c r="P18" i="20" s="1"/>
  <c r="P19" i="20" a="1"/>
  <c r="P19" i="20" s="1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 s="1"/>
  <c r="P26" i="20" a="1"/>
  <c r="P26" i="20" s="1"/>
  <c r="P27" i="20" a="1"/>
  <c r="P27" i="20" s="1"/>
  <c r="P28" i="20" a="1"/>
  <c r="P28" i="20" s="1"/>
  <c r="P29" i="20" a="1"/>
  <c r="P29" i="20" s="1"/>
  <c r="P30" i="20" a="1"/>
  <c r="P30" i="20" s="1"/>
  <c r="P31" i="20" a="1"/>
  <c r="P31" i="20" s="1"/>
  <c r="P32" i="20" a="1"/>
  <c r="P32" i="20" s="1"/>
  <c r="P33" i="20" a="1"/>
  <c r="P33" i="20" s="1"/>
  <c r="P34" i="20" a="1"/>
  <c r="P34" i="20" s="1"/>
  <c r="P35" i="20" a="1"/>
  <c r="P35" i="20" s="1"/>
  <c r="P36" i="20" a="1"/>
  <c r="P36" i="20" s="1"/>
  <c r="P37" i="20" a="1"/>
  <c r="P37" i="20" s="1"/>
  <c r="P38" i="20" a="1"/>
  <c r="P38" i="20" s="1"/>
  <c r="P39" i="20" a="1"/>
  <c r="P39" i="20" s="1"/>
  <c r="P40" i="20" a="1"/>
  <c r="P40" i="20" s="1"/>
  <c r="P41" i="20" a="1"/>
  <c r="P41" i="20" s="1"/>
  <c r="P42" i="20" a="1"/>
  <c r="P42" i="20" s="1"/>
  <c r="P43" i="20" a="1"/>
  <c r="P43" i="20" s="1"/>
  <c r="P44" i="20" a="1"/>
  <c r="P44" i="20" s="1"/>
  <c r="P45" i="20" a="1"/>
  <c r="P45" i="20" s="1"/>
  <c r="P46" i="20" a="1"/>
  <c r="P46" i="20" s="1"/>
  <c r="P47" i="20" a="1"/>
  <c r="P47" i="20" s="1"/>
  <c r="P48" i="20" a="1"/>
  <c r="P48" i="20" s="1"/>
  <c r="P49" i="20" a="1"/>
  <c r="P49" i="20" s="1"/>
  <c r="P50" i="20" a="1"/>
  <c r="P50" i="20" s="1"/>
  <c r="P51" i="20" a="1"/>
  <c r="P51" i="20" s="1"/>
  <c r="P52" i="20" a="1"/>
  <c r="P52" i="20" s="1"/>
  <c r="P53" i="20" a="1"/>
  <c r="P53" i="20" s="1"/>
  <c r="P54" i="20" a="1"/>
  <c r="P54" i="20" s="1"/>
  <c r="P55" i="20" a="1"/>
  <c r="P55" i="20" s="1"/>
  <c r="P56" i="20" a="1"/>
  <c r="P56" i="20" s="1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 s="1"/>
  <c r="P63" i="20" a="1"/>
  <c r="P63" i="20" s="1"/>
  <c r="P64" i="20" a="1"/>
  <c r="P64" i="20" s="1"/>
  <c r="P65" i="20" a="1"/>
  <c r="P65" i="20" s="1"/>
  <c r="P66" i="20" a="1"/>
  <c r="P66" i="20" s="1"/>
  <c r="P67" i="20" a="1"/>
  <c r="P67" i="20" s="1"/>
  <c r="P68" i="20" a="1"/>
  <c r="P68" i="20" s="1"/>
  <c r="P69" i="20" a="1"/>
  <c r="P69" i="20" s="1"/>
  <c r="P70" i="20" a="1"/>
  <c r="P70" i="20" s="1"/>
  <c r="P71" i="20" a="1"/>
  <c r="P71" i="20" s="1"/>
  <c r="P72" i="20" a="1"/>
  <c r="P72" i="20" s="1"/>
  <c r="P73" i="20" a="1"/>
  <c r="P73" i="20" s="1"/>
  <c r="P74" i="20" a="1"/>
  <c r="P74" i="20" s="1"/>
  <c r="P75" i="20" a="1"/>
  <c r="P75" i="20" s="1"/>
  <c r="P76" i="20" a="1"/>
  <c r="P76" i="20" s="1"/>
  <c r="P77" i="20" a="1"/>
  <c r="P77" i="20" s="1"/>
  <c r="P78" i="20" a="1"/>
  <c r="P78" i="20" s="1"/>
  <c r="P79" i="20" a="1"/>
  <c r="P79" i="20" s="1"/>
  <c r="P80" i="20" a="1"/>
  <c r="P80" i="20" s="1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 s="1"/>
  <c r="P87" i="20" a="1"/>
  <c r="P87" i="20" s="1"/>
  <c r="P88" i="20" a="1"/>
  <c r="P88" i="20" s="1"/>
  <c r="P89" i="20" a="1"/>
  <c r="P89" i="20" s="1"/>
  <c r="P90" i="20" a="1"/>
  <c r="P90" i="20" s="1"/>
  <c r="P91" i="20" a="1"/>
  <c r="P91" i="20" s="1"/>
  <c r="P92" i="20" a="1"/>
  <c r="P92" i="20" s="1"/>
  <c r="P93" i="20" a="1"/>
  <c r="P93" i="20" s="1"/>
  <c r="P94" i="20" a="1"/>
  <c r="P94" i="20" s="1"/>
  <c r="P95" i="20" a="1"/>
  <c r="P95" i="20" s="1"/>
  <c r="P96" i="20" a="1"/>
  <c r="P96" i="20" s="1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 s="1"/>
  <c r="P103" i="20" a="1"/>
  <c r="P103" i="20" s="1"/>
  <c r="P104" i="20" a="1"/>
  <c r="P104" i="20" s="1"/>
  <c r="P105" i="20" a="1"/>
  <c r="P105" i="20" s="1"/>
  <c r="P106" i="20" a="1"/>
  <c r="P106" i="20" s="1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 s="1"/>
  <c r="P112" i="20" a="1"/>
  <c r="P112" i="20" s="1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 s="1"/>
  <c r="P119" i="20" a="1"/>
  <c r="P119" i="20" s="1"/>
  <c r="P120" i="20" a="1"/>
  <c r="P120" i="20" s="1"/>
  <c r="P121" i="20" a="1"/>
  <c r="P121" i="20" s="1"/>
  <c r="P122" i="20" a="1"/>
  <c r="P122" i="20" s="1"/>
  <c r="P123" i="20" a="1"/>
  <c r="P123" i="20" s="1"/>
  <c r="P124" i="20" a="1"/>
  <c r="P124" i="20" s="1"/>
  <c r="P125" i="20" a="1"/>
  <c r="P125" i="20" s="1"/>
  <c r="P126" i="20" a="1"/>
  <c r="P126" i="20" s="1"/>
  <c r="P127" i="20" a="1"/>
  <c r="P127" i="20" s="1"/>
  <c r="P128" i="20" a="1"/>
  <c r="P128" i="20" s="1"/>
  <c r="P129" i="20" a="1"/>
  <c r="P129" i="20" s="1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 s="1"/>
  <c r="P135" i="20" a="1"/>
  <c r="P135" i="20" s="1"/>
  <c r="P136" i="20" a="1"/>
  <c r="P136" i="20" s="1"/>
  <c r="P137" i="20" a="1"/>
  <c r="P137" i="20" s="1"/>
  <c r="P138" i="20" a="1"/>
  <c r="P138" i="20" s="1"/>
  <c r="P139" i="20" a="1"/>
  <c r="P139" i="20" s="1"/>
  <c r="P140" i="20" a="1"/>
  <c r="P140" i="20" s="1"/>
  <c r="P141" i="20" a="1"/>
  <c r="P141" i="20" s="1"/>
  <c r="P142" i="20" a="1"/>
  <c r="P142" i="20" s="1"/>
  <c r="P143" i="20" a="1"/>
  <c r="P143" i="20" s="1"/>
  <c r="P144" i="20" a="1"/>
  <c r="P144" i="20" s="1"/>
  <c r="P145" i="20" a="1"/>
  <c r="P145" i="20" s="1"/>
  <c r="P146" i="20" a="1"/>
  <c r="P146" i="20" s="1"/>
  <c r="P147" i="20" a="1"/>
  <c r="P147" i="20" s="1"/>
  <c r="P148" i="20" a="1"/>
  <c r="P148" i="20" s="1"/>
  <c r="P149" i="20" a="1"/>
  <c r="P149" i="20" s="1"/>
  <c r="P150" i="20" a="1"/>
  <c r="P150" i="20" s="1"/>
  <c r="P151" i="20" a="1"/>
  <c r="P151" i="20" s="1"/>
  <c r="P152" i="20" a="1"/>
  <c r="P152" i="20" s="1"/>
  <c r="P153" i="20" a="1"/>
  <c r="P153" i="20" s="1"/>
  <c r="P154" i="20" a="1"/>
  <c r="P154" i="20" s="1"/>
  <c r="P155" i="20" a="1"/>
  <c r="P155" i="20" s="1"/>
  <c r="P156" i="20" a="1"/>
  <c r="P156" i="20" s="1"/>
  <c r="P157" i="20" a="1"/>
  <c r="P157" i="20" s="1"/>
  <c r="P158" i="20" a="1"/>
  <c r="P158" i="20" s="1"/>
  <c r="P159" i="20" a="1"/>
  <c r="P159" i="20" s="1"/>
  <c r="P160" i="20" a="1"/>
  <c r="P160" i="20" s="1"/>
  <c r="P161" i="20" a="1"/>
  <c r="P161" i="20" s="1"/>
  <c r="P162" i="20" a="1"/>
  <c r="P162" i="20" s="1"/>
  <c r="P163" i="20" a="1"/>
  <c r="P163" i="20" s="1"/>
  <c r="P164" i="20" a="1"/>
  <c r="P164" i="20" s="1"/>
  <c r="P165" i="20" a="1"/>
  <c r="P165" i="20" s="1"/>
  <c r="P166" i="20" a="1"/>
  <c r="P166" i="20" s="1"/>
  <c r="P167" i="20" a="1"/>
  <c r="P167" i="20" s="1"/>
  <c r="P168" i="20" a="1"/>
  <c r="P168" i="20" s="1"/>
  <c r="P169" i="20" a="1"/>
  <c r="P169" i="20" s="1"/>
  <c r="P170" i="20" a="1"/>
  <c r="P170" i="20" s="1"/>
  <c r="P171" i="20" a="1"/>
  <c r="P171" i="20" s="1"/>
  <c r="P172" i="20" a="1"/>
  <c r="P172" i="20" s="1"/>
  <c r="P173" i="20" a="1"/>
  <c r="P173" i="20" s="1"/>
  <c r="P174" i="20" a="1"/>
  <c r="P174" i="20" s="1"/>
  <c r="P175" i="20" a="1"/>
  <c r="P175" i="20" s="1"/>
  <c r="P176" i="20" a="1"/>
  <c r="P176" i="20" s="1"/>
  <c r="P177" i="20" a="1"/>
  <c r="P177" i="20" s="1"/>
  <c r="P178" i="20" a="1"/>
  <c r="P178" i="20" s="1"/>
  <c r="P179" i="20" a="1"/>
  <c r="P179" i="20" s="1"/>
  <c r="P180" i="20" a="1"/>
  <c r="P180" i="20" s="1"/>
  <c r="P181" i="20" a="1"/>
  <c r="P181" i="20" s="1"/>
  <c r="P182" i="20" a="1"/>
  <c r="P182" i="20" s="1"/>
  <c r="P183" i="20" a="1"/>
  <c r="P183" i="20" s="1"/>
  <c r="P184" i="20" a="1"/>
  <c r="P184" i="20" s="1"/>
  <c r="P185" i="20" a="1"/>
  <c r="P185" i="20" s="1"/>
  <c r="P186" i="20" a="1"/>
  <c r="P186" i="20" s="1"/>
  <c r="P187" i="20" a="1"/>
  <c r="P187" i="20" s="1"/>
  <c r="P188" i="20" a="1"/>
  <c r="P188" i="20" s="1"/>
  <c r="P189" i="20" a="1"/>
  <c r="P189" i="20" s="1"/>
  <c r="P190" i="20" a="1"/>
  <c r="P190" i="20" s="1"/>
  <c r="P191" i="20" a="1"/>
  <c r="P191" i="20" s="1"/>
  <c r="P192" i="20" a="1"/>
  <c r="P192" i="20" s="1"/>
  <c r="P193" i="20" a="1"/>
  <c r="P193" i="20" s="1"/>
  <c r="P194" i="20" a="1"/>
  <c r="P194" i="20" s="1"/>
  <c r="P195" i="20" a="1"/>
  <c r="P195" i="20" s="1"/>
  <c r="P196" i="20" a="1"/>
  <c r="P196" i="20" s="1"/>
  <c r="P197" i="20" a="1"/>
  <c r="P197" i="20" s="1"/>
  <c r="P198" i="20" a="1"/>
  <c r="P198" i="20" s="1"/>
  <c r="P199" i="20" a="1"/>
  <c r="P199" i="20" s="1"/>
  <c r="P200" i="20" a="1"/>
  <c r="P200" i="20" s="1"/>
  <c r="P201" i="20" a="1"/>
  <c r="P201" i="20" s="1"/>
  <c r="P202" i="20" a="1"/>
  <c r="P202" i="20" s="1"/>
  <c r="P203" i="20" a="1"/>
  <c r="P203" i="20" s="1"/>
  <c r="P204" i="20" a="1"/>
  <c r="P204" i="20" s="1"/>
  <c r="P205" i="20" a="1"/>
  <c r="P205" i="20" s="1"/>
  <c r="P206" i="20" a="1"/>
  <c r="P206" i="20" s="1"/>
  <c r="P207" i="20" a="1"/>
  <c r="P207" i="20" s="1"/>
  <c r="P208" i="20" a="1"/>
  <c r="P208" i="20" s="1"/>
  <c r="P209" i="20" a="1"/>
  <c r="P209" i="20" s="1"/>
  <c r="P210" i="20" a="1"/>
  <c r="P210" i="20" s="1"/>
  <c r="P211" i="20" a="1"/>
  <c r="P211" i="20" s="1"/>
  <c r="P212" i="20" a="1"/>
  <c r="P212" i="20" s="1"/>
  <c r="P213" i="20" a="1"/>
  <c r="P213" i="20" s="1"/>
  <c r="P214" i="20" a="1"/>
  <c r="P214" i="20" s="1"/>
  <c r="P215" i="20" a="1"/>
  <c r="P215" i="20" s="1"/>
  <c r="P216" i="20" a="1"/>
  <c r="P216" i="20" s="1"/>
  <c r="P217" i="20" a="1"/>
  <c r="P217" i="20" s="1"/>
  <c r="P218" i="20" a="1"/>
  <c r="P218" i="20" s="1"/>
  <c r="P219" i="20" a="1"/>
  <c r="P219" i="20" s="1"/>
  <c r="P220" i="20" a="1"/>
  <c r="P220" i="20" s="1"/>
  <c r="P221" i="20" a="1"/>
  <c r="P221" i="20" s="1"/>
  <c r="P222" i="20" a="1"/>
  <c r="P222" i="20" s="1"/>
  <c r="P223" i="20" a="1"/>
  <c r="P223" i="20" s="1"/>
  <c r="P224" i="20" a="1"/>
  <c r="P224" i="20" s="1"/>
  <c r="P225" i="20" a="1"/>
  <c r="P225" i="20" s="1"/>
  <c r="P226" i="20" a="1"/>
  <c r="P226" i="20" s="1"/>
  <c r="P227" i="20" a="1"/>
  <c r="P227" i="20" s="1"/>
  <c r="P228" i="20" a="1"/>
  <c r="P228" i="20" s="1"/>
  <c r="P229" i="20" a="1"/>
  <c r="P229" i="20" s="1"/>
  <c r="P230" i="20" a="1"/>
  <c r="P230" i="20" s="1"/>
  <c r="P231" i="20" a="1"/>
  <c r="P231" i="20" s="1"/>
  <c r="P232" i="20" a="1"/>
  <c r="P232" i="20" s="1"/>
  <c r="P233" i="20" a="1"/>
  <c r="P233" i="20" s="1"/>
  <c r="P234" i="20" a="1"/>
  <c r="P234" i="20" s="1"/>
  <c r="P235" i="20" a="1"/>
  <c r="P235" i="20" s="1"/>
  <c r="P236" i="20" a="1"/>
  <c r="P236" i="20" s="1"/>
  <c r="P237" i="20" a="1"/>
  <c r="P237" i="20" s="1"/>
  <c r="P238" i="20" a="1"/>
  <c r="P238" i="20" s="1"/>
  <c r="P239" i="20" a="1"/>
  <c r="P239" i="20" s="1"/>
  <c r="P240" i="20" a="1"/>
  <c r="P240" i="20" s="1"/>
  <c r="P241" i="20" a="1"/>
  <c r="P241" i="20" s="1"/>
  <c r="P242" i="20" a="1"/>
  <c r="P242" i="20" s="1"/>
  <c r="P243" i="20" a="1"/>
  <c r="P243" i="20" s="1"/>
  <c r="P244" i="20" a="1"/>
  <c r="P244" i="20" s="1"/>
  <c r="P245" i="20" a="1"/>
  <c r="P245" i="20" s="1"/>
  <c r="P246" i="20" a="1"/>
  <c r="P246" i="20" s="1"/>
  <c r="P247" i="20" a="1"/>
  <c r="P247" i="20" s="1"/>
  <c r="P248" i="20" a="1"/>
  <c r="P248" i="20" s="1"/>
  <c r="P249" i="20" a="1"/>
  <c r="P249" i="20" s="1"/>
  <c r="P250" i="20" a="1"/>
  <c r="P250" i="20" s="1"/>
  <c r="P251" i="20" a="1"/>
  <c r="P251" i="20" s="1"/>
  <c r="P252" i="20" a="1"/>
  <c r="P252" i="20" s="1"/>
  <c r="P253" i="20" a="1"/>
  <c r="P253" i="20" s="1"/>
  <c r="P254" i="20" a="1"/>
  <c r="P254" i="20" s="1"/>
  <c r="P255" i="20" a="1"/>
  <c r="P255" i="20" s="1"/>
  <c r="P256" i="20" a="1"/>
  <c r="P256" i="20" s="1"/>
  <c r="P257" i="20" a="1"/>
  <c r="P257" i="20" s="1"/>
  <c r="P258" i="20" a="1"/>
  <c r="P258" i="20" s="1"/>
  <c r="P259" i="20" a="1"/>
  <c r="P259" i="20" s="1"/>
  <c r="P260" i="20" a="1"/>
  <c r="P260" i="20" s="1"/>
  <c r="P261" i="20" a="1"/>
  <c r="P261" i="20" s="1"/>
  <c r="P262" i="20" a="1"/>
  <c r="P262" i="20" s="1"/>
  <c r="P263" i="20" a="1"/>
  <c r="P263" i="20" s="1"/>
  <c r="P264" i="20" a="1"/>
  <c r="P264" i="20" s="1"/>
  <c r="P265" i="20" a="1"/>
  <c r="P265" i="20" s="1"/>
  <c r="P266" i="20" a="1"/>
  <c r="P266" i="20" s="1"/>
  <c r="P267" i="20" a="1"/>
  <c r="P267" i="20" s="1"/>
  <c r="P268" i="20" a="1"/>
  <c r="P268" i="20" s="1"/>
  <c r="P269" i="20" a="1"/>
  <c r="P269" i="20" s="1"/>
  <c r="P270" i="20" a="1"/>
  <c r="P270" i="20" s="1"/>
  <c r="P271" i="20" a="1"/>
  <c r="P271" i="20" s="1"/>
  <c r="P272" i="20" a="1"/>
  <c r="P272" i="20" s="1"/>
  <c r="P273" i="20" a="1"/>
  <c r="P273" i="20" s="1"/>
  <c r="P274" i="20" a="1"/>
  <c r="P274" i="20" s="1"/>
  <c r="P275" i="20" a="1"/>
  <c r="P275" i="20" s="1"/>
  <c r="P276" i="20" a="1"/>
  <c r="P276" i="20" s="1"/>
  <c r="P277" i="20" a="1"/>
  <c r="P277" i="20" s="1"/>
  <c r="P278" i="20" a="1"/>
  <c r="P278" i="20" s="1"/>
  <c r="P279" i="20" a="1"/>
  <c r="P279" i="20" s="1"/>
  <c r="P280" i="20" a="1"/>
  <c r="P280" i="20" s="1"/>
  <c r="P281" i="20" a="1"/>
  <c r="P281" i="20" s="1"/>
  <c r="P282" i="20" a="1"/>
  <c r="P282" i="20" s="1"/>
  <c r="P283" i="20" a="1"/>
  <c r="P283" i="20" s="1"/>
  <c r="P284" i="20" a="1"/>
  <c r="P284" i="20" s="1"/>
  <c r="P285" i="20" a="1"/>
  <c r="P285" i="20" s="1"/>
  <c r="P286" i="20" a="1"/>
  <c r="P286" i="20" s="1"/>
  <c r="P287" i="20" a="1"/>
  <c r="P287" i="20" s="1"/>
  <c r="P288" i="20" a="1"/>
  <c r="P288" i="20" s="1"/>
  <c r="P289" i="20" a="1"/>
  <c r="P289" i="20" s="1"/>
  <c r="P290" i="20" a="1"/>
  <c r="P290" i="20" s="1"/>
  <c r="P291" i="20" a="1"/>
  <c r="P291" i="20" s="1"/>
  <c r="P292" i="20" a="1"/>
  <c r="P292" i="20" s="1"/>
  <c r="P293" i="20" a="1"/>
  <c r="P293" i="20" s="1"/>
  <c r="P294" i="20" a="1"/>
  <c r="P294" i="20" s="1"/>
  <c r="P295" i="20" a="1"/>
  <c r="P295" i="20" s="1"/>
  <c r="P296" i="20" a="1"/>
  <c r="P296" i="20" s="1"/>
  <c r="P297" i="20" a="1"/>
  <c r="P297" i="20" s="1"/>
  <c r="P298" i="20" a="1"/>
  <c r="P298" i="20" s="1"/>
  <c r="P299" i="20" a="1"/>
  <c r="P299" i="20" s="1"/>
  <c r="P300" i="20" a="1"/>
  <c r="P300" i="20" s="1"/>
  <c r="P301" i="20" a="1"/>
  <c r="P301" i="20" s="1"/>
  <c r="P302" i="20" a="1"/>
  <c r="P302" i="20" s="1"/>
  <c r="P303" i="20" a="1"/>
  <c r="P303" i="20" s="1"/>
  <c r="P304" i="20" a="1"/>
  <c r="P304" i="20" s="1"/>
  <c r="P305" i="20" a="1"/>
  <c r="P305" i="20" s="1"/>
  <c r="P306" i="20" a="1"/>
  <c r="P306" i="20" s="1"/>
  <c r="P307" i="20" a="1"/>
  <c r="P307" i="20" s="1"/>
  <c r="P308" i="20" a="1"/>
  <c r="P308" i="20" s="1"/>
  <c r="P309" i="20" a="1"/>
  <c r="P309" i="20" s="1"/>
  <c r="P310" i="20" a="1"/>
  <c r="P310" i="20" s="1"/>
  <c r="P311" i="20" a="1"/>
  <c r="P311" i="20" s="1"/>
  <c r="P312" i="20" a="1"/>
  <c r="P312" i="20" s="1"/>
  <c r="P313" i="20" a="1"/>
  <c r="P313" i="20" s="1"/>
  <c r="P314" i="20" a="1"/>
  <c r="P314" i="20" s="1"/>
  <c r="P315" i="20" a="1"/>
  <c r="P315" i="20" s="1"/>
  <c r="P316" i="20" a="1"/>
  <c r="P316" i="20" s="1"/>
  <c r="P317" i="20" a="1"/>
  <c r="P317" i="20" s="1"/>
  <c r="P318" i="20" a="1"/>
  <c r="P318" i="20" s="1"/>
  <c r="P319" i="20" a="1"/>
  <c r="P319" i="20" s="1"/>
  <c r="P320" i="20" a="1"/>
  <c r="P320" i="20" s="1"/>
  <c r="P321" i="20" a="1"/>
  <c r="P321" i="20" s="1"/>
  <c r="P322" i="20" a="1"/>
  <c r="P322" i="20" s="1"/>
  <c r="P323" i="20" a="1"/>
  <c r="P323" i="20" s="1"/>
  <c r="P324" i="20" a="1"/>
  <c r="P324" i="20" s="1"/>
  <c r="P325" i="20" a="1"/>
  <c r="P325" i="20" s="1"/>
  <c r="P326" i="20" a="1"/>
  <c r="P326" i="20" s="1"/>
  <c r="P327" i="20" a="1"/>
  <c r="P327" i="20" s="1"/>
  <c r="P328" i="20" a="1"/>
  <c r="P328" i="20" s="1"/>
  <c r="P329" i="20" a="1"/>
  <c r="P329" i="20" s="1"/>
  <c r="P330" i="20" a="1"/>
  <c r="P330" i="20" s="1"/>
  <c r="P331" i="20" a="1"/>
  <c r="P331" i="20" s="1"/>
  <c r="P332" i="20" a="1"/>
  <c r="P332" i="20" s="1"/>
  <c r="P333" i="20" a="1"/>
  <c r="P333" i="20" s="1"/>
  <c r="P334" i="20" a="1"/>
  <c r="P334" i="20" s="1"/>
  <c r="P335" i="20" a="1"/>
  <c r="P335" i="20" s="1"/>
  <c r="P336" i="20" a="1"/>
  <c r="P336" i="20" s="1"/>
  <c r="P337" i="20" a="1"/>
  <c r="P337" i="20" s="1"/>
  <c r="P338" i="20" a="1"/>
  <c r="P338" i="20" s="1"/>
  <c r="P339" i="20" a="1"/>
  <c r="P339" i="20" s="1"/>
  <c r="P340" i="20" a="1"/>
  <c r="P340" i="20" s="1"/>
  <c r="P341" i="20" a="1"/>
  <c r="P341" i="20" s="1"/>
  <c r="P342" i="20" a="1"/>
  <c r="P342" i="20" s="1"/>
  <c r="P343" i="20" a="1"/>
  <c r="P343" i="20" s="1"/>
  <c r="P344" i="20" a="1"/>
  <c r="P344" i="20" s="1"/>
  <c r="P345" i="20" a="1"/>
  <c r="P345" i="20" s="1"/>
  <c r="P346" i="20" a="1"/>
  <c r="P346" i="20" s="1"/>
  <c r="P347" i="20" a="1"/>
  <c r="P347" i="20" s="1"/>
  <c r="P348" i="20" a="1"/>
  <c r="P348" i="20" s="1"/>
  <c r="P349" i="20" a="1"/>
  <c r="P349" i="20" s="1"/>
  <c r="P350" i="20" a="1"/>
  <c r="P350" i="20" s="1"/>
  <c r="P351" i="20" a="1"/>
  <c r="P351" i="20" s="1"/>
  <c r="P352" i="20" a="1"/>
  <c r="P352" i="20" s="1"/>
  <c r="P353" i="20" a="1"/>
  <c r="P353" i="20" s="1"/>
  <c r="P354" i="20" a="1"/>
  <c r="P354" i="20" s="1"/>
  <c r="P355" i="20" a="1"/>
  <c r="P355" i="20" s="1"/>
  <c r="P356" i="20" a="1"/>
  <c r="P356" i="20" s="1"/>
  <c r="P357" i="20" a="1"/>
  <c r="P357" i="20" s="1"/>
  <c r="P358" i="20" a="1"/>
  <c r="P358" i="20" s="1"/>
  <c r="P359" i="20" a="1"/>
  <c r="P359" i="20" s="1"/>
  <c r="P360" i="20" a="1"/>
  <c r="P360" i="20" s="1"/>
  <c r="P361" i="20" a="1"/>
  <c r="P361" i="20" s="1"/>
  <c r="P362" i="20" a="1"/>
  <c r="P362" i="20" s="1"/>
  <c r="P363" i="20" a="1"/>
  <c r="P363" i="20" s="1"/>
  <c r="P364" i="20" a="1"/>
  <c r="P364" i="20" s="1"/>
  <c r="P365" i="20" a="1"/>
  <c r="P365" i="20" s="1"/>
  <c r="P366" i="20" a="1"/>
  <c r="P366" i="20" s="1"/>
  <c r="P367" i="20" a="1"/>
  <c r="P367" i="20" s="1"/>
  <c r="P368" i="20" a="1"/>
  <c r="P368" i="20" s="1"/>
  <c r="P369" i="20" a="1"/>
  <c r="P369" i="20" s="1"/>
  <c r="P370" i="20" a="1"/>
  <c r="P370" i="20" s="1"/>
  <c r="P371" i="20" a="1"/>
  <c r="P371" i="20" s="1"/>
  <c r="P372" i="20" a="1"/>
  <c r="P372" i="20" s="1"/>
  <c r="P373" i="20" a="1"/>
  <c r="P373" i="20" s="1"/>
  <c r="P374" i="20" a="1"/>
  <c r="P374" i="20" s="1"/>
  <c r="P375" i="20" a="1"/>
  <c r="P375" i="20" s="1"/>
  <c r="P376" i="20" a="1"/>
  <c r="P376" i="20" s="1"/>
  <c r="P377" i="20" a="1"/>
  <c r="P377" i="20" s="1"/>
  <c r="P378" i="20" a="1"/>
  <c r="P378" i="20" s="1"/>
  <c r="P379" i="20" a="1"/>
  <c r="P379" i="20" s="1"/>
  <c r="P380" i="20" a="1"/>
  <c r="P380" i="20" s="1"/>
  <c r="P381" i="20" a="1"/>
  <c r="P381" i="20" s="1"/>
  <c r="P382" i="20" a="1"/>
  <c r="P382" i="20" s="1"/>
  <c r="P383" i="20" a="1"/>
  <c r="P383" i="20" s="1"/>
  <c r="P384" i="20" a="1"/>
  <c r="P384" i="20" s="1"/>
  <c r="P385" i="20" a="1"/>
  <c r="P385" i="20" s="1"/>
  <c r="P386" i="20" a="1"/>
  <c r="P386" i="20" s="1"/>
  <c r="P387" i="20" a="1"/>
  <c r="P387" i="20" s="1"/>
  <c r="P388" i="20" a="1"/>
  <c r="P388" i="20" s="1"/>
  <c r="P389" i="20" a="1"/>
  <c r="P389" i="20" s="1"/>
  <c r="P390" i="20" a="1"/>
  <c r="P390" i="20" s="1"/>
  <c r="P391" i="20" a="1"/>
  <c r="P391" i="20" s="1"/>
  <c r="P392" i="20" a="1"/>
  <c r="P392" i="20" s="1"/>
  <c r="P393" i="20" a="1"/>
  <c r="P393" i="20" s="1"/>
  <c r="P394" i="20" a="1"/>
  <c r="P394" i="20" s="1"/>
  <c r="P395" i="20" a="1"/>
  <c r="P395" i="20" s="1"/>
  <c r="P396" i="20" a="1"/>
  <c r="P396" i="20" s="1"/>
  <c r="P397" i="20" a="1"/>
  <c r="P397" i="20" s="1"/>
  <c r="P398" i="20" a="1"/>
  <c r="P398" i="20" s="1"/>
  <c r="P399" i="20" a="1"/>
  <c r="P399" i="20" s="1"/>
  <c r="P400" i="20" a="1"/>
  <c r="P400" i="20" s="1"/>
  <c r="P401" i="20" a="1"/>
  <c r="P401" i="20" s="1"/>
  <c r="P402" i="20" a="1"/>
  <c r="P402" i="20" s="1"/>
  <c r="P403" i="20" a="1"/>
  <c r="P403" i="20" s="1"/>
  <c r="P404" i="20" a="1"/>
  <c r="P404" i="20" s="1"/>
  <c r="P405" i="20" a="1"/>
  <c r="P405" i="20" s="1"/>
  <c r="P406" i="20" a="1"/>
  <c r="P406" i="20" s="1"/>
  <c r="H2" i="19"/>
  <c r="H3" i="19"/>
  <c r="J2" i="19" s="1" a="1"/>
  <c r="J2" i="19" s="1"/>
  <c r="H4" i="19"/>
  <c r="H5" i="19"/>
  <c r="H6" i="19"/>
  <c r="H7" i="19"/>
  <c r="H8" i="19"/>
  <c r="H9" i="19"/>
  <c r="H10" i="19"/>
  <c r="H11" i="19"/>
  <c r="H12" i="19"/>
  <c r="H13" i="19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H28" i="19"/>
  <c r="H29" i="19"/>
  <c r="H30" i="19"/>
  <c r="H31" i="19"/>
  <c r="H32" i="19"/>
  <c r="H33" i="19"/>
  <c r="H34" i="19"/>
  <c r="H35" i="19"/>
  <c r="H36" i="19"/>
  <c r="H37" i="19"/>
  <c r="H38" i="19"/>
  <c r="H39" i="19"/>
  <c r="H40" i="19"/>
  <c r="H41" i="19"/>
  <c r="H42" i="19"/>
  <c r="H43" i="19"/>
  <c r="H44" i="19"/>
  <c r="H45" i="19"/>
  <c r="H46" i="19"/>
  <c r="H47" i="19"/>
  <c r="H48" i="19"/>
  <c r="H49" i="19"/>
  <c r="H50" i="19"/>
  <c r="H51" i="19"/>
  <c r="H52" i="19"/>
  <c r="H53" i="19"/>
  <c r="H54" i="19"/>
  <c r="H55" i="19"/>
  <c r="H56" i="19"/>
  <c r="H57" i="19"/>
  <c r="H58" i="19"/>
  <c r="H59" i="19"/>
  <c r="H60" i="19"/>
  <c r="H61" i="19"/>
  <c r="H62" i="19"/>
  <c r="H63" i="19"/>
  <c r="H64" i="19"/>
  <c r="H65" i="19"/>
  <c r="H66" i="19"/>
  <c r="H67" i="19"/>
  <c r="H68" i="19"/>
  <c r="H69" i="19"/>
  <c r="H70" i="19"/>
  <c r="H71" i="19"/>
  <c r="H72" i="19"/>
  <c r="H73" i="19"/>
  <c r="H74" i="19"/>
  <c r="H75" i="19"/>
  <c r="H76" i="19"/>
  <c r="I2" i="19" a="1"/>
  <c r="I2" i="19" s="1"/>
  <c r="I3" i="19" a="1"/>
  <c r="I3" i="19" s="1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/>
  <c r="I10" i="19" a="1"/>
  <c r="I10" i="19" s="1"/>
  <c r="I11" i="19" a="1"/>
  <c r="I11" i="19" s="1"/>
  <c r="I12" i="19" a="1"/>
  <c r="I12" i="19" s="1"/>
  <c r="I13" i="19" a="1"/>
  <c r="I13" i="19"/>
  <c r="I14" i="19" a="1"/>
  <c r="I14" i="19" s="1"/>
  <c r="I15" i="19" a="1"/>
  <c r="I15" i="19" s="1"/>
  <c r="I16" i="19" a="1"/>
  <c r="I16" i="19" s="1"/>
  <c r="I17" i="19" a="1"/>
  <c r="I17" i="19"/>
  <c r="I18" i="19" a="1"/>
  <c r="I18" i="19" s="1"/>
  <c r="I19" i="19" a="1"/>
  <c r="I19" i="19" s="1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/>
  <c r="I26" i="19" a="1"/>
  <c r="I26" i="19" s="1"/>
  <c r="I27" i="19" a="1"/>
  <c r="I27" i="19" s="1"/>
  <c r="I28" i="19" a="1"/>
  <c r="I28" i="19" s="1"/>
  <c r="I29" i="19" a="1"/>
  <c r="I29" i="19"/>
  <c r="I30" i="19" a="1"/>
  <c r="I30" i="19" s="1"/>
  <c r="I31" i="19" a="1"/>
  <c r="I31" i="19" s="1"/>
  <c r="I32" i="19" a="1"/>
  <c r="I32" i="19" s="1"/>
  <c r="I33" i="19" a="1"/>
  <c r="I33" i="19"/>
  <c r="I34" i="19" a="1"/>
  <c r="I34" i="19" s="1"/>
  <c r="I35" i="19" a="1"/>
  <c r="I35" i="19" s="1"/>
  <c r="I36" i="19" a="1"/>
  <c r="I36" i="19" s="1"/>
  <c r="I37" i="19" a="1"/>
  <c r="I37" i="19" s="1"/>
  <c r="I38" i="19" a="1"/>
  <c r="I38" i="19" s="1"/>
  <c r="I39" i="19" a="1"/>
  <c r="I39" i="19" s="1"/>
  <c r="I40" i="19" a="1"/>
  <c r="I40" i="19" s="1"/>
  <c r="I41" i="19" a="1"/>
  <c r="I41" i="19"/>
  <c r="I42" i="19" a="1"/>
  <c r="I42" i="19" s="1"/>
  <c r="I43" i="19" a="1"/>
  <c r="I43" i="19" s="1"/>
  <c r="I44" i="19" a="1"/>
  <c r="I44" i="19" s="1"/>
  <c r="I45" i="19" a="1"/>
  <c r="I45" i="19" s="1"/>
  <c r="I46" i="19" a="1"/>
  <c r="I46" i="19" s="1"/>
  <c r="I47" i="19" a="1"/>
  <c r="I47" i="19" s="1"/>
  <c r="I48" i="19" a="1"/>
  <c r="I48" i="19" s="1"/>
  <c r="I49" i="19" a="1"/>
  <c r="I49" i="19" s="1"/>
  <c r="I50" i="19" a="1"/>
  <c r="I50" i="19" s="1"/>
  <c r="I51" i="19" a="1"/>
  <c r="I51" i="19" s="1"/>
  <c r="I52" i="19" a="1"/>
  <c r="I52" i="19" s="1"/>
  <c r="I53" i="19" a="1"/>
  <c r="I53" i="19" s="1"/>
  <c r="I54" i="19" a="1"/>
  <c r="I54" i="19" s="1"/>
  <c r="I55" i="19" a="1"/>
  <c r="I55" i="19" s="1"/>
  <c r="I56" i="19" a="1"/>
  <c r="I56" i="19" s="1"/>
  <c r="I57" i="19" a="1"/>
  <c r="I57" i="19" s="1"/>
  <c r="I58" i="19" a="1"/>
  <c r="I58" i="19" s="1"/>
  <c r="I59" i="19" a="1"/>
  <c r="I59" i="19" s="1"/>
  <c r="I60" i="19" a="1"/>
  <c r="I60" i="19" s="1"/>
  <c r="I61" i="19" a="1"/>
  <c r="I61" i="19" s="1"/>
  <c r="I62" i="19" a="1"/>
  <c r="I62" i="19" s="1"/>
  <c r="I63" i="19" a="1"/>
  <c r="I63" i="19" s="1"/>
  <c r="I64" i="19" a="1"/>
  <c r="I64" i="19" s="1"/>
  <c r="I65" i="19" a="1"/>
  <c r="I65" i="19"/>
  <c r="I66" i="19" a="1"/>
  <c r="I66" i="19" s="1"/>
  <c r="I67" i="19" a="1"/>
  <c r="I67" i="19" s="1"/>
  <c r="I68" i="19" a="1"/>
  <c r="I68" i="19" s="1"/>
  <c r="I69" i="19" a="1"/>
  <c r="I69" i="19"/>
  <c r="I70" i="19" a="1"/>
  <c r="I70" i="19" s="1"/>
  <c r="I71" i="19" a="1"/>
  <c r="I71" i="19" s="1"/>
  <c r="I72" i="19" a="1"/>
  <c r="I72" i="19" s="1"/>
  <c r="I73" i="19" a="1"/>
  <c r="I73" i="19" s="1"/>
  <c r="M73" i="19" s="1"/>
  <c r="I74" i="19" a="1"/>
  <c r="I74" i="19" s="1"/>
  <c r="I75" i="19" a="1"/>
  <c r="I75" i="19" s="1"/>
  <c r="I76" i="19" a="1"/>
  <c r="I76" i="19" s="1"/>
  <c r="J3" i="19" a="1"/>
  <c r="J3" i="19" s="1"/>
  <c r="J4" i="19" a="1"/>
  <c r="J4" i="19" s="1"/>
  <c r="J5" i="19" a="1"/>
  <c r="J5" i="19" s="1"/>
  <c r="J7" i="19" a="1"/>
  <c r="J7" i="19" s="1"/>
  <c r="J8" i="19" a="1"/>
  <c r="J8" i="19" s="1"/>
  <c r="J9" i="19" a="1"/>
  <c r="J9" i="19" s="1"/>
  <c r="J10" i="19" a="1"/>
  <c r="J10" i="19" s="1"/>
  <c r="J11" i="19" a="1"/>
  <c r="J11" i="19" s="1"/>
  <c r="J12" i="19" a="1"/>
  <c r="J12" i="19" s="1"/>
  <c r="J13" i="19" a="1"/>
  <c r="J13" i="19" s="1"/>
  <c r="J14" i="19" a="1"/>
  <c r="J14" i="19" s="1"/>
  <c r="J15" i="19" a="1"/>
  <c r="J15" i="19" s="1"/>
  <c r="J16" i="19" a="1"/>
  <c r="J16" i="19" s="1"/>
  <c r="J17" i="19" a="1"/>
  <c r="J17" i="19" s="1"/>
  <c r="J18" i="19" a="1"/>
  <c r="J18" i="19" s="1"/>
  <c r="J19" i="19" a="1"/>
  <c r="J19" i="19" s="1"/>
  <c r="J20" i="19" a="1"/>
  <c r="J20" i="19" s="1"/>
  <c r="J21" i="19" a="1"/>
  <c r="J21" i="19" s="1"/>
  <c r="J22" i="19" a="1"/>
  <c r="J22" i="19"/>
  <c r="J23" i="19" a="1"/>
  <c r="J23" i="19" s="1"/>
  <c r="J24" i="19" a="1"/>
  <c r="J24" i="19" s="1"/>
  <c r="J25" i="19" a="1"/>
  <c r="J25" i="19" s="1"/>
  <c r="J26" i="19" a="1"/>
  <c r="J26" i="19" s="1"/>
  <c r="J27" i="19" a="1"/>
  <c r="J27" i="19" s="1"/>
  <c r="J28" i="19" a="1"/>
  <c r="J28" i="19" s="1"/>
  <c r="J29" i="19" a="1"/>
  <c r="J29" i="19" s="1"/>
  <c r="J30" i="19" a="1"/>
  <c r="J30" i="19" s="1"/>
  <c r="J31" i="19" a="1"/>
  <c r="J31" i="19" s="1"/>
  <c r="J32" i="19" a="1"/>
  <c r="J32" i="19" s="1"/>
  <c r="J33" i="19" a="1"/>
  <c r="J33" i="19" s="1"/>
  <c r="J34" i="19" a="1"/>
  <c r="J34" i="19" s="1"/>
  <c r="J35" i="19" a="1"/>
  <c r="J35" i="19" s="1"/>
  <c r="J36" i="19" a="1"/>
  <c r="J36" i="19" s="1"/>
  <c r="J37" i="19" a="1"/>
  <c r="J37" i="19" s="1"/>
  <c r="J38" i="19" a="1"/>
  <c r="J38" i="19" s="1"/>
  <c r="J39" i="19" a="1"/>
  <c r="J39" i="19" s="1"/>
  <c r="J40" i="19" a="1"/>
  <c r="J40" i="19" s="1"/>
  <c r="J41" i="19" a="1"/>
  <c r="J41" i="19" s="1"/>
  <c r="J42" i="19" a="1"/>
  <c r="J42" i="19" s="1"/>
  <c r="J43" i="19" a="1"/>
  <c r="J43" i="19" s="1"/>
  <c r="J44" i="19" a="1"/>
  <c r="J44" i="19" s="1"/>
  <c r="J45" i="19" a="1"/>
  <c r="J45" i="19" s="1"/>
  <c r="J46" i="19" a="1"/>
  <c r="J46" i="19" s="1"/>
  <c r="J47" i="19" a="1"/>
  <c r="J47" i="19" s="1"/>
  <c r="J48" i="19" a="1"/>
  <c r="J48" i="19" s="1"/>
  <c r="J49" i="19" a="1"/>
  <c r="J49" i="19" s="1"/>
  <c r="J50" i="19" a="1"/>
  <c r="J50" i="19" s="1"/>
  <c r="J51" i="19" a="1"/>
  <c r="J51" i="19" s="1"/>
  <c r="J52" i="19" a="1"/>
  <c r="J52" i="19" s="1"/>
  <c r="J53" i="19" a="1"/>
  <c r="J53" i="19" s="1"/>
  <c r="J54" i="19" a="1"/>
  <c r="J54" i="19" s="1"/>
  <c r="J55" i="19" a="1"/>
  <c r="J55" i="19" s="1"/>
  <c r="J56" i="19" a="1"/>
  <c r="J56" i="19" s="1"/>
  <c r="J57" i="19" a="1"/>
  <c r="J57" i="19" s="1"/>
  <c r="J58" i="19" a="1"/>
  <c r="J58" i="19" s="1"/>
  <c r="J59" i="19" a="1"/>
  <c r="J59" i="19" s="1"/>
  <c r="J60" i="19" a="1"/>
  <c r="J60" i="19" s="1"/>
  <c r="J61" i="19" a="1"/>
  <c r="J61" i="19" s="1"/>
  <c r="J62" i="19" a="1"/>
  <c r="J62" i="19" s="1"/>
  <c r="J63" i="19" a="1"/>
  <c r="J63" i="19" s="1"/>
  <c r="J64" i="19" a="1"/>
  <c r="J64" i="19" s="1"/>
  <c r="J65" i="19" a="1"/>
  <c r="J65" i="19" s="1"/>
  <c r="J66" i="19" a="1"/>
  <c r="J66" i="19" s="1"/>
  <c r="J67" i="19" a="1"/>
  <c r="J67" i="19" s="1"/>
  <c r="J68" i="19" a="1"/>
  <c r="J68" i="19" s="1"/>
  <c r="J69" i="19" a="1"/>
  <c r="J69" i="19" s="1"/>
  <c r="J70" i="19" a="1"/>
  <c r="J70" i="19" s="1"/>
  <c r="J71" i="19" a="1"/>
  <c r="J71" i="19" s="1"/>
  <c r="J72" i="19" a="1"/>
  <c r="J72" i="19" s="1"/>
  <c r="J73" i="19" a="1"/>
  <c r="J73" i="19" s="1"/>
  <c r="J74" i="19" a="1"/>
  <c r="J74" i="19" s="1"/>
  <c r="J75" i="19" a="1"/>
  <c r="J75" i="19" s="1"/>
  <c r="J76" i="19" a="1"/>
  <c r="J76" i="19" s="1"/>
  <c r="K2" i="19" a="1"/>
  <c r="K2" i="19" s="1"/>
  <c r="K3" i="19" a="1"/>
  <c r="K3" i="19" s="1"/>
  <c r="K4" i="19" a="1"/>
  <c r="K4" i="19" s="1"/>
  <c r="K5" i="19" a="1"/>
  <c r="K5" i="19" s="1"/>
  <c r="K6" i="19" a="1"/>
  <c r="K6" i="19" s="1"/>
  <c r="K7" i="19" a="1"/>
  <c r="K7" i="19" s="1"/>
  <c r="K8" i="19" a="1"/>
  <c r="K8" i="19" s="1"/>
  <c r="K9" i="19" a="1"/>
  <c r="K9" i="19" s="1"/>
  <c r="K10" i="19" a="1"/>
  <c r="K10" i="19" s="1"/>
  <c r="K11" i="19" a="1"/>
  <c r="K11" i="19"/>
  <c r="K12" i="19" a="1"/>
  <c r="K12" i="19" s="1"/>
  <c r="K13" i="19" a="1"/>
  <c r="K13" i="19" s="1"/>
  <c r="K14" i="19" a="1"/>
  <c r="K14" i="19" s="1"/>
  <c r="K15" i="19" a="1"/>
  <c r="K15" i="19" s="1"/>
  <c r="K16" i="19" a="1"/>
  <c r="K16" i="19" s="1"/>
  <c r="K17" i="19" a="1"/>
  <c r="K17" i="19" s="1"/>
  <c r="K18" i="19" a="1"/>
  <c r="K18" i="19" s="1"/>
  <c r="K19" i="19" a="1"/>
  <c r="K19" i="19" s="1"/>
  <c r="K20" i="19" a="1"/>
  <c r="K20" i="19" s="1"/>
  <c r="K21" i="19" a="1"/>
  <c r="K21" i="19" s="1"/>
  <c r="K22" i="19" a="1"/>
  <c r="K22" i="19" s="1"/>
  <c r="K23" i="19" a="1"/>
  <c r="K23" i="19" s="1"/>
  <c r="K24" i="19" a="1"/>
  <c r="K24" i="19" s="1"/>
  <c r="K25" i="19" a="1"/>
  <c r="K25" i="19" s="1"/>
  <c r="K26" i="19" a="1"/>
  <c r="K26" i="19" s="1"/>
  <c r="K27" i="19" a="1"/>
  <c r="K27" i="19" s="1"/>
  <c r="K28" i="19" a="1"/>
  <c r="K28" i="19" s="1"/>
  <c r="K29" i="19" a="1"/>
  <c r="K29" i="19" s="1"/>
  <c r="K30" i="19" a="1"/>
  <c r="K30" i="19" s="1"/>
  <c r="K31" i="19" a="1"/>
  <c r="K31" i="19" s="1"/>
  <c r="K32" i="19" a="1"/>
  <c r="K32" i="19" s="1"/>
  <c r="K33" i="19" a="1"/>
  <c r="K33" i="19" s="1"/>
  <c r="K34" i="19" a="1"/>
  <c r="K34" i="19" s="1"/>
  <c r="K35" i="19" a="1"/>
  <c r="K35" i="19" s="1"/>
  <c r="K36" i="19" a="1"/>
  <c r="K36" i="19" s="1"/>
  <c r="K37" i="19" a="1"/>
  <c r="K37" i="19" s="1"/>
  <c r="K38" i="19" a="1"/>
  <c r="K38" i="19" s="1"/>
  <c r="K39" i="19" a="1"/>
  <c r="K39" i="19" s="1"/>
  <c r="K40" i="19" a="1"/>
  <c r="K40" i="19" s="1"/>
  <c r="K41" i="19" a="1"/>
  <c r="K41" i="19" s="1"/>
  <c r="K42" i="19" a="1"/>
  <c r="K42" i="19" s="1"/>
  <c r="K43" i="19" a="1"/>
  <c r="K43" i="19" s="1"/>
  <c r="K44" i="19" a="1"/>
  <c r="K44" i="19" s="1"/>
  <c r="K45" i="19" a="1"/>
  <c r="K45" i="19" s="1"/>
  <c r="K46" i="19" a="1"/>
  <c r="K46" i="19" s="1"/>
  <c r="K47" i="19" a="1"/>
  <c r="K47" i="19" s="1"/>
  <c r="K48" i="19" a="1"/>
  <c r="K48" i="19" s="1"/>
  <c r="K49" i="19" a="1"/>
  <c r="K49" i="19" s="1"/>
  <c r="K50" i="19" a="1"/>
  <c r="K50" i="19" s="1"/>
  <c r="K51" i="19" a="1"/>
  <c r="K51" i="19"/>
  <c r="K52" i="19" a="1"/>
  <c r="K52" i="19" s="1"/>
  <c r="K53" i="19" a="1"/>
  <c r="K53" i="19" s="1"/>
  <c r="K54" i="19" a="1"/>
  <c r="K54" i="19" s="1"/>
  <c r="K55" i="19" a="1"/>
  <c r="K55" i="19" s="1"/>
  <c r="K56" i="19" a="1"/>
  <c r="K56" i="19" s="1"/>
  <c r="K57" i="19" a="1"/>
  <c r="K57" i="19" s="1"/>
  <c r="K58" i="19" a="1"/>
  <c r="K58" i="19" s="1"/>
  <c r="K59" i="19" a="1"/>
  <c r="K59" i="19" s="1"/>
  <c r="K60" i="19" a="1"/>
  <c r="K60" i="19" s="1"/>
  <c r="K61" i="19" a="1"/>
  <c r="K61" i="19" s="1"/>
  <c r="K62" i="19" a="1"/>
  <c r="K62" i="19" s="1"/>
  <c r="K63" i="19" a="1"/>
  <c r="K63" i="19" s="1"/>
  <c r="K64" i="19" a="1"/>
  <c r="K64" i="19" s="1"/>
  <c r="K65" i="19" a="1"/>
  <c r="K65" i="19" s="1"/>
  <c r="K66" i="19" a="1"/>
  <c r="K66" i="19" s="1"/>
  <c r="K67" i="19" a="1"/>
  <c r="K67" i="19" s="1"/>
  <c r="K68" i="19" a="1"/>
  <c r="K68" i="19" s="1"/>
  <c r="K69" i="19" a="1"/>
  <c r="K69" i="19" s="1"/>
  <c r="K70" i="19" a="1"/>
  <c r="K70" i="19" s="1"/>
  <c r="K71" i="19" a="1"/>
  <c r="K71" i="19" s="1"/>
  <c r="K72" i="19" a="1"/>
  <c r="K72" i="19" s="1"/>
  <c r="K73" i="19" a="1"/>
  <c r="K73" i="19" s="1"/>
  <c r="K74" i="19" a="1"/>
  <c r="K74" i="19" s="1"/>
  <c r="K75" i="19" a="1"/>
  <c r="K75" i="19" s="1"/>
  <c r="K76" i="19" a="1"/>
  <c r="K76" i="19" s="1"/>
  <c r="L2" i="19" a="1"/>
  <c r="L2" i="19" s="1"/>
  <c r="L3" i="19" a="1"/>
  <c r="L3" i="19" s="1"/>
  <c r="L4" i="19" a="1"/>
  <c r="L4" i="19" s="1"/>
  <c r="M4" i="19" s="1"/>
  <c r="L5" i="19" a="1"/>
  <c r="L5" i="19" s="1"/>
  <c r="L6" i="19" a="1"/>
  <c r="L6" i="19" s="1"/>
  <c r="L7" i="19" a="1"/>
  <c r="L7" i="19" s="1"/>
  <c r="L8" i="19" a="1"/>
  <c r="L8" i="19"/>
  <c r="L9" i="19" a="1"/>
  <c r="L9" i="19" s="1"/>
  <c r="L10" i="19" a="1"/>
  <c r="L10" i="19" s="1"/>
  <c r="L11" i="19" a="1"/>
  <c r="L11" i="19" s="1"/>
  <c r="M11" i="19" s="1"/>
  <c r="L12" i="19" a="1"/>
  <c r="L12" i="19" s="1"/>
  <c r="M12" i="19" s="1"/>
  <c r="L13" i="19" a="1"/>
  <c r="L13" i="19" s="1"/>
  <c r="M13" i="19" s="1"/>
  <c r="L14" i="19" a="1"/>
  <c r="L14" i="19" s="1"/>
  <c r="L15" i="19" a="1"/>
  <c r="L15" i="19" s="1"/>
  <c r="L16" i="19" a="1"/>
  <c r="L16" i="19" s="1"/>
  <c r="M16" i="19" s="1"/>
  <c r="L17" i="19" a="1"/>
  <c r="L17" i="19" s="1"/>
  <c r="L18" i="19" a="1"/>
  <c r="L18" i="19" s="1"/>
  <c r="L19" i="19" a="1"/>
  <c r="L19" i="19" s="1"/>
  <c r="L20" i="19" a="1"/>
  <c r="L20" i="19" s="1"/>
  <c r="M20" i="19" s="1"/>
  <c r="L21" i="19" a="1"/>
  <c r="L21" i="19" s="1"/>
  <c r="L22" i="19" a="1"/>
  <c r="L22" i="19" s="1"/>
  <c r="L23" i="19" a="1"/>
  <c r="L23" i="19" s="1"/>
  <c r="L24" i="19" a="1"/>
  <c r="L24" i="19" s="1"/>
  <c r="M24" i="19" s="1"/>
  <c r="L25" i="19" a="1"/>
  <c r="L25" i="19" s="1"/>
  <c r="L26" i="19" a="1"/>
  <c r="L26" i="19" s="1"/>
  <c r="L27" i="19" a="1"/>
  <c r="L27" i="19" s="1"/>
  <c r="L28" i="19" a="1"/>
  <c r="L28" i="19" s="1"/>
  <c r="M28" i="19" s="1"/>
  <c r="L29" i="19" a="1"/>
  <c r="L29" i="19" s="1"/>
  <c r="M29" i="19" s="1"/>
  <c r="L30" i="19" a="1"/>
  <c r="L30" i="19" s="1"/>
  <c r="L31" i="19" a="1"/>
  <c r="L31" i="19" s="1"/>
  <c r="L32" i="19" a="1"/>
  <c r="L32" i="19" s="1"/>
  <c r="M32" i="19" s="1"/>
  <c r="L33" i="19" a="1"/>
  <c r="L33" i="19" s="1"/>
  <c r="L34" i="19" a="1"/>
  <c r="L34" i="19" s="1"/>
  <c r="L35" i="19" a="1"/>
  <c r="L35" i="19" s="1"/>
  <c r="L36" i="19" a="1"/>
  <c r="L36" i="19" s="1"/>
  <c r="M36" i="19" s="1"/>
  <c r="L37" i="19" a="1"/>
  <c r="L37" i="19" s="1"/>
  <c r="L38" i="19" a="1"/>
  <c r="L38" i="19" s="1"/>
  <c r="L39" i="19" a="1"/>
  <c r="L39" i="19" s="1"/>
  <c r="L40" i="19" a="1"/>
  <c r="L40" i="19"/>
  <c r="L41" i="19" a="1"/>
  <c r="L41" i="19" s="1"/>
  <c r="L42" i="19" a="1"/>
  <c r="L42" i="19" s="1"/>
  <c r="L43" i="19" a="1"/>
  <c r="L43" i="19" s="1"/>
  <c r="L44" i="19" a="1"/>
  <c r="L44" i="19" s="1"/>
  <c r="M44" i="19" s="1"/>
  <c r="L45" i="19" a="1"/>
  <c r="L45" i="19" s="1"/>
  <c r="L46" i="19" a="1"/>
  <c r="L46" i="19" s="1"/>
  <c r="L47" i="19" a="1"/>
  <c r="L47" i="19" s="1"/>
  <c r="L48" i="19" a="1"/>
  <c r="L48" i="19"/>
  <c r="L49" i="19" a="1"/>
  <c r="L49" i="19" s="1"/>
  <c r="L50" i="19" a="1"/>
  <c r="L50" i="19" s="1"/>
  <c r="M50" i="19" s="1"/>
  <c r="L51" i="19" a="1"/>
  <c r="L51" i="19" s="1"/>
  <c r="M51" i="19" s="1"/>
  <c r="L52" i="19" a="1"/>
  <c r="L52" i="19" s="1"/>
  <c r="M52" i="19" s="1"/>
  <c r="L53" i="19" a="1"/>
  <c r="L53" i="19" s="1"/>
  <c r="L54" i="19" a="1"/>
  <c r="L54" i="19" s="1"/>
  <c r="L55" i="19" a="1"/>
  <c r="L55" i="19" s="1"/>
  <c r="L56" i="19" a="1"/>
  <c r="L56" i="19"/>
  <c r="L57" i="19" a="1"/>
  <c r="L57" i="19" s="1"/>
  <c r="L58" i="19" a="1"/>
  <c r="L58" i="19" s="1"/>
  <c r="L59" i="19" a="1"/>
  <c r="L59" i="19" s="1"/>
  <c r="L60" i="19" a="1"/>
  <c r="L60" i="19" s="1"/>
  <c r="M60" i="19" s="1"/>
  <c r="L61" i="19" a="1"/>
  <c r="L61" i="19" s="1"/>
  <c r="L62" i="19" a="1"/>
  <c r="L62" i="19" s="1"/>
  <c r="L63" i="19" a="1"/>
  <c r="L63" i="19" s="1"/>
  <c r="L64" i="19" a="1"/>
  <c r="L64" i="19"/>
  <c r="L65" i="19" a="1"/>
  <c r="L65" i="19" s="1"/>
  <c r="L66" i="19" a="1"/>
  <c r="L66" i="19" s="1"/>
  <c r="L67" i="19" a="1"/>
  <c r="L67" i="19" s="1"/>
  <c r="L68" i="19" a="1"/>
  <c r="L68" i="19" s="1"/>
  <c r="M68" i="19" s="1"/>
  <c r="L69" i="19" a="1"/>
  <c r="L69" i="19" s="1"/>
  <c r="M69" i="19" s="1"/>
  <c r="L70" i="19" a="1"/>
  <c r="L70" i="19" s="1"/>
  <c r="L71" i="19" a="1"/>
  <c r="L71" i="19" s="1"/>
  <c r="L72" i="19" a="1"/>
  <c r="L72" i="19" s="1"/>
  <c r="M72" i="19" s="1"/>
  <c r="L73" i="19" a="1"/>
  <c r="L73" i="19" s="1"/>
  <c r="L74" i="19" a="1"/>
  <c r="L74" i="19" s="1"/>
  <c r="L75" i="19" a="1"/>
  <c r="L75" i="19" s="1"/>
  <c r="L76" i="19" a="1"/>
  <c r="L76" i="19" s="1"/>
  <c r="M76" i="19" s="1"/>
  <c r="M2" i="19"/>
  <c r="M6" i="19"/>
  <c r="M8" i="19"/>
  <c r="M9" i="19"/>
  <c r="M10" i="19"/>
  <c r="M14" i="19"/>
  <c r="M17" i="19"/>
  <c r="M18" i="19"/>
  <c r="M22" i="19"/>
  <c r="M25" i="19"/>
  <c r="M26" i="19"/>
  <c r="M30" i="19"/>
  <c r="M33" i="19"/>
  <c r="M34" i="19"/>
  <c r="M38" i="19"/>
  <c r="M40" i="19"/>
  <c r="M41" i="19"/>
  <c r="M42" i="19"/>
  <c r="M46" i="19"/>
  <c r="M48" i="19"/>
  <c r="M54" i="19"/>
  <c r="M56" i="19"/>
  <c r="M58" i="19"/>
  <c r="M62" i="19"/>
  <c r="M64" i="19"/>
  <c r="M65" i="19"/>
  <c r="M66" i="19"/>
  <c r="M70" i="19"/>
  <c r="M74" i="19"/>
  <c r="N2" i="19" a="1"/>
  <c r="N2" i="19" s="1"/>
  <c r="N3" i="19" a="1"/>
  <c r="N3" i="19"/>
  <c r="N4" i="19" a="1"/>
  <c r="N4" i="19" s="1"/>
  <c r="N5" i="19" a="1"/>
  <c r="N5" i="19" s="1"/>
  <c r="N6" i="19" a="1"/>
  <c r="N6" i="19"/>
  <c r="N7" i="19" a="1"/>
  <c r="N7" i="19" s="1"/>
  <c r="N8" i="19" a="1"/>
  <c r="N8" i="19" s="1"/>
  <c r="N9" i="19" a="1"/>
  <c r="N9" i="19" s="1"/>
  <c r="N10" i="19" a="1"/>
  <c r="N10" i="19" s="1"/>
  <c r="N11" i="19" a="1"/>
  <c r="N11" i="19" s="1"/>
  <c r="N12" i="19" a="1"/>
  <c r="N12" i="19" s="1"/>
  <c r="N13" i="19" a="1"/>
  <c r="N13" i="19" s="1"/>
  <c r="N14" i="19" a="1"/>
  <c r="N14" i="19" s="1"/>
  <c r="N15" i="19" a="1"/>
  <c r="N15" i="19" s="1"/>
  <c r="N16" i="19" a="1"/>
  <c r="N16" i="19" s="1"/>
  <c r="N17" i="19" a="1"/>
  <c r="N17" i="19" s="1"/>
  <c r="N18" i="19" a="1"/>
  <c r="N18" i="19" s="1"/>
  <c r="N19" i="19" a="1"/>
  <c r="N19" i="19" s="1"/>
  <c r="N20" i="19" a="1"/>
  <c r="N20" i="19" s="1"/>
  <c r="N21" i="19" a="1"/>
  <c r="N21" i="19" s="1"/>
  <c r="N22" i="19" a="1"/>
  <c r="N22" i="19" s="1"/>
  <c r="N23" i="19" a="1"/>
  <c r="N23" i="19" s="1"/>
  <c r="N24" i="19" a="1"/>
  <c r="N24" i="19" s="1"/>
  <c r="N25" i="19" a="1"/>
  <c r="N25" i="19" s="1"/>
  <c r="N26" i="19" a="1"/>
  <c r="N26" i="19" s="1"/>
  <c r="N27" i="19" a="1"/>
  <c r="N27" i="19" s="1"/>
  <c r="N28" i="19" a="1"/>
  <c r="N28" i="19" s="1"/>
  <c r="N29" i="19" a="1"/>
  <c r="N29" i="19" s="1"/>
  <c r="N30" i="19" a="1"/>
  <c r="N30" i="19" s="1"/>
  <c r="N31" i="19" a="1"/>
  <c r="N31" i="19" s="1"/>
  <c r="N32" i="19" a="1"/>
  <c r="N32" i="19" s="1"/>
  <c r="N33" i="19" a="1"/>
  <c r="N33" i="19" s="1"/>
  <c r="N34" i="19" a="1"/>
  <c r="N34" i="19" s="1"/>
  <c r="N35" i="19" a="1"/>
  <c r="N35" i="19" s="1"/>
  <c r="N36" i="19" a="1"/>
  <c r="N36" i="19" s="1"/>
  <c r="N37" i="19" a="1"/>
  <c r="N37" i="19" s="1"/>
  <c r="N38" i="19" a="1"/>
  <c r="N38" i="19" s="1"/>
  <c r="N39" i="19" a="1"/>
  <c r="N39" i="19" s="1"/>
  <c r="N40" i="19" a="1"/>
  <c r="N40" i="19" s="1"/>
  <c r="N41" i="19" a="1"/>
  <c r="N41" i="19" s="1"/>
  <c r="N42" i="19" a="1"/>
  <c r="N42" i="19" s="1"/>
  <c r="N43" i="19" a="1"/>
  <c r="N43" i="19" s="1"/>
  <c r="N44" i="19" a="1"/>
  <c r="N44" i="19" s="1"/>
  <c r="N45" i="19" a="1"/>
  <c r="N45" i="19" s="1"/>
  <c r="N46" i="19" a="1"/>
  <c r="N46" i="19" s="1"/>
  <c r="N47" i="19" a="1"/>
  <c r="N47" i="19" s="1"/>
  <c r="N48" i="19" a="1"/>
  <c r="N48" i="19" s="1"/>
  <c r="N49" i="19" a="1"/>
  <c r="N49" i="19" s="1"/>
  <c r="N50" i="19" a="1"/>
  <c r="N50" i="19" s="1"/>
  <c r="N51" i="19" a="1"/>
  <c r="N51" i="19" s="1"/>
  <c r="N52" i="19" a="1"/>
  <c r="N52" i="19" s="1"/>
  <c r="N53" i="19" a="1"/>
  <c r="N53" i="19" s="1"/>
  <c r="N54" i="19" a="1"/>
  <c r="N54" i="19" s="1"/>
  <c r="N55" i="19" a="1"/>
  <c r="N55" i="19" s="1"/>
  <c r="N56" i="19" a="1"/>
  <c r="N56" i="19" s="1"/>
  <c r="N57" i="19" a="1"/>
  <c r="N57" i="19" s="1"/>
  <c r="N58" i="19" a="1"/>
  <c r="N58" i="19" s="1"/>
  <c r="N59" i="19" a="1"/>
  <c r="N59" i="19" s="1"/>
  <c r="N60" i="19" a="1"/>
  <c r="N60" i="19" s="1"/>
  <c r="N61" i="19" a="1"/>
  <c r="N61" i="19" s="1"/>
  <c r="N62" i="19" a="1"/>
  <c r="N62" i="19" s="1"/>
  <c r="N63" i="19" a="1"/>
  <c r="N63" i="19" s="1"/>
  <c r="N64" i="19" a="1"/>
  <c r="N64" i="19" s="1"/>
  <c r="N65" i="19" a="1"/>
  <c r="N65" i="19" s="1"/>
  <c r="N66" i="19" a="1"/>
  <c r="N66" i="19" s="1"/>
  <c r="N67" i="19" a="1"/>
  <c r="N67" i="19" s="1"/>
  <c r="N68" i="19" a="1"/>
  <c r="N68" i="19" s="1"/>
  <c r="N69" i="19" a="1"/>
  <c r="N69" i="19" s="1"/>
  <c r="N70" i="19" a="1"/>
  <c r="N70" i="19" s="1"/>
  <c r="N71" i="19" a="1"/>
  <c r="N71" i="19" s="1"/>
  <c r="N72" i="19" a="1"/>
  <c r="N72" i="19" s="1"/>
  <c r="N73" i="19" a="1"/>
  <c r="N73" i="19" s="1"/>
  <c r="N74" i="19" a="1"/>
  <c r="N74" i="19" s="1"/>
  <c r="N75" i="19" a="1"/>
  <c r="N75" i="19" s="1"/>
  <c r="N76" i="19" a="1"/>
  <c r="N76" i="19" s="1"/>
  <c r="O2" i="19" a="1"/>
  <c r="O2" i="19" s="1"/>
  <c r="O3" i="19" a="1"/>
  <c r="O3" i="19" s="1"/>
  <c r="O4" i="19" a="1"/>
  <c r="O4" i="19" s="1"/>
  <c r="O5" i="19" a="1"/>
  <c r="O5" i="19" s="1"/>
  <c r="O6" i="19" a="1"/>
  <c r="O6" i="19" s="1"/>
  <c r="O7" i="19" a="1"/>
  <c r="O7" i="19" s="1"/>
  <c r="O8" i="19" a="1"/>
  <c r="O8" i="19" s="1"/>
  <c r="O9" i="19" a="1"/>
  <c r="O9" i="19" s="1"/>
  <c r="O10" i="19" a="1"/>
  <c r="O10" i="19" s="1"/>
  <c r="O11" i="19" a="1"/>
  <c r="O11" i="19" s="1"/>
  <c r="O12" i="19" a="1"/>
  <c r="O12" i="19" s="1"/>
  <c r="O13" i="19" a="1"/>
  <c r="O13" i="19" s="1"/>
  <c r="O14" i="19" a="1"/>
  <c r="O14" i="19" s="1"/>
  <c r="O15" i="19" a="1"/>
  <c r="O15" i="19" s="1"/>
  <c r="O16" i="19" a="1"/>
  <c r="O16" i="19" s="1"/>
  <c r="O17" i="19" a="1"/>
  <c r="O17" i="19" s="1"/>
  <c r="O18" i="19" a="1"/>
  <c r="O18" i="19" s="1"/>
  <c r="O19" i="19" a="1"/>
  <c r="O19" i="19" s="1"/>
  <c r="O20" i="19" a="1"/>
  <c r="O20" i="19" s="1"/>
  <c r="O21" i="19" a="1"/>
  <c r="O21" i="19" s="1"/>
  <c r="O22" i="19" a="1"/>
  <c r="O22" i="19" s="1"/>
  <c r="O23" i="19" a="1"/>
  <c r="O23" i="19" s="1"/>
  <c r="O24" i="19" a="1"/>
  <c r="O24" i="19" s="1"/>
  <c r="O25" i="19" a="1"/>
  <c r="O25" i="19" s="1"/>
  <c r="O26" i="19" a="1"/>
  <c r="O26" i="19" s="1"/>
  <c r="O27" i="19" a="1"/>
  <c r="O27" i="19" s="1"/>
  <c r="O28" i="19" a="1"/>
  <c r="O28" i="19" s="1"/>
  <c r="O29" i="19" a="1"/>
  <c r="O29" i="19" s="1"/>
  <c r="O30" i="19" a="1"/>
  <c r="O30" i="19" s="1"/>
  <c r="O31" i="19" a="1"/>
  <c r="O31" i="19" s="1"/>
  <c r="O32" i="19" a="1"/>
  <c r="O32" i="19" s="1"/>
  <c r="O33" i="19" a="1"/>
  <c r="O33" i="19" s="1"/>
  <c r="O34" i="19" a="1"/>
  <c r="O34" i="19" s="1"/>
  <c r="O35" i="19" a="1"/>
  <c r="O35" i="19" s="1"/>
  <c r="O36" i="19" a="1"/>
  <c r="O36" i="19" s="1"/>
  <c r="O37" i="19" a="1"/>
  <c r="O37" i="19" s="1"/>
  <c r="O38" i="19" a="1"/>
  <c r="O38" i="19" s="1"/>
  <c r="O39" i="19" a="1"/>
  <c r="O39" i="19" s="1"/>
  <c r="O40" i="19" a="1"/>
  <c r="O40" i="19" s="1"/>
  <c r="O41" i="19" a="1"/>
  <c r="O41" i="19" s="1"/>
  <c r="O42" i="19" a="1"/>
  <c r="O42" i="19" s="1"/>
  <c r="O43" i="19" a="1"/>
  <c r="O43" i="19" s="1"/>
  <c r="O44" i="19" a="1"/>
  <c r="O44" i="19" s="1"/>
  <c r="O45" i="19" a="1"/>
  <c r="O45" i="19" s="1"/>
  <c r="O46" i="19" a="1"/>
  <c r="O46" i="19" s="1"/>
  <c r="O47" i="19" a="1"/>
  <c r="O47" i="19" s="1"/>
  <c r="O48" i="19" a="1"/>
  <c r="O48" i="19" s="1"/>
  <c r="O49" i="19" a="1"/>
  <c r="O49" i="19" s="1"/>
  <c r="O50" i="19" a="1"/>
  <c r="O50" i="19" s="1"/>
  <c r="O51" i="19" a="1"/>
  <c r="O51" i="19" s="1"/>
  <c r="O52" i="19" a="1"/>
  <c r="O52" i="19" s="1"/>
  <c r="O53" i="19" a="1"/>
  <c r="O53" i="19" s="1"/>
  <c r="O54" i="19" a="1"/>
  <c r="O54" i="19" s="1"/>
  <c r="O55" i="19" a="1"/>
  <c r="O55" i="19" s="1"/>
  <c r="O56" i="19" a="1"/>
  <c r="O56" i="19" s="1"/>
  <c r="O57" i="19" a="1"/>
  <c r="O57" i="19" s="1"/>
  <c r="O58" i="19" a="1"/>
  <c r="O58" i="19" s="1"/>
  <c r="O59" i="19" a="1"/>
  <c r="O59" i="19" s="1"/>
  <c r="O60" i="19" a="1"/>
  <c r="O60" i="19" s="1"/>
  <c r="O61" i="19" a="1"/>
  <c r="O61" i="19" s="1"/>
  <c r="O62" i="19" a="1"/>
  <c r="O62" i="19" s="1"/>
  <c r="O63" i="19" a="1"/>
  <c r="O63" i="19" s="1"/>
  <c r="O64" i="19" a="1"/>
  <c r="O64" i="19" s="1"/>
  <c r="O65" i="19" a="1"/>
  <c r="O65" i="19" s="1"/>
  <c r="O66" i="19" a="1"/>
  <c r="O66" i="19" s="1"/>
  <c r="O67" i="19" a="1"/>
  <c r="O67" i="19" s="1"/>
  <c r="O68" i="19" a="1"/>
  <c r="O68" i="19" s="1"/>
  <c r="O69" i="19" a="1"/>
  <c r="O69" i="19" s="1"/>
  <c r="O70" i="19" a="1"/>
  <c r="O70" i="19" s="1"/>
  <c r="O71" i="19" a="1"/>
  <c r="O71" i="19" s="1"/>
  <c r="O72" i="19" a="1"/>
  <c r="O72" i="19" s="1"/>
  <c r="O73" i="19" a="1"/>
  <c r="O73" i="19" s="1"/>
  <c r="O74" i="19" a="1"/>
  <c r="O74" i="19" s="1"/>
  <c r="O75" i="19" a="1"/>
  <c r="O75" i="19" s="1"/>
  <c r="O76" i="19" a="1"/>
  <c r="O76" i="19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2" i="18"/>
  <c r="M273" i="18"/>
  <c r="M274" i="18"/>
  <c r="M275" i="18"/>
  <c r="M276" i="18"/>
  <c r="M277" i="18"/>
  <c r="M278" i="18"/>
  <c r="M279" i="18"/>
  <c r="M280" i="18"/>
  <c r="M281" i="18"/>
  <c r="M282" i="18"/>
  <c r="M283" i="18"/>
  <c r="M284" i="18"/>
  <c r="M285" i="18"/>
  <c r="M286" i="18"/>
  <c r="M287" i="18"/>
  <c r="M288" i="18"/>
  <c r="M289" i="18"/>
  <c r="M290" i="18"/>
  <c r="M291" i="18"/>
  <c r="M292" i="18"/>
  <c r="M293" i="18"/>
  <c r="M294" i="18"/>
  <c r="M295" i="18"/>
  <c r="M296" i="18"/>
  <c r="M297" i="18"/>
  <c r="M298" i="18"/>
  <c r="M299" i="18"/>
  <c r="M300" i="18"/>
  <c r="M301" i="18"/>
  <c r="M302" i="18"/>
  <c r="M303" i="18"/>
  <c r="M304" i="18"/>
  <c r="M305" i="18"/>
  <c r="M306" i="18"/>
  <c r="M307" i="18"/>
  <c r="M308" i="18"/>
  <c r="M309" i="18"/>
  <c r="M310" i="18"/>
  <c r="M311" i="18"/>
  <c r="M312" i="18"/>
  <c r="M313" i="18"/>
  <c r="M314" i="18"/>
  <c r="M315" i="18"/>
  <c r="M316" i="18"/>
  <c r="M317" i="18"/>
  <c r="M318" i="18"/>
  <c r="M319" i="18"/>
  <c r="M320" i="18"/>
  <c r="M321" i="18"/>
  <c r="M322" i="18"/>
  <c r="M323" i="18"/>
  <c r="M324" i="18"/>
  <c r="M325" i="18"/>
  <c r="M326" i="18"/>
  <c r="M327" i="18"/>
  <c r="M328" i="18"/>
  <c r="M329" i="18"/>
  <c r="M330" i="18"/>
  <c r="M331" i="18"/>
  <c r="M332" i="18"/>
  <c r="M333" i="18"/>
  <c r="M334" i="18"/>
  <c r="M335" i="18"/>
  <c r="M336" i="18"/>
  <c r="M337" i="18"/>
  <c r="M338" i="18"/>
  <c r="M339" i="18"/>
  <c r="M340" i="18"/>
  <c r="M341" i="18"/>
  <c r="M342" i="18"/>
  <c r="M343" i="18"/>
  <c r="M344" i="18"/>
  <c r="M345" i="18"/>
  <c r="M346" i="18"/>
  <c r="M347" i="18"/>
  <c r="M348" i="18"/>
  <c r="M349" i="18"/>
  <c r="M350" i="18"/>
  <c r="M351" i="18"/>
  <c r="M352" i="18"/>
  <c r="M353" i="18"/>
  <c r="M354" i="18"/>
  <c r="M355" i="18"/>
  <c r="M356" i="18"/>
  <c r="M357" i="18"/>
  <c r="M358" i="18"/>
  <c r="M359" i="18"/>
  <c r="M360" i="18"/>
  <c r="M361" i="18"/>
  <c r="M362" i="18"/>
  <c r="M363" i="18"/>
  <c r="M364" i="18"/>
  <c r="M365" i="18"/>
  <c r="M366" i="18"/>
  <c r="M367" i="18"/>
  <c r="M368" i="18"/>
  <c r="M369" i="18"/>
  <c r="M370" i="18"/>
  <c r="M371" i="18"/>
  <c r="M372" i="18"/>
  <c r="M373" i="18"/>
  <c r="M374" i="18"/>
  <c r="M375" i="18"/>
  <c r="M376" i="18"/>
  <c r="M377" i="18"/>
  <c r="M378" i="18"/>
  <c r="M379" i="18"/>
  <c r="M380" i="18"/>
  <c r="M381" i="18"/>
  <c r="M382" i="18"/>
  <c r="M383" i="18"/>
  <c r="M384" i="18"/>
  <c r="M385" i="18"/>
  <c r="M386" i="18"/>
  <c r="M387" i="18"/>
  <c r="M388" i="18"/>
  <c r="M389" i="18"/>
  <c r="M390" i="18"/>
  <c r="M391" i="18"/>
  <c r="M392" i="18"/>
  <c r="M393" i="18"/>
  <c r="M394" i="18"/>
  <c r="M395" i="18"/>
  <c r="M396" i="18"/>
  <c r="M397" i="18"/>
  <c r="M398" i="18"/>
  <c r="M399" i="18"/>
  <c r="M400" i="18"/>
  <c r="M401" i="18"/>
  <c r="M402" i="18"/>
  <c r="M403" i="18"/>
  <c r="M404" i="18"/>
  <c r="M405" i="18"/>
  <c r="M406" i="18"/>
  <c r="M407" i="18"/>
  <c r="M408" i="18"/>
  <c r="M409" i="18"/>
  <c r="M410" i="18"/>
  <c r="M411" i="18"/>
  <c r="M412" i="18"/>
  <c r="M413" i="18"/>
  <c r="M414" i="18"/>
  <c r="M415" i="18"/>
  <c r="M416" i="18"/>
  <c r="M417" i="18"/>
  <c r="M418" i="18"/>
  <c r="M419" i="18"/>
  <c r="M420" i="18"/>
  <c r="M421" i="18"/>
  <c r="M422" i="18"/>
  <c r="M423" i="18"/>
  <c r="M424" i="18"/>
  <c r="M425" i="18"/>
  <c r="M426" i="18"/>
  <c r="M427" i="18"/>
  <c r="M428" i="18"/>
  <c r="M429" i="18"/>
  <c r="M430" i="18"/>
  <c r="M431" i="18"/>
  <c r="M432" i="18"/>
  <c r="M433" i="18"/>
  <c r="M434" i="18"/>
  <c r="M435" i="18"/>
  <c r="M436" i="18"/>
  <c r="M437" i="18"/>
  <c r="M438" i="18"/>
  <c r="M439" i="18"/>
  <c r="M440" i="18"/>
  <c r="M441" i="18"/>
  <c r="M442" i="18"/>
  <c r="M443" i="18"/>
  <c r="M444" i="18"/>
  <c r="M445" i="18"/>
  <c r="M446" i="18"/>
  <c r="M447" i="18"/>
  <c r="M448" i="18"/>
  <c r="M449" i="18"/>
  <c r="M450" i="18"/>
  <c r="M451" i="18"/>
  <c r="M452" i="18"/>
  <c r="M453" i="18"/>
  <c r="M454" i="18"/>
  <c r="M455" i="18"/>
  <c r="M456" i="18"/>
  <c r="M457" i="18"/>
  <c r="M458" i="18"/>
  <c r="M459" i="18"/>
  <c r="M460" i="18"/>
  <c r="M461" i="18"/>
  <c r="M462" i="18"/>
  <c r="M463" i="18"/>
  <c r="M464" i="18"/>
  <c r="M465" i="18"/>
  <c r="M466" i="18"/>
  <c r="M467" i="18"/>
  <c r="M468" i="18"/>
  <c r="M469" i="18"/>
  <c r="M470" i="18"/>
  <c r="M471" i="18"/>
  <c r="M472" i="18"/>
  <c r="M473" i="18"/>
  <c r="M474" i="18"/>
  <c r="M475" i="18"/>
  <c r="M476" i="18"/>
  <c r="M477" i="18"/>
  <c r="M478" i="18"/>
  <c r="M479" i="18"/>
  <c r="M480" i="18"/>
  <c r="M481" i="18"/>
  <c r="M482" i="18"/>
  <c r="M483" i="18"/>
  <c r="M484" i="18"/>
  <c r="M485" i="18"/>
  <c r="M486" i="18"/>
  <c r="M487" i="18"/>
  <c r="M488" i="18"/>
  <c r="M489" i="18"/>
  <c r="M490" i="18"/>
  <c r="M491" i="18"/>
  <c r="M492" i="18"/>
  <c r="M493" i="18"/>
  <c r="M494" i="18"/>
  <c r="M495" i="18"/>
  <c r="M496" i="18"/>
  <c r="M497" i="18"/>
  <c r="M498" i="18"/>
  <c r="M499" i="18"/>
  <c r="M500" i="18"/>
  <c r="M501" i="18"/>
  <c r="M502" i="18"/>
  <c r="M503" i="18"/>
  <c r="M504" i="18"/>
  <c r="M505" i="18"/>
  <c r="M506" i="18"/>
  <c r="M507" i="18"/>
  <c r="M508" i="18"/>
  <c r="M509" i="18"/>
  <c r="M510" i="18"/>
  <c r="M511" i="18"/>
  <c r="M512" i="18"/>
  <c r="M513" i="18"/>
  <c r="M514" i="18"/>
  <c r="M515" i="18"/>
  <c r="M516" i="18"/>
  <c r="M517" i="18"/>
  <c r="M518" i="18"/>
  <c r="M519" i="18"/>
  <c r="M520" i="18"/>
  <c r="M521" i="18"/>
  <c r="M522" i="18"/>
  <c r="M523" i="18"/>
  <c r="M524" i="18"/>
  <c r="M525" i="18"/>
  <c r="M526" i="18"/>
  <c r="M527" i="18"/>
  <c r="M528" i="18"/>
  <c r="M529" i="18"/>
  <c r="M530" i="18"/>
  <c r="M531" i="18"/>
  <c r="M532" i="18"/>
  <c r="M533" i="18"/>
  <c r="M534" i="18"/>
  <c r="M535" i="18"/>
  <c r="M536" i="18"/>
  <c r="M537" i="18"/>
  <c r="M538" i="18"/>
  <c r="M539" i="18"/>
  <c r="M540" i="18"/>
  <c r="M541" i="18"/>
  <c r="M542" i="18"/>
  <c r="M543" i="18"/>
  <c r="M544" i="18"/>
  <c r="M545" i="18"/>
  <c r="M546" i="18"/>
  <c r="M547" i="18"/>
  <c r="M548" i="18"/>
  <c r="M549" i="18"/>
  <c r="M550" i="18"/>
  <c r="M551" i="18"/>
  <c r="M552" i="18"/>
  <c r="M553" i="18"/>
  <c r="M554" i="18"/>
  <c r="M555" i="18"/>
  <c r="M556" i="18"/>
  <c r="M557" i="18"/>
  <c r="M558" i="18"/>
  <c r="M559" i="18"/>
  <c r="M560" i="18"/>
  <c r="M561" i="18"/>
  <c r="M562" i="18"/>
  <c r="M563" i="18"/>
  <c r="M564" i="18"/>
  <c r="M565" i="18"/>
  <c r="M566" i="18"/>
  <c r="M567" i="18"/>
  <c r="M568" i="18"/>
  <c r="M569" i="18"/>
  <c r="M570" i="18"/>
  <c r="M571" i="18"/>
  <c r="M572" i="18"/>
  <c r="M573" i="18"/>
  <c r="M574" i="18"/>
  <c r="M575" i="18"/>
  <c r="M576" i="18"/>
  <c r="M577" i="18"/>
  <c r="M578" i="18"/>
  <c r="M579" i="18"/>
  <c r="M580" i="18"/>
  <c r="M581" i="18"/>
  <c r="M582" i="18"/>
  <c r="M583" i="18"/>
  <c r="M584" i="18"/>
  <c r="M585" i="18"/>
  <c r="M586" i="18"/>
  <c r="M587" i="18"/>
  <c r="M588" i="18"/>
  <c r="M589" i="18"/>
  <c r="M590" i="18"/>
  <c r="M591" i="18"/>
  <c r="M592" i="18"/>
  <c r="M593" i="18"/>
  <c r="M594" i="18"/>
  <c r="M595" i="18"/>
  <c r="M596" i="18"/>
  <c r="M597" i="18"/>
  <c r="M598" i="18"/>
  <c r="M599" i="18"/>
  <c r="M600" i="18"/>
  <c r="M601" i="18"/>
  <c r="M602" i="18"/>
  <c r="M603" i="18"/>
  <c r="M604" i="18"/>
  <c r="M605" i="18"/>
  <c r="M606" i="18"/>
  <c r="M607" i="18"/>
  <c r="M608" i="18"/>
  <c r="M609" i="18"/>
  <c r="M610" i="18"/>
  <c r="M611" i="18"/>
  <c r="M612" i="18"/>
  <c r="M613" i="18"/>
  <c r="M614" i="18"/>
  <c r="M615" i="18"/>
  <c r="M616" i="18"/>
  <c r="M617" i="18"/>
  <c r="M618" i="18"/>
  <c r="M619" i="18"/>
  <c r="M620" i="18"/>
  <c r="M621" i="18"/>
  <c r="M622" i="18"/>
  <c r="M623" i="18"/>
  <c r="M624" i="18"/>
  <c r="M625" i="18"/>
  <c r="M626" i="18"/>
  <c r="M627" i="18"/>
  <c r="M628" i="18"/>
  <c r="M629" i="18"/>
  <c r="M630" i="18"/>
  <c r="M631" i="18"/>
  <c r="M632" i="18"/>
  <c r="M633" i="18"/>
  <c r="M634" i="18"/>
  <c r="M635" i="18"/>
  <c r="M636" i="18"/>
  <c r="M637" i="18"/>
  <c r="M638" i="18"/>
  <c r="M639" i="18"/>
  <c r="M640" i="18"/>
  <c r="M641" i="18"/>
  <c r="M642" i="18"/>
  <c r="M643" i="18"/>
  <c r="M644" i="18"/>
  <c r="M645" i="18"/>
  <c r="M646" i="18"/>
  <c r="M647" i="18"/>
  <c r="M648" i="18"/>
  <c r="M649" i="18"/>
  <c r="M650" i="18"/>
  <c r="M651" i="18"/>
  <c r="M652" i="18"/>
  <c r="M653" i="18"/>
  <c r="M654" i="18"/>
  <c r="M655" i="18"/>
  <c r="M656" i="18"/>
  <c r="M657" i="18"/>
  <c r="M658" i="18"/>
  <c r="M659" i="18"/>
  <c r="M660" i="18"/>
  <c r="M661" i="18"/>
  <c r="M662" i="18"/>
  <c r="M663" i="18"/>
  <c r="M664" i="18"/>
  <c r="M665" i="18"/>
  <c r="M666" i="18"/>
  <c r="M667" i="18"/>
  <c r="M668" i="18"/>
  <c r="M669" i="18"/>
  <c r="M670" i="18"/>
  <c r="M671" i="18"/>
  <c r="M672" i="18"/>
  <c r="M673" i="18"/>
  <c r="M674" i="18"/>
  <c r="M675" i="18"/>
  <c r="M676" i="18"/>
  <c r="M677" i="18"/>
  <c r="M678" i="18"/>
  <c r="M679" i="18"/>
  <c r="M680" i="18"/>
  <c r="M681" i="18"/>
  <c r="M682" i="18"/>
  <c r="M683" i="18"/>
  <c r="M684" i="18"/>
  <c r="M685" i="18"/>
  <c r="M686" i="18"/>
  <c r="M687" i="18"/>
  <c r="M688" i="18"/>
  <c r="M689" i="18"/>
  <c r="M690" i="18"/>
  <c r="M691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/>
  <c r="N30" i="18" a="1"/>
  <c r="N30" i="18" s="1"/>
  <c r="N31" i="18" a="1"/>
  <c r="N31" i="18" s="1"/>
  <c r="N32" i="18" a="1"/>
  <c r="N32" i="18" s="1"/>
  <c r="N33" i="18" a="1"/>
  <c r="N33" i="18" s="1"/>
  <c r="N34" i="18" a="1"/>
  <c r="N34" i="18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/>
  <c r="N58" i="18" a="1"/>
  <c r="N58" i="18" s="1"/>
  <c r="N59" i="18" a="1"/>
  <c r="N59" i="18" s="1"/>
  <c r="N60" i="18" a="1"/>
  <c r="N60" i="18" s="1"/>
  <c r="N61" i="18" a="1"/>
  <c r="N61" i="18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/>
  <c r="N126" i="18" a="1"/>
  <c r="N126" i="18"/>
  <c r="N127" i="18" a="1"/>
  <c r="N127" i="18" s="1"/>
  <c r="N128" i="18" a="1"/>
  <c r="N128" i="18" s="1"/>
  <c r="N129" i="18" a="1"/>
  <c r="N129" i="18" s="1"/>
  <c r="N130" i="18" a="1"/>
  <c r="N130" i="18"/>
  <c r="N131" i="18" a="1"/>
  <c r="N131" i="18" s="1"/>
  <c r="N132" i="18" a="1"/>
  <c r="N132" i="18" s="1"/>
  <c r="N133" i="18" a="1"/>
  <c r="N133" i="18" s="1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N152" i="18" a="1"/>
  <c r="N152" i="18" s="1"/>
  <c r="N153" i="18" a="1"/>
  <c r="N153" i="18" s="1"/>
  <c r="N154" i="18" a="1"/>
  <c r="N154" i="18" s="1"/>
  <c r="N155" i="18" a="1"/>
  <c r="N155" i="18" s="1"/>
  <c r="N156" i="18" a="1"/>
  <c r="N156" i="18" s="1"/>
  <c r="N157" i="18" a="1"/>
  <c r="N157" i="18"/>
  <c r="N158" i="18" a="1"/>
  <c r="N158" i="18"/>
  <c r="N159" i="18" a="1"/>
  <c r="N159" i="18" s="1"/>
  <c r="N160" i="18" a="1"/>
  <c r="N160" i="18" s="1"/>
  <c r="N161" i="18" a="1"/>
  <c r="N161" i="18"/>
  <c r="N162" i="18" a="1"/>
  <c r="N162" i="18"/>
  <c r="N163" i="18" a="1"/>
  <c r="N163" i="18" s="1"/>
  <c r="N164" i="18" a="1"/>
  <c r="N164" i="18" s="1"/>
  <c r="N165" i="18" a="1"/>
  <c r="N165" i="18" s="1"/>
  <c r="N166" i="18" a="1"/>
  <c r="N166" i="18" s="1"/>
  <c r="N167" i="18" a="1"/>
  <c r="N167" i="18" s="1"/>
  <c r="N168" i="18" a="1"/>
  <c r="N168" i="18" s="1"/>
  <c r="N169" i="18" a="1"/>
  <c r="N169" i="18" s="1"/>
  <c r="N170" i="18" a="1"/>
  <c r="N170" i="18" s="1"/>
  <c r="N171" i="18" a="1"/>
  <c r="N171" i="18" s="1"/>
  <c r="N172" i="18" a="1"/>
  <c r="N172" i="18" s="1"/>
  <c r="N173" i="18" a="1"/>
  <c r="N173" i="18" s="1"/>
  <c r="N174" i="18" a="1"/>
  <c r="N174" i="18" s="1"/>
  <c r="N175" i="18" a="1"/>
  <c r="N175" i="18" s="1"/>
  <c r="N176" i="18" a="1"/>
  <c r="N176" i="18" s="1"/>
  <c r="N177" i="18" a="1"/>
  <c r="N177" i="18" s="1"/>
  <c r="N178" i="18" a="1"/>
  <c r="N178" i="18" s="1"/>
  <c r="N179" i="18" a="1"/>
  <c r="N179" i="18" s="1"/>
  <c r="N180" i="18" a="1"/>
  <c r="N180" i="18" s="1"/>
  <c r="N181" i="18" a="1"/>
  <c r="N181" i="18" s="1"/>
  <c r="N182" i="18" a="1"/>
  <c r="N182" i="18" s="1"/>
  <c r="N183" i="18" a="1"/>
  <c r="N183" i="18" s="1"/>
  <c r="N184" i="18" a="1"/>
  <c r="N184" i="18" s="1"/>
  <c r="N185" i="18" a="1"/>
  <c r="N185" i="18" s="1"/>
  <c r="N186" i="18" a="1"/>
  <c r="N186" i="18" s="1"/>
  <c r="N187" i="18" a="1"/>
  <c r="N187" i="18" s="1"/>
  <c r="N188" i="18" a="1"/>
  <c r="N188" i="18" s="1"/>
  <c r="N189" i="18" a="1"/>
  <c r="N189" i="18"/>
  <c r="N190" i="18" a="1"/>
  <c r="N190" i="18" s="1"/>
  <c r="N191" i="18" a="1"/>
  <c r="N191" i="18" s="1"/>
  <c r="N192" i="18" a="1"/>
  <c r="N192" i="18" s="1"/>
  <c r="N193" i="18" a="1"/>
  <c r="N193" i="18" s="1"/>
  <c r="N194" i="18" a="1"/>
  <c r="N194" i="18"/>
  <c r="N195" i="18" a="1"/>
  <c r="N195" i="18" s="1"/>
  <c r="N196" i="18" a="1"/>
  <c r="N196" i="18" s="1"/>
  <c r="N197" i="18" a="1"/>
  <c r="N197" i="18" s="1"/>
  <c r="N198" i="18" a="1"/>
  <c r="N198" i="18" s="1"/>
  <c r="N199" i="18" a="1"/>
  <c r="N199" i="18" s="1"/>
  <c r="N200" i="18" a="1"/>
  <c r="N200" i="18" s="1"/>
  <c r="N201" i="18" a="1"/>
  <c r="N201" i="18" s="1"/>
  <c r="N202" i="18" a="1"/>
  <c r="N202" i="18" s="1"/>
  <c r="N203" i="18" a="1"/>
  <c r="N203" i="18" s="1"/>
  <c r="N204" i="18" a="1"/>
  <c r="N204" i="18" s="1"/>
  <c r="N205" i="18" a="1"/>
  <c r="N205" i="18" s="1"/>
  <c r="N206" i="18" a="1"/>
  <c r="N206" i="18" s="1"/>
  <c r="N207" i="18" a="1"/>
  <c r="N207" i="18" s="1"/>
  <c r="N208" i="18" a="1"/>
  <c r="N208" i="18" s="1"/>
  <c r="N209" i="18" a="1"/>
  <c r="N209" i="18" s="1"/>
  <c r="N210" i="18" a="1"/>
  <c r="N210" i="18" s="1"/>
  <c r="N211" i="18" a="1"/>
  <c r="N211" i="18" s="1"/>
  <c r="N212" i="18" a="1"/>
  <c r="N212" i="18" s="1"/>
  <c r="N213" i="18" a="1"/>
  <c r="N213" i="18" s="1"/>
  <c r="N214" i="18" a="1"/>
  <c r="N214" i="18" s="1"/>
  <c r="N215" i="18" a="1"/>
  <c r="N215" i="18" s="1"/>
  <c r="N216" i="18" a="1"/>
  <c r="N216" i="18" s="1"/>
  <c r="N217" i="18" a="1"/>
  <c r="N217" i="18" s="1"/>
  <c r="N218" i="18" a="1"/>
  <c r="N218" i="18" s="1"/>
  <c r="N219" i="18" a="1"/>
  <c r="N219" i="18" s="1"/>
  <c r="N220" i="18" a="1"/>
  <c r="N220" i="18" s="1"/>
  <c r="N221" i="18" a="1"/>
  <c r="N221" i="18"/>
  <c r="N222" i="18" a="1"/>
  <c r="N222" i="18" s="1"/>
  <c r="N223" i="18" a="1"/>
  <c r="N223" i="18" s="1"/>
  <c r="N224" i="18" a="1"/>
  <c r="N224" i="18" s="1"/>
  <c r="N225" i="18" a="1"/>
  <c r="N225" i="18" s="1"/>
  <c r="N226" i="18" a="1"/>
  <c r="N226" i="18"/>
  <c r="N227" i="18" a="1"/>
  <c r="N227" i="18" s="1"/>
  <c r="N228" i="18" a="1"/>
  <c r="N228" i="18" s="1"/>
  <c r="N229" i="18" a="1"/>
  <c r="N229" i="18" s="1"/>
  <c r="N230" i="18" a="1"/>
  <c r="N230" i="18" s="1"/>
  <c r="N231" i="18" a="1"/>
  <c r="N231" i="18" s="1"/>
  <c r="N232" i="18" a="1"/>
  <c r="N232" i="18" s="1"/>
  <c r="N233" i="18" a="1"/>
  <c r="N233" i="18" s="1"/>
  <c r="N234" i="18" a="1"/>
  <c r="N234" i="18" s="1"/>
  <c r="N235" i="18" a="1"/>
  <c r="N235" i="18" s="1"/>
  <c r="N236" i="18" a="1"/>
  <c r="N236" i="18" s="1"/>
  <c r="N237" i="18" a="1"/>
  <c r="N237" i="18" s="1"/>
  <c r="N238" i="18" a="1"/>
  <c r="N238" i="18" s="1"/>
  <c r="N239" i="18" a="1"/>
  <c r="N239" i="18" s="1"/>
  <c r="N240" i="18" a="1"/>
  <c r="N240" i="18" s="1"/>
  <c r="N241" i="18" a="1"/>
  <c r="N241" i="18" s="1"/>
  <c r="N242" i="18" a="1"/>
  <c r="N242" i="18" s="1"/>
  <c r="N243" i="18" a="1"/>
  <c r="N243" i="18" s="1"/>
  <c r="N244" i="18" a="1"/>
  <c r="N244" i="18" s="1"/>
  <c r="N245" i="18" a="1"/>
  <c r="N245" i="18" s="1"/>
  <c r="N246" i="18" a="1"/>
  <c r="N246" i="18" s="1"/>
  <c r="N247" i="18" a="1"/>
  <c r="N247" i="18" s="1"/>
  <c r="N248" i="18" a="1"/>
  <c r="N248" i="18" s="1"/>
  <c r="N249" i="18" a="1"/>
  <c r="N249" i="18" s="1"/>
  <c r="N250" i="18" a="1"/>
  <c r="N250" i="18" s="1"/>
  <c r="N251" i="18" a="1"/>
  <c r="N251" i="18" s="1"/>
  <c r="N252" i="18" a="1"/>
  <c r="N252" i="18" s="1"/>
  <c r="N253" i="18" a="1"/>
  <c r="N253" i="18"/>
  <c r="N254" i="18" a="1"/>
  <c r="N254" i="18" s="1"/>
  <c r="N255" i="18" a="1"/>
  <c r="N255" i="18" s="1"/>
  <c r="N256" i="18" a="1"/>
  <c r="N256" i="18" s="1"/>
  <c r="N257" i="18" a="1"/>
  <c r="N257" i="18" s="1"/>
  <c r="N258" i="18" a="1"/>
  <c r="N258" i="18"/>
  <c r="N259" i="18" a="1"/>
  <c r="N259" i="18" s="1"/>
  <c r="N260" i="18" a="1"/>
  <c r="N260" i="18" s="1"/>
  <c r="N261" i="18" a="1"/>
  <c r="N261" i="18" s="1"/>
  <c r="N262" i="18" a="1"/>
  <c r="N262" i="18" s="1"/>
  <c r="N263" i="18" a="1"/>
  <c r="N263" i="18" s="1"/>
  <c r="N264" i="18" a="1"/>
  <c r="N264" i="18" s="1"/>
  <c r="N265" i="18" a="1"/>
  <c r="N265" i="18" s="1"/>
  <c r="N266" i="18" a="1"/>
  <c r="N266" i="18" s="1"/>
  <c r="N267" i="18" a="1"/>
  <c r="N267" i="18" s="1"/>
  <c r="N268" i="18" a="1"/>
  <c r="N268" i="18" s="1"/>
  <c r="N269" i="18" a="1"/>
  <c r="N269" i="18" s="1"/>
  <c r="N270" i="18" a="1"/>
  <c r="N270" i="18" s="1"/>
  <c r="N271" i="18" a="1"/>
  <c r="N271" i="18" s="1"/>
  <c r="N272" i="18" a="1"/>
  <c r="N272" i="18" s="1"/>
  <c r="N273" i="18" a="1"/>
  <c r="N273" i="18" s="1"/>
  <c r="N274" i="18" a="1"/>
  <c r="N274" i="18" s="1"/>
  <c r="N275" i="18" a="1"/>
  <c r="N275" i="18" s="1"/>
  <c r="N276" i="18" a="1"/>
  <c r="N276" i="18" s="1"/>
  <c r="N277" i="18" a="1"/>
  <c r="N277" i="18" s="1"/>
  <c r="N278" i="18" a="1"/>
  <c r="N278" i="18" s="1"/>
  <c r="N279" i="18" a="1"/>
  <c r="N279" i="18" s="1"/>
  <c r="N280" i="18" a="1"/>
  <c r="N280" i="18" s="1"/>
  <c r="N281" i="18" a="1"/>
  <c r="N281" i="18" s="1"/>
  <c r="N282" i="18" a="1"/>
  <c r="N282" i="18" s="1"/>
  <c r="N283" i="18" a="1"/>
  <c r="N283" i="18" s="1"/>
  <c r="N284" i="18" a="1"/>
  <c r="N284" i="18" s="1"/>
  <c r="N285" i="18" a="1"/>
  <c r="N285" i="18"/>
  <c r="N286" i="18" a="1"/>
  <c r="N286" i="18" s="1"/>
  <c r="N287" i="18" a="1"/>
  <c r="N287" i="18" s="1"/>
  <c r="N288" i="18" a="1"/>
  <c r="N288" i="18" s="1"/>
  <c r="N289" i="18" a="1"/>
  <c r="N289" i="18" s="1"/>
  <c r="N290" i="18" a="1"/>
  <c r="N290" i="18"/>
  <c r="N291" i="18" a="1"/>
  <c r="N291" i="18" s="1"/>
  <c r="N292" i="18" a="1"/>
  <c r="N292" i="18" s="1"/>
  <c r="N293" i="18" a="1"/>
  <c r="N293" i="18" s="1"/>
  <c r="N294" i="18" a="1"/>
  <c r="N294" i="18" s="1"/>
  <c r="N295" i="18" a="1"/>
  <c r="N295" i="18" s="1"/>
  <c r="N296" i="18" a="1"/>
  <c r="N296" i="18" s="1"/>
  <c r="N297" i="18" a="1"/>
  <c r="N297" i="18" s="1"/>
  <c r="N298" i="18" a="1"/>
  <c r="N298" i="18" s="1"/>
  <c r="N299" i="18" a="1"/>
  <c r="N299" i="18" s="1"/>
  <c r="N300" i="18" a="1"/>
  <c r="N300" i="18" s="1"/>
  <c r="N301" i="18" a="1"/>
  <c r="N301" i="18" s="1"/>
  <c r="N302" i="18" a="1"/>
  <c r="N302" i="18" s="1"/>
  <c r="N303" i="18" a="1"/>
  <c r="N303" i="18" s="1"/>
  <c r="N304" i="18" a="1"/>
  <c r="N304" i="18" s="1"/>
  <c r="N305" i="18" a="1"/>
  <c r="N305" i="18" s="1"/>
  <c r="N306" i="18" a="1"/>
  <c r="N306" i="18" s="1"/>
  <c r="N307" i="18" a="1"/>
  <c r="N307" i="18" s="1"/>
  <c r="N308" i="18" a="1"/>
  <c r="N308" i="18" s="1"/>
  <c r="N309" i="18" a="1"/>
  <c r="N309" i="18" s="1"/>
  <c r="N310" i="18" a="1"/>
  <c r="N310" i="18" s="1"/>
  <c r="N311" i="18" a="1"/>
  <c r="N311" i="18" s="1"/>
  <c r="N312" i="18" a="1"/>
  <c r="N312" i="18" s="1"/>
  <c r="N313" i="18" a="1"/>
  <c r="N313" i="18" s="1"/>
  <c r="N314" i="18" a="1"/>
  <c r="N314" i="18" s="1"/>
  <c r="N315" i="18" a="1"/>
  <c r="N315" i="18" s="1"/>
  <c r="N316" i="18" a="1"/>
  <c r="N316" i="18" s="1"/>
  <c r="N317" i="18" a="1"/>
  <c r="N317" i="18"/>
  <c r="N318" i="18" a="1"/>
  <c r="N318" i="18" s="1"/>
  <c r="N319" i="18" a="1"/>
  <c r="N319" i="18" s="1"/>
  <c r="N320" i="18" a="1"/>
  <c r="N320" i="18" s="1"/>
  <c r="N321" i="18" a="1"/>
  <c r="N321" i="18" s="1"/>
  <c r="N322" i="18" a="1"/>
  <c r="N322" i="18"/>
  <c r="N323" i="18" a="1"/>
  <c r="N323" i="18" s="1"/>
  <c r="N324" i="18" a="1"/>
  <c r="N324" i="18" s="1"/>
  <c r="N325" i="18" a="1"/>
  <c r="N325" i="18" s="1"/>
  <c r="N326" i="18" a="1"/>
  <c r="N326" i="18" s="1"/>
  <c r="N327" i="18" a="1"/>
  <c r="N327" i="18" s="1"/>
  <c r="N328" i="18" a="1"/>
  <c r="N328" i="18" s="1"/>
  <c r="N329" i="18" a="1"/>
  <c r="N329" i="18" s="1"/>
  <c r="N330" i="18" a="1"/>
  <c r="N330" i="18" s="1"/>
  <c r="N331" i="18" a="1"/>
  <c r="N331" i="18" s="1"/>
  <c r="N332" i="18" a="1"/>
  <c r="N332" i="18" s="1"/>
  <c r="N333" i="18" a="1"/>
  <c r="N333" i="18" s="1"/>
  <c r="N334" i="18" a="1"/>
  <c r="N334" i="18" s="1"/>
  <c r="N335" i="18" a="1"/>
  <c r="N335" i="18" s="1"/>
  <c r="N336" i="18" a="1"/>
  <c r="N336" i="18" s="1"/>
  <c r="N337" i="18" a="1"/>
  <c r="N337" i="18" s="1"/>
  <c r="N338" i="18" a="1"/>
  <c r="N338" i="18" s="1"/>
  <c r="N339" i="18" a="1"/>
  <c r="N339" i="18" s="1"/>
  <c r="N340" i="18" a="1"/>
  <c r="N340" i="18" s="1"/>
  <c r="N341" i="18" a="1"/>
  <c r="N341" i="18" s="1"/>
  <c r="N342" i="18" a="1"/>
  <c r="N342" i="18" s="1"/>
  <c r="N343" i="18" a="1"/>
  <c r="N343" i="18" s="1"/>
  <c r="N344" i="18" a="1"/>
  <c r="N344" i="18"/>
  <c r="N345" i="18" a="1"/>
  <c r="N345" i="18" s="1"/>
  <c r="N346" i="18" a="1"/>
  <c r="N346" i="18" s="1"/>
  <c r="N347" i="18" a="1"/>
  <c r="N347" i="18"/>
  <c r="N348" i="18" a="1"/>
  <c r="N348" i="18" s="1"/>
  <c r="N349" i="18" a="1"/>
  <c r="N349" i="18" s="1"/>
  <c r="N350" i="18" a="1"/>
  <c r="N350" i="18" s="1"/>
  <c r="N351" i="18" a="1"/>
  <c r="N351" i="18" s="1"/>
  <c r="N352" i="18" a="1"/>
  <c r="N352" i="18" s="1"/>
  <c r="N353" i="18" a="1"/>
  <c r="N353" i="18" s="1"/>
  <c r="N354" i="18" a="1"/>
  <c r="N354" i="18" s="1"/>
  <c r="N355" i="18" a="1"/>
  <c r="N355" i="18" s="1"/>
  <c r="N356" i="18" a="1"/>
  <c r="N356" i="18"/>
  <c r="N357" i="18" a="1"/>
  <c r="N357" i="18" s="1"/>
  <c r="N358" i="18" a="1"/>
  <c r="N358" i="18" s="1"/>
  <c r="N359" i="18" a="1"/>
  <c r="N359" i="18" s="1"/>
  <c r="N360" i="18" a="1"/>
  <c r="N360" i="18"/>
  <c r="N361" i="18" a="1"/>
  <c r="N361" i="18" s="1"/>
  <c r="N362" i="18" a="1"/>
  <c r="N362" i="18" s="1"/>
  <c r="N363" i="18" a="1"/>
  <c r="N363" i="18"/>
  <c r="N364" i="18" a="1"/>
  <c r="N364" i="18" s="1"/>
  <c r="N365" i="18" a="1"/>
  <c r="N365" i="18" s="1"/>
  <c r="N366" i="18" a="1"/>
  <c r="N366" i="18" s="1"/>
  <c r="N367" i="18" a="1"/>
  <c r="N367" i="18" s="1"/>
  <c r="N368" i="18" a="1"/>
  <c r="N368" i="18" s="1"/>
  <c r="N369" i="18" a="1"/>
  <c r="N369" i="18" s="1"/>
  <c r="N370" i="18" a="1"/>
  <c r="N370" i="18" s="1"/>
  <c r="N371" i="18" a="1"/>
  <c r="N371" i="18" s="1"/>
  <c r="N372" i="18" a="1"/>
  <c r="N372" i="18"/>
  <c r="N373" i="18" a="1"/>
  <c r="N373" i="18" s="1"/>
  <c r="N374" i="18" a="1"/>
  <c r="N374" i="18" s="1"/>
  <c r="N375" i="18" a="1"/>
  <c r="N375" i="18" s="1"/>
  <c r="N376" i="18" a="1"/>
  <c r="N376" i="18"/>
  <c r="N377" i="18" a="1"/>
  <c r="N377" i="18" s="1"/>
  <c r="N378" i="18" a="1"/>
  <c r="N378" i="18" s="1"/>
  <c r="N379" i="18" a="1"/>
  <c r="N379" i="18"/>
  <c r="N380" i="18" a="1"/>
  <c r="N380" i="18" s="1"/>
  <c r="N381" i="18" a="1"/>
  <c r="N381" i="18" s="1"/>
  <c r="N382" i="18" a="1"/>
  <c r="N382" i="18" s="1"/>
  <c r="N383" i="18" a="1"/>
  <c r="N383" i="18" s="1"/>
  <c r="N384" i="18" a="1"/>
  <c r="N384" i="18" s="1"/>
  <c r="N385" i="18" a="1"/>
  <c r="N385" i="18" s="1"/>
  <c r="N386" i="18" a="1"/>
  <c r="N386" i="18" s="1"/>
  <c r="N387" i="18" a="1"/>
  <c r="N387" i="18" s="1"/>
  <c r="N388" i="18" a="1"/>
  <c r="N388" i="18"/>
  <c r="N389" i="18" a="1"/>
  <c r="N389" i="18" s="1"/>
  <c r="N390" i="18" a="1"/>
  <c r="N390" i="18" s="1"/>
  <c r="N391" i="18" a="1"/>
  <c r="N391" i="18" s="1"/>
  <c r="N392" i="18" a="1"/>
  <c r="N392" i="18"/>
  <c r="N393" i="18" a="1"/>
  <c r="N393" i="18" s="1"/>
  <c r="N394" i="18" a="1"/>
  <c r="N394" i="18" s="1"/>
  <c r="N395" i="18" a="1"/>
  <c r="N395" i="18"/>
  <c r="N396" i="18" a="1"/>
  <c r="N396" i="18" s="1"/>
  <c r="N397" i="18" a="1"/>
  <c r="N397" i="18" s="1"/>
  <c r="N398" i="18" a="1"/>
  <c r="N398" i="18" s="1"/>
  <c r="N399" i="18" a="1"/>
  <c r="N399" i="18" s="1"/>
  <c r="N400" i="18" a="1"/>
  <c r="N400" i="18" s="1"/>
  <c r="N401" i="18" a="1"/>
  <c r="N401" i="18" s="1"/>
  <c r="N402" i="18" a="1"/>
  <c r="N402" i="18" s="1"/>
  <c r="N403" i="18" a="1"/>
  <c r="N403" i="18" s="1"/>
  <c r="N404" i="18" a="1"/>
  <c r="N404" i="18"/>
  <c r="N405" i="18" a="1"/>
  <c r="N405" i="18" s="1"/>
  <c r="N406" i="18" a="1"/>
  <c r="N406" i="18" s="1"/>
  <c r="N407" i="18" a="1"/>
  <c r="N407" i="18" s="1"/>
  <c r="N408" i="18" a="1"/>
  <c r="N408" i="18"/>
  <c r="N409" i="18" a="1"/>
  <c r="N409" i="18" s="1"/>
  <c r="N410" i="18" a="1"/>
  <c r="N410" i="18" s="1"/>
  <c r="N411" i="18" a="1"/>
  <c r="N411" i="18"/>
  <c r="N412" i="18" a="1"/>
  <c r="N412" i="18" s="1"/>
  <c r="N413" i="18" a="1"/>
  <c r="N413" i="18" s="1"/>
  <c r="N414" i="18" a="1"/>
  <c r="N414" i="18" s="1"/>
  <c r="N415" i="18" a="1"/>
  <c r="N415" i="18" s="1"/>
  <c r="N416" i="18" a="1"/>
  <c r="N416" i="18" s="1"/>
  <c r="N417" i="18" a="1"/>
  <c r="N417" i="18" s="1"/>
  <c r="N418" i="18" a="1"/>
  <c r="N418" i="18" s="1"/>
  <c r="N419" i="18" a="1"/>
  <c r="N419" i="18" s="1"/>
  <c r="N420" i="18" a="1"/>
  <c r="N420" i="18"/>
  <c r="N421" i="18" a="1"/>
  <c r="N421" i="18" s="1"/>
  <c r="N422" i="18" a="1"/>
  <c r="N422" i="18" s="1"/>
  <c r="N423" i="18" a="1"/>
  <c r="N423" i="18" s="1"/>
  <c r="N424" i="18" a="1"/>
  <c r="N424" i="18"/>
  <c r="N425" i="18" a="1"/>
  <c r="N425" i="18" s="1"/>
  <c r="N426" i="18" a="1"/>
  <c r="N426" i="18" s="1"/>
  <c r="N427" i="18" a="1"/>
  <c r="N427" i="18"/>
  <c r="N428" i="18" a="1"/>
  <c r="N428" i="18" s="1"/>
  <c r="N429" i="18" a="1"/>
  <c r="N429" i="18" s="1"/>
  <c r="N430" i="18" a="1"/>
  <c r="N430" i="18" s="1"/>
  <c r="N431" i="18" a="1"/>
  <c r="N431" i="18" s="1"/>
  <c r="N432" i="18" a="1"/>
  <c r="N432" i="18" s="1"/>
  <c r="N433" i="18" a="1"/>
  <c r="N433" i="18" s="1"/>
  <c r="N434" i="18" a="1"/>
  <c r="N434" i="18" s="1"/>
  <c r="N435" i="18" a="1"/>
  <c r="N435" i="18" s="1"/>
  <c r="N436" i="18" a="1"/>
  <c r="N436" i="18"/>
  <c r="N437" i="18" a="1"/>
  <c r="N437" i="18" s="1"/>
  <c r="N438" i="18" a="1"/>
  <c r="N438" i="18" s="1"/>
  <c r="N439" i="18" a="1"/>
  <c r="N439" i="18" s="1"/>
  <c r="N440" i="18" a="1"/>
  <c r="N440" i="18"/>
  <c r="N441" i="18" a="1"/>
  <c r="N441" i="18" s="1"/>
  <c r="N442" i="18" a="1"/>
  <c r="N442" i="18" s="1"/>
  <c r="N443" i="18" a="1"/>
  <c r="N443" i="18"/>
  <c r="N444" i="18" a="1"/>
  <c r="N444" i="18" s="1"/>
  <c r="N445" i="18" a="1"/>
  <c r="N445" i="18" s="1"/>
  <c r="N446" i="18" a="1"/>
  <c r="N446" i="18" s="1"/>
  <c r="N447" i="18" a="1"/>
  <c r="N447" i="18" s="1"/>
  <c r="N448" i="18" a="1"/>
  <c r="N448" i="18" s="1"/>
  <c r="N449" i="18" a="1"/>
  <c r="N449" i="18" s="1"/>
  <c r="N450" i="18" a="1"/>
  <c r="N450" i="18" s="1"/>
  <c r="N451" i="18" a="1"/>
  <c r="N451" i="18" s="1"/>
  <c r="N452" i="18" a="1"/>
  <c r="N452" i="18"/>
  <c r="N453" i="18" a="1"/>
  <c r="N453" i="18" s="1"/>
  <c r="N454" i="18" a="1"/>
  <c r="N454" i="18" s="1"/>
  <c r="N455" i="18" a="1"/>
  <c r="N455" i="18" s="1"/>
  <c r="N456" i="18" a="1"/>
  <c r="N456" i="18"/>
  <c r="N457" i="18" a="1"/>
  <c r="N457" i="18" s="1"/>
  <c r="N458" i="18" a="1"/>
  <c r="N458" i="18" s="1"/>
  <c r="N459" i="18" a="1"/>
  <c r="N459" i="18"/>
  <c r="N460" i="18" a="1"/>
  <c r="N460" i="18" s="1"/>
  <c r="N461" i="18" a="1"/>
  <c r="N461" i="18" s="1"/>
  <c r="N462" i="18" a="1"/>
  <c r="N462" i="18" s="1"/>
  <c r="N463" i="18" a="1"/>
  <c r="N463" i="18" s="1"/>
  <c r="N464" i="18" a="1"/>
  <c r="N464" i="18" s="1"/>
  <c r="N465" i="18" a="1"/>
  <c r="N465" i="18" s="1"/>
  <c r="N466" i="18" a="1"/>
  <c r="N466" i="18" s="1"/>
  <c r="N467" i="18" a="1"/>
  <c r="N467" i="18" s="1"/>
  <c r="N468" i="18" a="1"/>
  <c r="N468" i="18"/>
  <c r="N469" i="18" a="1"/>
  <c r="N469" i="18" s="1"/>
  <c r="N470" i="18" a="1"/>
  <c r="N470" i="18" s="1"/>
  <c r="N471" i="18" a="1"/>
  <c r="N471" i="18" s="1"/>
  <c r="N472" i="18" a="1"/>
  <c r="N472" i="18"/>
  <c r="N473" i="18" a="1"/>
  <c r="N473" i="18" s="1"/>
  <c r="N474" i="18" a="1"/>
  <c r="N474" i="18" s="1"/>
  <c r="N475" i="18" a="1"/>
  <c r="N475" i="18"/>
  <c r="N476" i="18" a="1"/>
  <c r="N476" i="18" s="1"/>
  <c r="N477" i="18" a="1"/>
  <c r="N477" i="18" s="1"/>
  <c r="N478" i="18" a="1"/>
  <c r="N478" i="18" s="1"/>
  <c r="N479" i="18" a="1"/>
  <c r="N479" i="18" s="1"/>
  <c r="N480" i="18" a="1"/>
  <c r="N480" i="18" s="1"/>
  <c r="N481" i="18" a="1"/>
  <c r="N481" i="18" s="1"/>
  <c r="N482" i="18" a="1"/>
  <c r="N482" i="18" s="1"/>
  <c r="N483" i="18" a="1"/>
  <c r="N483" i="18" s="1"/>
  <c r="N484" i="18" a="1"/>
  <c r="N484" i="18"/>
  <c r="N485" i="18" a="1"/>
  <c r="N485" i="18" s="1"/>
  <c r="N486" i="18" a="1"/>
  <c r="N486" i="18" s="1"/>
  <c r="N487" i="18" a="1"/>
  <c r="N487" i="18" s="1"/>
  <c r="N488" i="18" a="1"/>
  <c r="N488" i="18"/>
  <c r="N489" i="18" a="1"/>
  <c r="N489" i="18" s="1"/>
  <c r="N490" i="18" a="1"/>
  <c r="N490" i="18" s="1"/>
  <c r="N491" i="18" a="1"/>
  <c r="N491" i="18"/>
  <c r="N492" i="18" a="1"/>
  <c r="N492" i="18" s="1"/>
  <c r="N493" i="18" a="1"/>
  <c r="N493" i="18" s="1"/>
  <c r="N494" i="18" a="1"/>
  <c r="N494" i="18" s="1"/>
  <c r="N495" i="18" a="1"/>
  <c r="N495" i="18" s="1"/>
  <c r="N496" i="18" a="1"/>
  <c r="N496" i="18" s="1"/>
  <c r="N497" i="18" a="1"/>
  <c r="N497" i="18" s="1"/>
  <c r="N498" i="18" a="1"/>
  <c r="N498" i="18" s="1"/>
  <c r="N499" i="18" a="1"/>
  <c r="N499" i="18" s="1"/>
  <c r="N500" i="18" a="1"/>
  <c r="N500" i="18"/>
  <c r="N501" i="18" a="1"/>
  <c r="N501" i="18" s="1"/>
  <c r="N502" i="18" a="1"/>
  <c r="N502" i="18" s="1"/>
  <c r="N503" i="18" a="1"/>
  <c r="N503" i="18" s="1"/>
  <c r="N504" i="18" a="1"/>
  <c r="N504" i="18"/>
  <c r="N505" i="18" a="1"/>
  <c r="N505" i="18" s="1"/>
  <c r="N506" i="18" a="1"/>
  <c r="N506" i="18" s="1"/>
  <c r="N507" i="18" a="1"/>
  <c r="N507" i="18"/>
  <c r="N508" i="18" a="1"/>
  <c r="N508" i="18" s="1"/>
  <c r="N509" i="18" a="1"/>
  <c r="N509" i="18" s="1"/>
  <c r="N510" i="18" a="1"/>
  <c r="N510" i="18" s="1"/>
  <c r="N511" i="18" a="1"/>
  <c r="N511" i="18" s="1"/>
  <c r="N512" i="18" a="1"/>
  <c r="N512" i="18" s="1"/>
  <c r="N513" i="18" a="1"/>
  <c r="N513" i="18" s="1"/>
  <c r="N514" i="18" a="1"/>
  <c r="N514" i="18" s="1"/>
  <c r="N515" i="18" a="1"/>
  <c r="N515" i="18" s="1"/>
  <c r="N516" i="18" a="1"/>
  <c r="N516" i="18"/>
  <c r="N517" i="18" a="1"/>
  <c r="N517" i="18" s="1"/>
  <c r="N518" i="18" a="1"/>
  <c r="N518" i="18" s="1"/>
  <c r="N519" i="18" a="1"/>
  <c r="N519" i="18" s="1"/>
  <c r="N520" i="18" a="1"/>
  <c r="N520" i="18"/>
  <c r="N521" i="18" a="1"/>
  <c r="N521" i="18" s="1"/>
  <c r="N522" i="18" a="1"/>
  <c r="N522" i="18" s="1"/>
  <c r="N523" i="18" a="1"/>
  <c r="N523" i="18"/>
  <c r="N524" i="18" a="1"/>
  <c r="N524" i="18" s="1"/>
  <c r="N525" i="18" a="1"/>
  <c r="N525" i="18" s="1"/>
  <c r="N526" i="18" a="1"/>
  <c r="N526" i="18" s="1"/>
  <c r="N527" i="18" a="1"/>
  <c r="N527" i="18" s="1"/>
  <c r="N528" i="18" a="1"/>
  <c r="N528" i="18" s="1"/>
  <c r="N529" i="18" a="1"/>
  <c r="N529" i="18" s="1"/>
  <c r="N530" i="18" a="1"/>
  <c r="N530" i="18" s="1"/>
  <c r="N531" i="18" a="1"/>
  <c r="N531" i="18" s="1"/>
  <c r="N532" i="18" a="1"/>
  <c r="N532" i="18"/>
  <c r="N533" i="18" a="1"/>
  <c r="N533" i="18" s="1"/>
  <c r="N534" i="18" a="1"/>
  <c r="N534" i="18" s="1"/>
  <c r="N535" i="18" a="1"/>
  <c r="N535" i="18" s="1"/>
  <c r="N536" i="18" a="1"/>
  <c r="N536" i="18"/>
  <c r="N537" i="18" a="1"/>
  <c r="N537" i="18" s="1"/>
  <c r="N538" i="18" a="1"/>
  <c r="N538" i="18" s="1"/>
  <c r="N539" i="18" a="1"/>
  <c r="N539" i="18"/>
  <c r="N540" i="18" a="1"/>
  <c r="N540" i="18" s="1"/>
  <c r="N541" i="18" a="1"/>
  <c r="N541" i="18" s="1"/>
  <c r="N542" i="18" a="1"/>
  <c r="N542" i="18" s="1"/>
  <c r="N543" i="18" a="1"/>
  <c r="N543" i="18" s="1"/>
  <c r="N544" i="18" a="1"/>
  <c r="N544" i="18" s="1"/>
  <c r="N545" i="18" a="1"/>
  <c r="N545" i="18" s="1"/>
  <c r="N546" i="18" a="1"/>
  <c r="N546" i="18" s="1"/>
  <c r="N547" i="18" a="1"/>
  <c r="N547" i="18" s="1"/>
  <c r="N548" i="18" a="1"/>
  <c r="N548" i="18"/>
  <c r="N549" i="18" a="1"/>
  <c r="N549" i="18" s="1"/>
  <c r="N550" i="18" a="1"/>
  <c r="N550" i="18" s="1"/>
  <c r="N551" i="18" a="1"/>
  <c r="N551" i="18" s="1"/>
  <c r="N552" i="18" a="1"/>
  <c r="N552" i="18"/>
  <c r="N553" i="18" a="1"/>
  <c r="N553" i="18" s="1"/>
  <c r="N554" i="18" a="1"/>
  <c r="N554" i="18" s="1"/>
  <c r="N555" i="18" a="1"/>
  <c r="N555" i="18"/>
  <c r="N556" i="18" a="1"/>
  <c r="N556" i="18" s="1"/>
  <c r="N557" i="18" a="1"/>
  <c r="N557" i="18" s="1"/>
  <c r="N558" i="18" a="1"/>
  <c r="N558" i="18" s="1"/>
  <c r="N559" i="18" a="1"/>
  <c r="N559" i="18" s="1"/>
  <c r="N560" i="18" a="1"/>
  <c r="N560" i="18" s="1"/>
  <c r="N561" i="18" a="1"/>
  <c r="N561" i="18" s="1"/>
  <c r="N562" i="18" a="1"/>
  <c r="N562" i="18" s="1"/>
  <c r="N563" i="18" a="1"/>
  <c r="N563" i="18" s="1"/>
  <c r="N564" i="18" a="1"/>
  <c r="N564" i="18"/>
  <c r="N565" i="18" a="1"/>
  <c r="N565" i="18" s="1"/>
  <c r="N566" i="18" a="1"/>
  <c r="N566" i="18" s="1"/>
  <c r="N567" i="18" a="1"/>
  <c r="N567" i="18" s="1"/>
  <c r="N568" i="18" a="1"/>
  <c r="N568" i="18"/>
  <c r="N569" i="18" a="1"/>
  <c r="N569" i="18" s="1"/>
  <c r="N570" i="18" a="1"/>
  <c r="N570" i="18" s="1"/>
  <c r="N571" i="18" a="1"/>
  <c r="N571" i="18"/>
  <c r="N572" i="18" a="1"/>
  <c r="N572" i="18" s="1"/>
  <c r="N573" i="18" a="1"/>
  <c r="N573" i="18" s="1"/>
  <c r="N574" i="18" a="1"/>
  <c r="N574" i="18" s="1"/>
  <c r="N575" i="18" a="1"/>
  <c r="N575" i="18" s="1"/>
  <c r="N576" i="18" a="1"/>
  <c r="N576" i="18" s="1"/>
  <c r="N577" i="18" a="1"/>
  <c r="N577" i="18" s="1"/>
  <c r="N578" i="18" a="1"/>
  <c r="N578" i="18" s="1"/>
  <c r="N579" i="18" a="1"/>
  <c r="N579" i="18" s="1"/>
  <c r="N580" i="18" a="1"/>
  <c r="N580" i="18"/>
  <c r="N581" i="18" a="1"/>
  <c r="N581" i="18" s="1"/>
  <c r="N582" i="18" a="1"/>
  <c r="N582" i="18" s="1"/>
  <c r="N583" i="18" a="1"/>
  <c r="N583" i="18" s="1"/>
  <c r="N584" i="18" a="1"/>
  <c r="N584" i="18"/>
  <c r="N585" i="18" a="1"/>
  <c r="N585" i="18" s="1"/>
  <c r="N586" i="18" a="1"/>
  <c r="N586" i="18" s="1"/>
  <c r="N587" i="18" a="1"/>
  <c r="N587" i="18"/>
  <c r="N588" i="18" a="1"/>
  <c r="N588" i="18" s="1"/>
  <c r="N589" i="18" a="1"/>
  <c r="N589" i="18" s="1"/>
  <c r="N590" i="18" a="1"/>
  <c r="N590" i="18" s="1"/>
  <c r="N591" i="18" a="1"/>
  <c r="N591" i="18" s="1"/>
  <c r="N592" i="18" a="1"/>
  <c r="N592" i="18" s="1"/>
  <c r="N593" i="18" a="1"/>
  <c r="N593" i="18" s="1"/>
  <c r="N594" i="18" a="1"/>
  <c r="N594" i="18" s="1"/>
  <c r="N595" i="18" a="1"/>
  <c r="N595" i="18" s="1"/>
  <c r="N596" i="18" a="1"/>
  <c r="N596" i="18"/>
  <c r="N597" i="18" a="1"/>
  <c r="N597" i="18" s="1"/>
  <c r="N598" i="18" a="1"/>
  <c r="N598" i="18" s="1"/>
  <c r="N599" i="18" a="1"/>
  <c r="N599" i="18" s="1"/>
  <c r="N600" i="18" a="1"/>
  <c r="N600" i="18"/>
  <c r="N601" i="18" a="1"/>
  <c r="N601" i="18" s="1"/>
  <c r="N602" i="18" a="1"/>
  <c r="N602" i="18" s="1"/>
  <c r="N603" i="18" a="1"/>
  <c r="N603" i="18"/>
  <c r="N604" i="18" a="1"/>
  <c r="N604" i="18" s="1"/>
  <c r="N605" i="18" a="1"/>
  <c r="N605" i="18" s="1"/>
  <c r="N606" i="18" a="1"/>
  <c r="N606" i="18" s="1"/>
  <c r="N607" i="18" a="1"/>
  <c r="N607" i="18" s="1"/>
  <c r="N608" i="18" a="1"/>
  <c r="N608" i="18" s="1"/>
  <c r="N609" i="18" a="1"/>
  <c r="N609" i="18" s="1"/>
  <c r="N610" i="18" a="1"/>
  <c r="N610" i="18" s="1"/>
  <c r="N611" i="18" a="1"/>
  <c r="N611" i="18" s="1"/>
  <c r="N612" i="18" a="1"/>
  <c r="N612" i="18"/>
  <c r="N613" i="18" a="1"/>
  <c r="N613" i="18" s="1"/>
  <c r="N614" i="18" a="1"/>
  <c r="N614" i="18" s="1"/>
  <c r="N615" i="18" a="1"/>
  <c r="N615" i="18" s="1"/>
  <c r="N616" i="18" a="1"/>
  <c r="N616" i="18"/>
  <c r="N617" i="18" a="1"/>
  <c r="N617" i="18" s="1"/>
  <c r="N618" i="18" a="1"/>
  <c r="N618" i="18" s="1"/>
  <c r="N619" i="18" a="1"/>
  <c r="N619" i="18"/>
  <c r="N620" i="18" a="1"/>
  <c r="N620" i="18" s="1"/>
  <c r="N621" i="18" a="1"/>
  <c r="N621" i="18" s="1"/>
  <c r="N622" i="18" a="1"/>
  <c r="N622" i="18" s="1"/>
  <c r="N623" i="18" a="1"/>
  <c r="N623" i="18" s="1"/>
  <c r="N624" i="18" a="1"/>
  <c r="N624" i="18" s="1"/>
  <c r="N625" i="18" a="1"/>
  <c r="N625" i="18" s="1"/>
  <c r="N626" i="18" a="1"/>
  <c r="N626" i="18" s="1"/>
  <c r="N627" i="18" a="1"/>
  <c r="N627" i="18" s="1"/>
  <c r="N628" i="18" a="1"/>
  <c r="N628" i="18"/>
  <c r="N629" i="18" a="1"/>
  <c r="N629" i="18" s="1"/>
  <c r="N630" i="18" a="1"/>
  <c r="N630" i="18" s="1"/>
  <c r="N631" i="18" a="1"/>
  <c r="N631" i="18" s="1"/>
  <c r="N632" i="18" a="1"/>
  <c r="N632" i="18"/>
  <c r="N633" i="18" a="1"/>
  <c r="N633" i="18" s="1"/>
  <c r="N634" i="18" a="1"/>
  <c r="N634" i="18" s="1"/>
  <c r="N635" i="18" a="1"/>
  <c r="N635" i="18"/>
  <c r="N636" i="18" a="1"/>
  <c r="N636" i="18" s="1"/>
  <c r="N637" i="18" a="1"/>
  <c r="N637" i="18" s="1"/>
  <c r="N638" i="18" a="1"/>
  <c r="N638" i="18" s="1"/>
  <c r="N639" i="18" a="1"/>
  <c r="N639" i="18" s="1"/>
  <c r="N640" i="18" a="1"/>
  <c r="N640" i="18" s="1"/>
  <c r="N641" i="18" a="1"/>
  <c r="N641" i="18" s="1"/>
  <c r="N642" i="18" a="1"/>
  <c r="N642" i="18" s="1"/>
  <c r="N643" i="18" a="1"/>
  <c r="N643" i="18" s="1"/>
  <c r="N644" i="18" a="1"/>
  <c r="N644" i="18"/>
  <c r="N645" i="18" a="1"/>
  <c r="N645" i="18" s="1"/>
  <c r="N646" i="18" a="1"/>
  <c r="N646" i="18" s="1"/>
  <c r="N647" i="18" a="1"/>
  <c r="N647" i="18" s="1"/>
  <c r="N648" i="18" a="1"/>
  <c r="N648" i="18"/>
  <c r="N649" i="18" a="1"/>
  <c r="N649" i="18" s="1"/>
  <c r="N650" i="18" a="1"/>
  <c r="N650" i="18" s="1"/>
  <c r="N651" i="18" a="1"/>
  <c r="N651" i="18"/>
  <c r="N652" i="18" a="1"/>
  <c r="N652" i="18" s="1"/>
  <c r="N653" i="18" a="1"/>
  <c r="N653" i="18" s="1"/>
  <c r="N654" i="18" a="1"/>
  <c r="N654" i="18" s="1"/>
  <c r="N655" i="18" a="1"/>
  <c r="N655" i="18" s="1"/>
  <c r="N656" i="18" a="1"/>
  <c r="N656" i="18" s="1"/>
  <c r="N657" i="18" a="1"/>
  <c r="N657" i="18" s="1"/>
  <c r="N658" i="18" a="1"/>
  <c r="N658" i="18" s="1"/>
  <c r="N659" i="18" a="1"/>
  <c r="N659" i="18" s="1"/>
  <c r="N660" i="18" a="1"/>
  <c r="N660" i="18"/>
  <c r="N661" i="18" a="1"/>
  <c r="N661" i="18" s="1"/>
  <c r="N662" i="18" a="1"/>
  <c r="N662" i="18" s="1"/>
  <c r="N663" i="18" a="1"/>
  <c r="N663" i="18" s="1"/>
  <c r="N664" i="18" a="1"/>
  <c r="N664" i="18"/>
  <c r="N665" i="18" a="1"/>
  <c r="N665" i="18" s="1"/>
  <c r="N666" i="18" a="1"/>
  <c r="N666" i="18" s="1"/>
  <c r="N667" i="18" a="1"/>
  <c r="N667" i="18"/>
  <c r="N668" i="18" a="1"/>
  <c r="N668" i="18" s="1"/>
  <c r="N669" i="18" a="1"/>
  <c r="N669" i="18" s="1"/>
  <c r="N670" i="18" a="1"/>
  <c r="N670" i="18" s="1"/>
  <c r="N671" i="18" a="1"/>
  <c r="N671" i="18" s="1"/>
  <c r="N672" i="18" a="1"/>
  <c r="N672" i="18" s="1"/>
  <c r="N673" i="18" a="1"/>
  <c r="N673" i="18" s="1"/>
  <c r="N674" i="18" a="1"/>
  <c r="N674" i="18" s="1"/>
  <c r="N675" i="18" a="1"/>
  <c r="N675" i="18" s="1"/>
  <c r="N676" i="18" a="1"/>
  <c r="N676" i="18"/>
  <c r="N677" i="18" a="1"/>
  <c r="N677" i="18" s="1"/>
  <c r="N678" i="18" a="1"/>
  <c r="N678" i="18" s="1"/>
  <c r="N679" i="18" a="1"/>
  <c r="N679" i="18" s="1"/>
  <c r="N680" i="18" a="1"/>
  <c r="N680" i="18"/>
  <c r="N681" i="18" a="1"/>
  <c r="N681" i="18" s="1"/>
  <c r="N682" i="18" a="1"/>
  <c r="N682" i="18" s="1"/>
  <c r="N683" i="18" a="1"/>
  <c r="N683" i="18"/>
  <c r="N684" i="18" a="1"/>
  <c r="N684" i="18" s="1"/>
  <c r="N685" i="18" a="1"/>
  <c r="N685" i="18" s="1"/>
  <c r="N686" i="18" a="1"/>
  <c r="N686" i="18" s="1"/>
  <c r="N687" i="18" a="1"/>
  <c r="N687" i="18" s="1"/>
  <c r="N688" i="18" a="1"/>
  <c r="N688" i="18" s="1"/>
  <c r="N689" i="18" a="1"/>
  <c r="N689" i="18" s="1"/>
  <c r="N690" i="18" a="1"/>
  <c r="N690" i="18" s="1"/>
  <c r="N691" i="18" a="1"/>
  <c r="N691" i="18" s="1"/>
  <c r="O2" i="18" a="1"/>
  <c r="O2" i="18" s="1"/>
  <c r="O3" i="18" a="1"/>
  <c r="O3" i="18" s="1"/>
  <c r="O4" i="18" a="1"/>
  <c r="O4" i="18" s="1"/>
  <c r="O5" i="18" a="1"/>
  <c r="O5" i="18" s="1"/>
  <c r="O6" i="18" a="1"/>
  <c r="O6" i="18" s="1"/>
  <c r="O7" i="18" a="1"/>
  <c r="O7" i="18" s="1"/>
  <c r="O8" i="18" a="1"/>
  <c r="O8" i="18" s="1"/>
  <c r="O9" i="18" a="1"/>
  <c r="O9" i="18" s="1"/>
  <c r="O10" i="18" a="1"/>
  <c r="O10" i="18" s="1"/>
  <c r="O11" i="18" a="1"/>
  <c r="O11" i="18" s="1"/>
  <c r="O12" i="18" a="1"/>
  <c r="O12" i="18" s="1"/>
  <c r="O13" i="18" a="1"/>
  <c r="O13" i="18" s="1"/>
  <c r="O14" i="18" a="1"/>
  <c r="O14" i="18" s="1"/>
  <c r="O15" i="18" a="1"/>
  <c r="O15" i="18" s="1"/>
  <c r="O16" i="18" a="1"/>
  <c r="O16" i="18" s="1"/>
  <c r="O17" i="18" a="1"/>
  <c r="O17" i="18" s="1"/>
  <c r="O18" i="18" a="1"/>
  <c r="O18" i="18" s="1"/>
  <c r="O19" i="18" a="1"/>
  <c r="O19" i="18" s="1"/>
  <c r="O20" i="18" a="1"/>
  <c r="O20" i="18"/>
  <c r="O21" i="18" a="1"/>
  <c r="O21" i="18" s="1"/>
  <c r="O22" i="18" a="1"/>
  <c r="O22" i="18" s="1"/>
  <c r="O23" i="18" a="1"/>
  <c r="O23" i="18" s="1"/>
  <c r="O24" i="18" a="1"/>
  <c r="O24" i="18" s="1"/>
  <c r="O25" i="18" a="1"/>
  <c r="O25" i="18" s="1"/>
  <c r="O26" i="18" a="1"/>
  <c r="O26" i="18" s="1"/>
  <c r="O27" i="18" a="1"/>
  <c r="O27" i="18" s="1"/>
  <c r="O28" i="18" a="1"/>
  <c r="O28" i="18" s="1"/>
  <c r="O29" i="18" a="1"/>
  <c r="O29" i="18" s="1"/>
  <c r="O30" i="18" a="1"/>
  <c r="O30" i="18" s="1"/>
  <c r="O31" i="18" a="1"/>
  <c r="O31" i="18" s="1"/>
  <c r="O32" i="18" a="1"/>
  <c r="O32" i="18" s="1"/>
  <c r="O33" i="18" a="1"/>
  <c r="O33" i="18" s="1"/>
  <c r="O34" i="18" a="1"/>
  <c r="O34" i="18" s="1"/>
  <c r="O35" i="18" a="1"/>
  <c r="O35" i="18" s="1"/>
  <c r="O36" i="18" a="1"/>
  <c r="O36" i="18" s="1"/>
  <c r="O37" i="18" a="1"/>
  <c r="O37" i="18" s="1"/>
  <c r="O38" i="18" a="1"/>
  <c r="O38" i="18" s="1"/>
  <c r="O39" i="18" a="1"/>
  <c r="O39" i="18" s="1"/>
  <c r="O40" i="18" a="1"/>
  <c r="O40" i="18" s="1"/>
  <c r="O41" i="18" a="1"/>
  <c r="O41" i="18" s="1"/>
  <c r="O42" i="18" a="1"/>
  <c r="O42" i="18" s="1"/>
  <c r="O43" i="18" a="1"/>
  <c r="O43" i="18" s="1"/>
  <c r="O44" i="18" a="1"/>
  <c r="O44" i="18" s="1"/>
  <c r="O45" i="18" a="1"/>
  <c r="O45" i="18" s="1"/>
  <c r="O46" i="18" a="1"/>
  <c r="O46" i="18" s="1"/>
  <c r="O47" i="18" a="1"/>
  <c r="O47" i="18" s="1"/>
  <c r="O48" i="18" a="1"/>
  <c r="O48" i="18" s="1"/>
  <c r="O49" i="18" a="1"/>
  <c r="O49" i="18" s="1"/>
  <c r="O50" i="18" a="1"/>
  <c r="O50" i="18" s="1"/>
  <c r="O51" i="18" a="1"/>
  <c r="O51" i="18" s="1"/>
  <c r="O52" i="18" a="1"/>
  <c r="O52" i="18"/>
  <c r="O53" i="18" a="1"/>
  <c r="O53" i="18" s="1"/>
  <c r="O54" i="18" a="1"/>
  <c r="O54" i="18" s="1"/>
  <c r="O55" i="18" a="1"/>
  <c r="O55" i="18" s="1"/>
  <c r="O56" i="18" a="1"/>
  <c r="O56" i="18" s="1"/>
  <c r="O57" i="18" a="1"/>
  <c r="O57" i="18" s="1"/>
  <c r="O58" i="18" a="1"/>
  <c r="O58" i="18" s="1"/>
  <c r="O59" i="18" a="1"/>
  <c r="O59" i="18" s="1"/>
  <c r="O60" i="18" a="1"/>
  <c r="O60" i="18" s="1"/>
  <c r="O61" i="18" a="1"/>
  <c r="O61" i="18" s="1"/>
  <c r="O62" i="18" a="1"/>
  <c r="O62" i="18" s="1"/>
  <c r="O63" i="18" a="1"/>
  <c r="O63" i="18" s="1"/>
  <c r="O64" i="18" a="1"/>
  <c r="O64" i="18"/>
  <c r="O65" i="18" a="1"/>
  <c r="O65" i="18" s="1"/>
  <c r="O66" i="18" a="1"/>
  <c r="O66" i="18" s="1"/>
  <c r="O67" i="18" a="1"/>
  <c r="O67" i="18" s="1"/>
  <c r="O68" i="18" a="1"/>
  <c r="O68" i="18" s="1"/>
  <c r="O69" i="18" a="1"/>
  <c r="O69" i="18" s="1"/>
  <c r="O70" i="18" a="1"/>
  <c r="O70" i="18" s="1"/>
  <c r="O71" i="18" a="1"/>
  <c r="O71" i="18" s="1"/>
  <c r="O72" i="18" a="1"/>
  <c r="O72" i="18" s="1"/>
  <c r="O73" i="18" a="1"/>
  <c r="O73" i="18"/>
  <c r="O74" i="18" a="1"/>
  <c r="O74" i="18" s="1"/>
  <c r="O75" i="18" a="1"/>
  <c r="O75" i="18" s="1"/>
  <c r="O76" i="18" a="1"/>
  <c r="O76" i="18" s="1"/>
  <c r="O77" i="18" a="1"/>
  <c r="O77" i="18" s="1"/>
  <c r="O78" i="18" a="1"/>
  <c r="O78" i="18" s="1"/>
  <c r="O79" i="18" a="1"/>
  <c r="O79" i="18" s="1"/>
  <c r="O80" i="18" a="1"/>
  <c r="O80" i="18" s="1"/>
  <c r="O81" i="18" a="1"/>
  <c r="O81" i="18" s="1"/>
  <c r="O82" i="18" a="1"/>
  <c r="O82" i="18" s="1"/>
  <c r="O83" i="18" a="1"/>
  <c r="O83" i="18" s="1"/>
  <c r="O84" i="18" a="1"/>
  <c r="O84" i="18" s="1"/>
  <c r="O85" i="18" a="1"/>
  <c r="O85" i="18" s="1"/>
  <c r="O86" i="18" a="1"/>
  <c r="O86" i="18" s="1"/>
  <c r="O87" i="18" a="1"/>
  <c r="O87" i="18" s="1"/>
  <c r="O88" i="18" a="1"/>
  <c r="O88" i="18" s="1"/>
  <c r="O89" i="18" a="1"/>
  <c r="O89" i="18" s="1"/>
  <c r="O90" i="18" a="1"/>
  <c r="O90" i="18" s="1"/>
  <c r="O91" i="18" a="1"/>
  <c r="O91" i="18" s="1"/>
  <c r="O92" i="18" a="1"/>
  <c r="O92" i="18" s="1"/>
  <c r="O93" i="18" a="1"/>
  <c r="O93" i="18" s="1"/>
  <c r="O94" i="18" a="1"/>
  <c r="O94" i="18" s="1"/>
  <c r="O95" i="18" a="1"/>
  <c r="O95" i="18" s="1"/>
  <c r="O96" i="18" a="1"/>
  <c r="O96" i="18" s="1"/>
  <c r="O97" i="18" a="1"/>
  <c r="O97" i="18" s="1"/>
  <c r="O98" i="18" a="1"/>
  <c r="O98" i="18" s="1"/>
  <c r="O99" i="18" a="1"/>
  <c r="O99" i="18" s="1"/>
  <c r="O100" i="18" a="1"/>
  <c r="O100" i="18" s="1"/>
  <c r="O101" i="18" a="1"/>
  <c r="O101" i="18" s="1"/>
  <c r="O102" i="18" a="1"/>
  <c r="O102" i="18" s="1"/>
  <c r="O103" i="18" a="1"/>
  <c r="O103" i="18" s="1"/>
  <c r="O104" i="18" a="1"/>
  <c r="O104" i="18" s="1"/>
  <c r="O105" i="18" a="1"/>
  <c r="O105" i="18"/>
  <c r="O106" i="18" a="1"/>
  <c r="O106" i="18" s="1"/>
  <c r="O107" i="18" a="1"/>
  <c r="O107" i="18" s="1"/>
  <c r="O108" i="18" a="1"/>
  <c r="O108" i="18" s="1"/>
  <c r="O109" i="18" a="1"/>
  <c r="O109" i="18" s="1"/>
  <c r="O110" i="18" a="1"/>
  <c r="O110" i="18" s="1"/>
  <c r="O111" i="18" a="1"/>
  <c r="O111" i="18" s="1"/>
  <c r="O112" i="18" a="1"/>
  <c r="O112" i="18" s="1"/>
  <c r="O113" i="18" a="1"/>
  <c r="O113" i="18" s="1"/>
  <c r="O114" i="18" a="1"/>
  <c r="O114" i="18"/>
  <c r="O115" i="18" a="1"/>
  <c r="O115" i="18" s="1"/>
  <c r="O116" i="18" a="1"/>
  <c r="O116" i="18" s="1"/>
  <c r="O117" i="18" a="1"/>
  <c r="O117" i="18" s="1"/>
  <c r="O118" i="18" a="1"/>
  <c r="O118" i="18" s="1"/>
  <c r="O119" i="18" a="1"/>
  <c r="O119" i="18" s="1"/>
  <c r="O120" i="18" a="1"/>
  <c r="O120" i="18" s="1"/>
  <c r="O121" i="18" a="1"/>
  <c r="O121" i="18" s="1"/>
  <c r="O122" i="18" a="1"/>
  <c r="O122" i="18" s="1"/>
  <c r="O123" i="18" a="1"/>
  <c r="O123" i="18" s="1"/>
  <c r="O124" i="18" a="1"/>
  <c r="O124" i="18" s="1"/>
  <c r="O125" i="18" a="1"/>
  <c r="O125" i="18" s="1"/>
  <c r="O126" i="18" a="1"/>
  <c r="O126" i="18" s="1"/>
  <c r="O127" i="18" a="1"/>
  <c r="O127" i="18" s="1"/>
  <c r="O128" i="18" a="1"/>
  <c r="O128" i="18"/>
  <c r="O129" i="18" a="1"/>
  <c r="O129" i="18" s="1"/>
  <c r="O130" i="18" a="1"/>
  <c r="O130" i="18" s="1"/>
  <c r="O131" i="18" a="1"/>
  <c r="O131" i="18" s="1"/>
  <c r="O132" i="18" a="1"/>
  <c r="O132" i="18" s="1"/>
  <c r="O133" i="18" a="1"/>
  <c r="O133" i="18" s="1"/>
  <c r="O134" i="18" a="1"/>
  <c r="O134" i="18" s="1"/>
  <c r="O135" i="18" a="1"/>
  <c r="O135" i="18" s="1"/>
  <c r="O136" i="18" a="1"/>
  <c r="O136" i="18" s="1"/>
  <c r="O137" i="18" a="1"/>
  <c r="O137" i="18"/>
  <c r="O138" i="18" a="1"/>
  <c r="O138" i="18"/>
  <c r="O139" i="18" a="1"/>
  <c r="O139" i="18" s="1"/>
  <c r="O140" i="18" a="1"/>
  <c r="O140" i="18" s="1"/>
  <c r="O141" i="18" a="1"/>
  <c r="O141" i="18" s="1"/>
  <c r="O142" i="18" a="1"/>
  <c r="O142" i="18" s="1"/>
  <c r="O143" i="18" a="1"/>
  <c r="O143" i="18" s="1"/>
  <c r="O144" i="18" a="1"/>
  <c r="O144" i="18" s="1"/>
  <c r="O145" i="18" a="1"/>
  <c r="O145" i="18" s="1"/>
  <c r="O146" i="18" a="1"/>
  <c r="O146" i="18" s="1"/>
  <c r="O147" i="18" a="1"/>
  <c r="O147" i="18" s="1"/>
  <c r="O148" i="18" a="1"/>
  <c r="O148" i="18" s="1"/>
  <c r="O149" i="18" a="1"/>
  <c r="O149" i="18" s="1"/>
  <c r="O150" i="18" a="1"/>
  <c r="O150" i="18" s="1"/>
  <c r="O151" i="18" a="1"/>
  <c r="O151" i="18" s="1"/>
  <c r="O152" i="18" a="1"/>
  <c r="O152" i="18" s="1"/>
  <c r="O153" i="18" a="1"/>
  <c r="O153" i="18" s="1"/>
  <c r="O154" i="18" a="1"/>
  <c r="O154" i="18" s="1"/>
  <c r="O155" i="18" a="1"/>
  <c r="O155" i="18" s="1"/>
  <c r="O156" i="18" a="1"/>
  <c r="O156" i="18"/>
  <c r="O157" i="18" a="1"/>
  <c r="O157" i="18" s="1"/>
  <c r="O158" i="18" a="1"/>
  <c r="O158" i="18" s="1"/>
  <c r="O159" i="18" a="1"/>
  <c r="O159" i="18" s="1"/>
  <c r="O160" i="18" a="1"/>
  <c r="O160" i="18"/>
  <c r="O161" i="18" a="1"/>
  <c r="O161" i="18" s="1"/>
  <c r="O162" i="18" a="1"/>
  <c r="O162" i="18" s="1"/>
  <c r="O163" i="18" a="1"/>
  <c r="O163" i="18" s="1"/>
  <c r="O164" i="18" a="1"/>
  <c r="O164" i="18" s="1"/>
  <c r="O165" i="18" a="1"/>
  <c r="O165" i="18"/>
  <c r="O166" i="18" a="1"/>
  <c r="O166" i="18" s="1"/>
  <c r="O167" i="18" a="1"/>
  <c r="O167" i="18" s="1"/>
  <c r="O168" i="18" a="1"/>
  <c r="O168" i="18" s="1"/>
  <c r="O169" i="18" a="1"/>
  <c r="O169" i="18"/>
  <c r="O170" i="18" a="1"/>
  <c r="O170" i="18" s="1"/>
  <c r="O171" i="18" a="1"/>
  <c r="O171" i="18" s="1"/>
  <c r="O172" i="18" a="1"/>
  <c r="O172" i="18" s="1"/>
  <c r="O173" i="18" a="1"/>
  <c r="O173" i="18" s="1"/>
  <c r="O174" i="18" a="1"/>
  <c r="O174" i="18" s="1"/>
  <c r="O175" i="18" a="1"/>
  <c r="O175" i="18" s="1"/>
  <c r="O176" i="18" a="1"/>
  <c r="O176" i="18" s="1"/>
  <c r="O177" i="18" a="1"/>
  <c r="O177" i="18" s="1"/>
  <c r="O178" i="18" a="1"/>
  <c r="O178" i="18" s="1"/>
  <c r="O179" i="18" a="1"/>
  <c r="O179" i="18" s="1"/>
  <c r="O180" i="18" a="1"/>
  <c r="O180" i="18" s="1"/>
  <c r="O181" i="18" a="1"/>
  <c r="O181" i="18"/>
  <c r="O182" i="18" a="1"/>
  <c r="O182" i="18" s="1"/>
  <c r="O183" i="18" a="1"/>
  <c r="O183" i="18" s="1"/>
  <c r="O184" i="18" a="1"/>
  <c r="O184" i="18" s="1"/>
  <c r="O185" i="18" a="1"/>
  <c r="O185" i="18" s="1"/>
  <c r="O186" i="18" a="1"/>
  <c r="O186" i="18" s="1"/>
  <c r="O187" i="18" a="1"/>
  <c r="O187" i="18" s="1"/>
  <c r="O188" i="18" a="1"/>
  <c r="O188" i="18"/>
  <c r="O189" i="18" a="1"/>
  <c r="O189" i="18" s="1"/>
  <c r="O190" i="18" a="1"/>
  <c r="O190" i="18"/>
  <c r="O191" i="18" a="1"/>
  <c r="O191" i="18" s="1"/>
  <c r="O192" i="18" a="1"/>
  <c r="O192" i="18" s="1"/>
  <c r="O193" i="18" a="1"/>
  <c r="O193" i="18" s="1"/>
  <c r="O194" i="18" a="1"/>
  <c r="O194" i="18" s="1"/>
  <c r="O195" i="18" a="1"/>
  <c r="O195" i="18" s="1"/>
  <c r="O196" i="18" a="1"/>
  <c r="O196" i="18" s="1"/>
  <c r="O197" i="18" a="1"/>
  <c r="O197" i="18" s="1"/>
  <c r="O198" i="18" a="1"/>
  <c r="O198" i="18" s="1"/>
  <c r="O199" i="18" a="1"/>
  <c r="O199" i="18" s="1"/>
  <c r="O200" i="18" a="1"/>
  <c r="O200" i="18" s="1"/>
  <c r="O201" i="18" a="1"/>
  <c r="O201" i="18" s="1"/>
  <c r="O202" i="18" a="1"/>
  <c r="O202" i="18" s="1"/>
  <c r="O203" i="18" a="1"/>
  <c r="O203" i="18" s="1"/>
  <c r="O204" i="18" a="1"/>
  <c r="O204" i="18"/>
  <c r="O205" i="18" a="1"/>
  <c r="O205" i="18" s="1"/>
  <c r="O206" i="18" a="1"/>
  <c r="O206" i="18"/>
  <c r="O207" i="18" a="1"/>
  <c r="O207" i="18" s="1"/>
  <c r="O208" i="18" a="1"/>
  <c r="O208" i="18" s="1"/>
  <c r="O209" i="18" a="1"/>
  <c r="O209" i="18" s="1"/>
  <c r="O210" i="18" a="1"/>
  <c r="O210" i="18"/>
  <c r="O211" i="18" a="1"/>
  <c r="O211" i="18" s="1"/>
  <c r="O212" i="18" a="1"/>
  <c r="O212" i="18" s="1"/>
  <c r="O213" i="18" a="1"/>
  <c r="O213" i="18" s="1"/>
  <c r="O214" i="18" a="1"/>
  <c r="O214" i="18" s="1"/>
  <c r="O215" i="18" a="1"/>
  <c r="O215" i="18" s="1"/>
  <c r="O216" i="18" a="1"/>
  <c r="O216" i="18" s="1"/>
  <c r="O217" i="18" a="1"/>
  <c r="O217" i="18" s="1"/>
  <c r="O218" i="18" a="1"/>
  <c r="O218" i="18" s="1"/>
  <c r="O219" i="18" a="1"/>
  <c r="O219" i="18" s="1"/>
  <c r="O220" i="18" a="1"/>
  <c r="O220" i="18" s="1"/>
  <c r="O221" i="18" a="1"/>
  <c r="O221" i="18" s="1"/>
  <c r="O222" i="18" a="1"/>
  <c r="O222" i="18" s="1"/>
  <c r="O223" i="18" a="1"/>
  <c r="O223" i="18" s="1"/>
  <c r="O224" i="18" a="1"/>
  <c r="O224" i="18" s="1"/>
  <c r="O225" i="18" a="1"/>
  <c r="O225" i="18" s="1"/>
  <c r="O226" i="18" a="1"/>
  <c r="O226" i="18" s="1"/>
  <c r="O227" i="18" a="1"/>
  <c r="O227" i="18" s="1"/>
  <c r="O228" i="18" a="1"/>
  <c r="O228" i="18" s="1"/>
  <c r="O229" i="18" a="1"/>
  <c r="O229" i="18"/>
  <c r="O230" i="18" a="1"/>
  <c r="O230" i="18" s="1"/>
  <c r="O231" i="18" a="1"/>
  <c r="O231" i="18" s="1"/>
  <c r="O232" i="18" a="1"/>
  <c r="O232" i="18" s="1"/>
  <c r="O233" i="18" a="1"/>
  <c r="O233" i="18"/>
  <c r="O234" i="18" a="1"/>
  <c r="O234" i="18" s="1"/>
  <c r="O235" i="18" a="1"/>
  <c r="O235" i="18" s="1"/>
  <c r="O236" i="18" a="1"/>
  <c r="O236" i="18" s="1"/>
  <c r="O237" i="18" a="1"/>
  <c r="O237" i="18" s="1"/>
  <c r="O238" i="18" a="1"/>
  <c r="O238" i="18" s="1"/>
  <c r="O239" i="18" a="1"/>
  <c r="O239" i="18" s="1"/>
  <c r="O240" i="18" a="1"/>
  <c r="O240" i="18" s="1"/>
  <c r="O241" i="18" a="1"/>
  <c r="O241" i="18" s="1"/>
  <c r="O242" i="18" a="1"/>
  <c r="O242" i="18"/>
  <c r="O243" i="18" a="1"/>
  <c r="O243" i="18" s="1"/>
  <c r="O244" i="18" a="1"/>
  <c r="O244" i="18"/>
  <c r="O245" i="18" a="1"/>
  <c r="O245" i="18" s="1"/>
  <c r="O246" i="18" a="1"/>
  <c r="O246" i="18" s="1"/>
  <c r="O247" i="18" a="1"/>
  <c r="O247" i="18" s="1"/>
  <c r="O248" i="18" a="1"/>
  <c r="O248" i="18" s="1"/>
  <c r="O249" i="18" a="1"/>
  <c r="O249" i="18" s="1"/>
  <c r="O250" i="18" a="1"/>
  <c r="O250" i="18" s="1"/>
  <c r="O251" i="18" a="1"/>
  <c r="O251" i="18" s="1"/>
  <c r="O252" i="18" a="1"/>
  <c r="O252" i="18" s="1"/>
  <c r="O253" i="18" a="1"/>
  <c r="O253" i="18" s="1"/>
  <c r="O254" i="18" a="1"/>
  <c r="O254" i="18" s="1"/>
  <c r="O255" i="18" a="1"/>
  <c r="O255" i="18" s="1"/>
  <c r="O256" i="18" a="1"/>
  <c r="O256" i="18" s="1"/>
  <c r="O257" i="18" a="1"/>
  <c r="O257" i="18"/>
  <c r="O258" i="18" a="1"/>
  <c r="O258" i="18" s="1"/>
  <c r="O259" i="18" a="1"/>
  <c r="O259" i="18" s="1"/>
  <c r="O260" i="18" a="1"/>
  <c r="O260" i="18" s="1"/>
  <c r="O261" i="18" a="1"/>
  <c r="O261" i="18" s="1"/>
  <c r="O262" i="18" a="1"/>
  <c r="O262" i="18" s="1"/>
  <c r="O263" i="18" a="1"/>
  <c r="O263" i="18" s="1"/>
  <c r="O264" i="18" a="1"/>
  <c r="O264" i="18" s="1"/>
  <c r="O265" i="18" a="1"/>
  <c r="O265" i="18" s="1"/>
  <c r="O266" i="18" a="1"/>
  <c r="O266" i="18" s="1"/>
  <c r="O267" i="18" a="1"/>
  <c r="O267" i="18" s="1"/>
  <c r="O268" i="18" a="1"/>
  <c r="O268" i="18" s="1"/>
  <c r="O269" i="18" a="1"/>
  <c r="O269" i="18" s="1"/>
  <c r="O270" i="18" a="1"/>
  <c r="O270" i="18" s="1"/>
  <c r="O271" i="18" a="1"/>
  <c r="O271" i="18"/>
  <c r="O272" i="18" a="1"/>
  <c r="O272" i="18" s="1"/>
  <c r="O273" i="18" a="1"/>
  <c r="O273" i="18" s="1"/>
  <c r="O274" i="18" a="1"/>
  <c r="O274" i="18" s="1"/>
  <c r="O275" i="18" a="1"/>
  <c r="O275" i="18" s="1"/>
  <c r="O276" i="18" a="1"/>
  <c r="O276" i="18" s="1"/>
  <c r="O277" i="18" a="1"/>
  <c r="O277" i="18" s="1"/>
  <c r="O278" i="18" a="1"/>
  <c r="O278" i="18" s="1"/>
  <c r="O279" i="18" a="1"/>
  <c r="O279" i="18" s="1"/>
  <c r="O280" i="18" a="1"/>
  <c r="O280" i="18"/>
  <c r="O281" i="18" a="1"/>
  <c r="O281" i="18"/>
  <c r="O282" i="18" a="1"/>
  <c r="O282" i="18" s="1"/>
  <c r="O283" i="18" a="1"/>
  <c r="O283" i="18" s="1"/>
  <c r="O284" i="18" a="1"/>
  <c r="O284" i="18" s="1"/>
  <c r="O285" i="18" a="1"/>
  <c r="O285" i="18" s="1"/>
  <c r="O286" i="18" a="1"/>
  <c r="O286" i="18" s="1"/>
  <c r="O287" i="18" a="1"/>
  <c r="O287" i="18" s="1"/>
  <c r="O288" i="18" a="1"/>
  <c r="O288" i="18" s="1"/>
  <c r="O289" i="18" a="1"/>
  <c r="O289" i="18"/>
  <c r="O290" i="18" a="1"/>
  <c r="O290" i="18" s="1"/>
  <c r="O291" i="18" a="1"/>
  <c r="O291" i="18" s="1"/>
  <c r="O292" i="18" a="1"/>
  <c r="O292" i="18" s="1"/>
  <c r="O293" i="18" a="1"/>
  <c r="O293" i="18" s="1"/>
  <c r="O294" i="18" a="1"/>
  <c r="O294" i="18" s="1"/>
  <c r="O295" i="18" a="1"/>
  <c r="O295" i="18"/>
  <c r="O296" i="18" a="1"/>
  <c r="O296" i="18" s="1"/>
  <c r="O297" i="18" a="1"/>
  <c r="O297" i="18" s="1"/>
  <c r="O298" i="18" a="1"/>
  <c r="O298" i="18" s="1"/>
  <c r="O299" i="18" a="1"/>
  <c r="O299" i="18" s="1"/>
  <c r="O300" i="18" a="1"/>
  <c r="O300" i="18" s="1"/>
  <c r="O301" i="18" a="1"/>
  <c r="O301" i="18" s="1"/>
  <c r="O302" i="18" a="1"/>
  <c r="O302" i="18" s="1"/>
  <c r="O303" i="18" a="1"/>
  <c r="O303" i="18"/>
  <c r="O304" i="18" a="1"/>
  <c r="O304" i="18"/>
  <c r="O305" i="18" a="1"/>
  <c r="O305" i="18" s="1"/>
  <c r="O306" i="18" a="1"/>
  <c r="O306" i="18" s="1"/>
  <c r="O307" i="18" a="1"/>
  <c r="O307" i="18" s="1"/>
  <c r="O308" i="18" a="1"/>
  <c r="O308" i="18" s="1"/>
  <c r="O309" i="18" a="1"/>
  <c r="O309" i="18" s="1"/>
  <c r="O310" i="18" a="1"/>
  <c r="O310" i="18" s="1"/>
  <c r="O311" i="18" a="1"/>
  <c r="O311" i="18" s="1"/>
  <c r="O312" i="18" a="1"/>
  <c r="O312" i="18" s="1"/>
  <c r="O313" i="18" a="1"/>
  <c r="O313" i="18"/>
  <c r="O314" i="18" a="1"/>
  <c r="O314" i="18" s="1"/>
  <c r="O315" i="18" a="1"/>
  <c r="O315" i="18" s="1"/>
  <c r="O316" i="18" a="1"/>
  <c r="O316" i="18" s="1"/>
  <c r="O317" i="18" a="1"/>
  <c r="O317" i="18" s="1"/>
  <c r="O318" i="18" a="1"/>
  <c r="O318" i="18" s="1"/>
  <c r="O319" i="18" a="1"/>
  <c r="O319" i="18" s="1"/>
  <c r="O320" i="18" a="1"/>
  <c r="O320" i="18" s="1"/>
  <c r="O321" i="18" a="1"/>
  <c r="O321" i="18"/>
  <c r="O322" i="18" a="1"/>
  <c r="O322" i="18" s="1"/>
  <c r="O323" i="18" a="1"/>
  <c r="O323" i="18" s="1"/>
  <c r="O324" i="18" a="1"/>
  <c r="O324" i="18" s="1"/>
  <c r="O325" i="18" a="1"/>
  <c r="O325" i="18" s="1"/>
  <c r="O326" i="18" a="1"/>
  <c r="O326" i="18" s="1"/>
  <c r="O327" i="18" a="1"/>
  <c r="O327" i="18" s="1"/>
  <c r="O328" i="18" a="1"/>
  <c r="O328" i="18"/>
  <c r="O329" i="18" a="1"/>
  <c r="O329" i="18" s="1"/>
  <c r="O330" i="18" a="1"/>
  <c r="O330" i="18" s="1"/>
  <c r="O331" i="18" a="1"/>
  <c r="O331" i="18" s="1"/>
  <c r="O332" i="18" a="1"/>
  <c r="O332" i="18" s="1"/>
  <c r="O333" i="18" a="1"/>
  <c r="O333" i="18" s="1"/>
  <c r="O334" i="18" a="1"/>
  <c r="O334" i="18" s="1"/>
  <c r="O335" i="18" a="1"/>
  <c r="O335" i="18" s="1"/>
  <c r="O336" i="18" a="1"/>
  <c r="O336" i="18"/>
  <c r="O337" i="18" a="1"/>
  <c r="O337" i="18" s="1"/>
  <c r="O338" i="18" a="1"/>
  <c r="O338" i="18" s="1"/>
  <c r="O339" i="18" a="1"/>
  <c r="O339" i="18" s="1"/>
  <c r="O340" i="18" a="1"/>
  <c r="O340" i="18" s="1"/>
  <c r="O341" i="18" a="1"/>
  <c r="O341" i="18" s="1"/>
  <c r="O342" i="18" a="1"/>
  <c r="O342" i="18" s="1"/>
  <c r="O343" i="18" a="1"/>
  <c r="O343" i="18" s="1"/>
  <c r="O344" i="18" a="1"/>
  <c r="O344" i="18" s="1"/>
  <c r="O345" i="18" a="1"/>
  <c r="O345" i="18" s="1"/>
  <c r="O346" i="18" a="1"/>
  <c r="O346" i="18" s="1"/>
  <c r="O347" i="18" a="1"/>
  <c r="O347" i="18" s="1"/>
  <c r="O348" i="18" a="1"/>
  <c r="O348" i="18" s="1"/>
  <c r="O349" i="18" a="1"/>
  <c r="O349" i="18" s="1"/>
  <c r="O350" i="18" a="1"/>
  <c r="O350" i="18" s="1"/>
  <c r="O351" i="18" a="1"/>
  <c r="O351" i="18" s="1"/>
  <c r="O352" i="18" a="1"/>
  <c r="O352" i="18" s="1"/>
  <c r="O353" i="18" a="1"/>
  <c r="O353" i="18"/>
  <c r="O354" i="18" a="1"/>
  <c r="O354" i="18" s="1"/>
  <c r="O355" i="18" a="1"/>
  <c r="O355" i="18" s="1"/>
  <c r="O356" i="18" a="1"/>
  <c r="O356" i="18" s="1"/>
  <c r="O357" i="18" a="1"/>
  <c r="O357" i="18" s="1"/>
  <c r="O358" i="18" a="1"/>
  <c r="O358" i="18" s="1"/>
  <c r="O359" i="18" a="1"/>
  <c r="O359" i="18" s="1"/>
  <c r="O360" i="18" a="1"/>
  <c r="O360" i="18" s="1"/>
  <c r="O361" i="18" a="1"/>
  <c r="O361" i="18" s="1"/>
  <c r="O362" i="18" a="1"/>
  <c r="O362" i="18" s="1"/>
  <c r="O363" i="18" a="1"/>
  <c r="O363" i="18" s="1"/>
  <c r="O364" i="18" a="1"/>
  <c r="O364" i="18" s="1"/>
  <c r="O365" i="18" a="1"/>
  <c r="O365" i="18" s="1"/>
  <c r="O366" i="18" a="1"/>
  <c r="O366" i="18" s="1"/>
  <c r="O367" i="18" a="1"/>
  <c r="O367" i="18" s="1"/>
  <c r="O368" i="18" a="1"/>
  <c r="O368" i="18" s="1"/>
  <c r="O369" i="18" a="1"/>
  <c r="O369" i="18" s="1"/>
  <c r="O370" i="18" a="1"/>
  <c r="O370" i="18" s="1"/>
  <c r="O371" i="18" a="1"/>
  <c r="O371" i="18" s="1"/>
  <c r="O372" i="18" a="1"/>
  <c r="O372" i="18" s="1"/>
  <c r="O373" i="18" a="1"/>
  <c r="O373" i="18" s="1"/>
  <c r="O374" i="18" a="1"/>
  <c r="O374" i="18" s="1"/>
  <c r="O375" i="18" a="1"/>
  <c r="O375" i="18" s="1"/>
  <c r="O376" i="18" a="1"/>
  <c r="O376" i="18" s="1"/>
  <c r="O377" i="18" a="1"/>
  <c r="O377" i="18" s="1"/>
  <c r="O378" i="18" a="1"/>
  <c r="O378" i="18" s="1"/>
  <c r="O379" i="18" a="1"/>
  <c r="O379" i="18" s="1"/>
  <c r="O380" i="18" a="1"/>
  <c r="O380" i="18" s="1"/>
  <c r="O381" i="18" a="1"/>
  <c r="O381" i="18" s="1"/>
  <c r="O382" i="18" a="1"/>
  <c r="O382" i="18" s="1"/>
  <c r="O383" i="18" a="1"/>
  <c r="O383" i="18"/>
  <c r="O384" i="18" a="1"/>
  <c r="O384" i="18" s="1"/>
  <c r="O385" i="18" a="1"/>
  <c r="O385" i="18" s="1"/>
  <c r="O386" i="18" a="1"/>
  <c r="O386" i="18" s="1"/>
  <c r="O387" i="18" a="1"/>
  <c r="O387" i="18" s="1"/>
  <c r="O388" i="18" a="1"/>
  <c r="O388" i="18" s="1"/>
  <c r="O389" i="18" a="1"/>
  <c r="O389" i="18" s="1"/>
  <c r="O390" i="18" a="1"/>
  <c r="O390" i="18" s="1"/>
  <c r="O391" i="18" a="1"/>
  <c r="O391" i="18"/>
  <c r="O392" i="18" a="1"/>
  <c r="O392" i="18"/>
  <c r="O393" i="18" a="1"/>
  <c r="O393" i="18" s="1"/>
  <c r="O394" i="18" a="1"/>
  <c r="O394" i="18" s="1"/>
  <c r="O395" i="18" a="1"/>
  <c r="O395" i="18" s="1"/>
  <c r="O396" i="18" a="1"/>
  <c r="O396" i="18" s="1"/>
  <c r="O397" i="18" a="1"/>
  <c r="O397" i="18" s="1"/>
  <c r="O398" i="18" a="1"/>
  <c r="O398" i="18" s="1"/>
  <c r="O399" i="18" a="1"/>
  <c r="O399" i="18"/>
  <c r="O400" i="18" a="1"/>
  <c r="O400" i="18" s="1"/>
  <c r="O401" i="18" a="1"/>
  <c r="O401" i="18" s="1"/>
  <c r="O402" i="18" a="1"/>
  <c r="O402" i="18" s="1"/>
  <c r="O403" i="18" a="1"/>
  <c r="O403" i="18" s="1"/>
  <c r="O404" i="18" a="1"/>
  <c r="O404" i="18" s="1"/>
  <c r="O405" i="18" a="1"/>
  <c r="O405" i="18" s="1"/>
  <c r="O406" i="18" a="1"/>
  <c r="O406" i="18" s="1"/>
  <c r="O407" i="18" a="1"/>
  <c r="O407" i="18" s="1"/>
  <c r="O408" i="18" a="1"/>
  <c r="O408" i="18" s="1"/>
  <c r="O409" i="18" a="1"/>
  <c r="O409" i="18" s="1"/>
  <c r="O410" i="18" a="1"/>
  <c r="O410" i="18" s="1"/>
  <c r="O411" i="18" a="1"/>
  <c r="O411" i="18" s="1"/>
  <c r="O412" i="18" a="1"/>
  <c r="O412" i="18" s="1"/>
  <c r="O413" i="18" a="1"/>
  <c r="O413" i="18" s="1"/>
  <c r="O414" i="18" a="1"/>
  <c r="O414" i="18" s="1"/>
  <c r="O415" i="18" a="1"/>
  <c r="O415" i="18"/>
  <c r="O416" i="18" a="1"/>
  <c r="O416" i="18" s="1"/>
  <c r="O417" i="18" a="1"/>
  <c r="O417" i="18" s="1"/>
  <c r="O418" i="18" a="1"/>
  <c r="O418" i="18" s="1"/>
  <c r="O419" i="18" a="1"/>
  <c r="O419" i="18" s="1"/>
  <c r="O420" i="18" a="1"/>
  <c r="O420" i="18" s="1"/>
  <c r="O421" i="18" a="1"/>
  <c r="O421" i="18" s="1"/>
  <c r="O422" i="18" a="1"/>
  <c r="O422" i="18" s="1"/>
  <c r="O423" i="18" a="1"/>
  <c r="O423" i="18"/>
  <c r="O424" i="18" a="1"/>
  <c r="O424" i="18"/>
  <c r="O425" i="18" a="1"/>
  <c r="O425" i="18" s="1"/>
  <c r="O426" i="18" a="1"/>
  <c r="O426" i="18" s="1"/>
  <c r="O427" i="18" a="1"/>
  <c r="O427" i="18" s="1"/>
  <c r="O428" i="18" a="1"/>
  <c r="O428" i="18" s="1"/>
  <c r="O429" i="18" a="1"/>
  <c r="O429" i="18" s="1"/>
  <c r="O430" i="18" a="1"/>
  <c r="O430" i="18" s="1"/>
  <c r="O431" i="18" a="1"/>
  <c r="O431" i="18"/>
  <c r="O432" i="18" a="1"/>
  <c r="O432" i="18" s="1"/>
  <c r="O433" i="18" a="1"/>
  <c r="O433" i="18"/>
  <c r="O434" i="18" a="1"/>
  <c r="O434" i="18" s="1"/>
  <c r="O435" i="18" a="1"/>
  <c r="O435" i="18" s="1"/>
  <c r="O436" i="18" a="1"/>
  <c r="O436" i="18" s="1"/>
  <c r="O437" i="18" a="1"/>
  <c r="O437" i="18" s="1"/>
  <c r="O438" i="18" a="1"/>
  <c r="O438" i="18" s="1"/>
  <c r="O439" i="18" a="1"/>
  <c r="O439" i="18" s="1"/>
  <c r="O440" i="18" a="1"/>
  <c r="O440" i="18"/>
  <c r="O441" i="18" a="1"/>
  <c r="O441" i="18"/>
  <c r="O442" i="18" a="1"/>
  <c r="O442" i="18" s="1"/>
  <c r="O443" i="18" a="1"/>
  <c r="O443" i="18" s="1"/>
  <c r="O444" i="18" a="1"/>
  <c r="O444" i="18" s="1"/>
  <c r="O445" i="18" a="1"/>
  <c r="O445" i="18" s="1"/>
  <c r="O446" i="18" a="1"/>
  <c r="O446" i="18" s="1"/>
  <c r="O447" i="18" a="1"/>
  <c r="O447" i="18" s="1"/>
  <c r="O448" i="18" a="1"/>
  <c r="O448" i="18" s="1"/>
  <c r="O449" i="18" a="1"/>
  <c r="O449" i="18" s="1"/>
  <c r="O450" i="18" a="1"/>
  <c r="O450" i="18" s="1"/>
  <c r="O451" i="18" a="1"/>
  <c r="O451" i="18" s="1"/>
  <c r="O452" i="18" a="1"/>
  <c r="O452" i="18" s="1"/>
  <c r="O453" i="18" a="1"/>
  <c r="O453" i="18" s="1"/>
  <c r="O454" i="18" a="1"/>
  <c r="O454" i="18" s="1"/>
  <c r="O455" i="18" a="1"/>
  <c r="O455" i="18"/>
  <c r="O456" i="18" a="1"/>
  <c r="O456" i="18" s="1"/>
  <c r="O457" i="18" a="1"/>
  <c r="O457" i="18" s="1"/>
  <c r="O458" i="18" a="1"/>
  <c r="O458" i="18" s="1"/>
  <c r="O459" i="18" a="1"/>
  <c r="O459" i="18" s="1"/>
  <c r="O460" i="18" a="1"/>
  <c r="O460" i="18" s="1"/>
  <c r="O461" i="18" a="1"/>
  <c r="O461" i="18" s="1"/>
  <c r="O462" i="18" a="1"/>
  <c r="O462" i="18" s="1"/>
  <c r="O463" i="18" a="1"/>
  <c r="O463" i="18" s="1"/>
  <c r="O464" i="18" a="1"/>
  <c r="O464" i="18"/>
  <c r="O465" i="18" a="1"/>
  <c r="O465" i="18" s="1"/>
  <c r="O466" i="18" a="1"/>
  <c r="O466" i="18" s="1"/>
  <c r="O467" i="18" a="1"/>
  <c r="O467" i="18" s="1"/>
  <c r="O468" i="18" a="1"/>
  <c r="O468" i="18" s="1"/>
  <c r="O469" i="18" a="1"/>
  <c r="O469" i="18" s="1"/>
  <c r="O470" i="18" a="1"/>
  <c r="O470" i="18" s="1"/>
  <c r="O471" i="18" a="1"/>
  <c r="O471" i="18" s="1"/>
  <c r="O472" i="18" a="1"/>
  <c r="O472" i="18" s="1"/>
  <c r="O473" i="18" a="1"/>
  <c r="O473" i="18"/>
  <c r="O474" i="18" a="1"/>
  <c r="O474" i="18" s="1"/>
  <c r="O475" i="18" a="1"/>
  <c r="O475" i="18" s="1"/>
  <c r="O476" i="18" a="1"/>
  <c r="O476" i="18" s="1"/>
  <c r="O477" i="18" a="1"/>
  <c r="O477" i="18" s="1"/>
  <c r="O478" i="18" a="1"/>
  <c r="O478" i="18" s="1"/>
  <c r="O479" i="18" a="1"/>
  <c r="O479" i="18" s="1"/>
  <c r="O480" i="18" a="1"/>
  <c r="O480" i="18" s="1"/>
  <c r="O481" i="18" a="1"/>
  <c r="O481" i="18" s="1"/>
  <c r="O482" i="18" a="1"/>
  <c r="O482" i="18" s="1"/>
  <c r="O483" i="18" a="1"/>
  <c r="O483" i="18" s="1"/>
  <c r="O484" i="18" a="1"/>
  <c r="O484" i="18" s="1"/>
  <c r="O485" i="18" a="1"/>
  <c r="O485" i="18" s="1"/>
  <c r="O486" i="18" a="1"/>
  <c r="O486" i="18" s="1"/>
  <c r="O487" i="18" a="1"/>
  <c r="O487" i="18"/>
  <c r="O488" i="18" a="1"/>
  <c r="O488" i="18" s="1"/>
  <c r="O489" i="18" a="1"/>
  <c r="O489" i="18" s="1"/>
  <c r="O490" i="18" a="1"/>
  <c r="O490" i="18" s="1"/>
  <c r="O491" i="18" a="1"/>
  <c r="O491" i="18" s="1"/>
  <c r="O492" i="18" a="1"/>
  <c r="O492" i="18" s="1"/>
  <c r="O493" i="18" a="1"/>
  <c r="O493" i="18" s="1"/>
  <c r="O494" i="18" a="1"/>
  <c r="O494" i="18" s="1"/>
  <c r="O495" i="18" a="1"/>
  <c r="O495" i="18" s="1"/>
  <c r="O496" i="18" a="1"/>
  <c r="O496" i="18" s="1"/>
  <c r="O497" i="18" a="1"/>
  <c r="O497" i="18"/>
  <c r="O498" i="18" a="1"/>
  <c r="O498" i="18" s="1"/>
  <c r="O499" i="18" a="1"/>
  <c r="O499" i="18" s="1"/>
  <c r="O500" i="18" a="1"/>
  <c r="O500" i="18" s="1"/>
  <c r="O501" i="18" a="1"/>
  <c r="O501" i="18" s="1"/>
  <c r="O502" i="18" a="1"/>
  <c r="O502" i="18" s="1"/>
  <c r="O503" i="18" a="1"/>
  <c r="O503" i="18" s="1"/>
  <c r="O504" i="18" a="1"/>
  <c r="O504" i="18"/>
  <c r="O505" i="18" a="1"/>
  <c r="O505" i="18" s="1"/>
  <c r="O506" i="18" a="1"/>
  <c r="O506" i="18" s="1"/>
  <c r="O507" i="18" a="1"/>
  <c r="O507" i="18" s="1"/>
  <c r="O508" i="18" a="1"/>
  <c r="O508" i="18" s="1"/>
  <c r="O509" i="18" a="1"/>
  <c r="O509" i="18" s="1"/>
  <c r="O510" i="18" a="1"/>
  <c r="O510" i="18" s="1"/>
  <c r="O511" i="18" a="1"/>
  <c r="O511" i="18" s="1"/>
  <c r="O512" i="18" a="1"/>
  <c r="O512" i="18" s="1"/>
  <c r="O513" i="18" a="1"/>
  <c r="O513" i="18" s="1"/>
  <c r="O514" i="18" a="1"/>
  <c r="O514" i="18" s="1"/>
  <c r="O515" i="18" a="1"/>
  <c r="O515" i="18" s="1"/>
  <c r="O516" i="18" a="1"/>
  <c r="O516" i="18" s="1"/>
  <c r="O517" i="18" a="1"/>
  <c r="O517" i="18" s="1"/>
  <c r="O518" i="18" a="1"/>
  <c r="O518" i="18" s="1"/>
  <c r="O519" i="18" a="1"/>
  <c r="O519" i="18"/>
  <c r="O520" i="18" a="1"/>
  <c r="O520" i="18"/>
  <c r="O521" i="18" a="1"/>
  <c r="O521" i="18" s="1"/>
  <c r="O522" i="18" a="1"/>
  <c r="O522" i="18" s="1"/>
  <c r="O523" i="18" a="1"/>
  <c r="O523" i="18" s="1"/>
  <c r="O524" i="18" a="1"/>
  <c r="O524" i="18" s="1"/>
  <c r="O525" i="18" a="1"/>
  <c r="O525" i="18" s="1"/>
  <c r="O526" i="18" a="1"/>
  <c r="O526" i="18" s="1"/>
  <c r="O527" i="18" a="1"/>
  <c r="O527" i="18"/>
  <c r="O528" i="18" a="1"/>
  <c r="O528" i="18"/>
  <c r="O529" i="18" a="1"/>
  <c r="O529" i="18" s="1"/>
  <c r="O530" i="18" a="1"/>
  <c r="O530" i="18" s="1"/>
  <c r="O531" i="18" a="1"/>
  <c r="O531" i="18" s="1"/>
  <c r="O532" i="18" a="1"/>
  <c r="O532" i="18" s="1"/>
  <c r="O533" i="18" a="1"/>
  <c r="O533" i="18" s="1"/>
  <c r="O534" i="18" a="1"/>
  <c r="O534" i="18" s="1"/>
  <c r="O535" i="18" a="1"/>
  <c r="O535" i="18" s="1"/>
  <c r="O536" i="18" a="1"/>
  <c r="O536" i="18" s="1"/>
  <c r="O537" i="18" a="1"/>
  <c r="O537" i="18"/>
  <c r="O538" i="18" a="1"/>
  <c r="O538" i="18" s="1"/>
  <c r="O539" i="18" a="1"/>
  <c r="O539" i="18" s="1"/>
  <c r="O540" i="18" a="1"/>
  <c r="O540" i="18" s="1"/>
  <c r="O541" i="18" a="1"/>
  <c r="O541" i="18" s="1"/>
  <c r="O542" i="18" a="1"/>
  <c r="O542" i="18" s="1"/>
  <c r="O543" i="18" a="1"/>
  <c r="O543" i="18" s="1"/>
  <c r="O544" i="18" a="1"/>
  <c r="O544" i="18" s="1"/>
  <c r="O545" i="18" a="1"/>
  <c r="O545" i="18"/>
  <c r="O546" i="18" a="1"/>
  <c r="O546" i="18" s="1"/>
  <c r="O547" i="18" a="1"/>
  <c r="O547" i="18" s="1"/>
  <c r="O548" i="18" a="1"/>
  <c r="O548" i="18" s="1"/>
  <c r="O549" i="18" a="1"/>
  <c r="O549" i="18" s="1"/>
  <c r="O550" i="18" a="1"/>
  <c r="O550" i="18" s="1"/>
  <c r="O551" i="18" a="1"/>
  <c r="O551" i="18" s="1"/>
  <c r="O552" i="18" a="1"/>
  <c r="O552" i="18" s="1"/>
  <c r="O553" i="18" a="1"/>
  <c r="O553" i="18" s="1"/>
  <c r="O554" i="18" a="1"/>
  <c r="O554" i="18" s="1"/>
  <c r="O555" i="18" a="1"/>
  <c r="O555" i="18" s="1"/>
  <c r="O556" i="18" a="1"/>
  <c r="O556" i="18" s="1"/>
  <c r="O557" i="18" a="1"/>
  <c r="O557" i="18" s="1"/>
  <c r="O558" i="18" a="1"/>
  <c r="O558" i="18" s="1"/>
  <c r="O559" i="18" a="1"/>
  <c r="O559" i="18" s="1"/>
  <c r="O560" i="18" a="1"/>
  <c r="O560" i="18"/>
  <c r="O561" i="18" a="1"/>
  <c r="O561" i="18" s="1"/>
  <c r="O562" i="18" a="1"/>
  <c r="O562" i="18" s="1"/>
  <c r="O563" i="18" a="1"/>
  <c r="O563" i="18" s="1"/>
  <c r="O564" i="18" a="1"/>
  <c r="O564" i="18"/>
  <c r="O565" i="18" a="1"/>
  <c r="O565" i="18" s="1"/>
  <c r="O566" i="18" a="1"/>
  <c r="O566" i="18" s="1"/>
  <c r="O567" i="18" a="1"/>
  <c r="O567" i="18" s="1"/>
  <c r="O568" i="18" a="1"/>
  <c r="O568" i="18" s="1"/>
  <c r="O569" i="18" a="1"/>
  <c r="O569" i="18"/>
  <c r="O570" i="18" a="1"/>
  <c r="O570" i="18" s="1"/>
  <c r="O571" i="18" a="1"/>
  <c r="O571" i="18" s="1"/>
  <c r="O572" i="18" a="1"/>
  <c r="O572" i="18" s="1"/>
  <c r="O573" i="18" a="1"/>
  <c r="O573" i="18" s="1"/>
  <c r="O574" i="18" a="1"/>
  <c r="O574" i="18" s="1"/>
  <c r="O575" i="18" a="1"/>
  <c r="O575" i="18" s="1"/>
  <c r="O576" i="18" a="1"/>
  <c r="O576" i="18" s="1"/>
  <c r="O577" i="18" a="1"/>
  <c r="O577" i="18" s="1"/>
  <c r="O578" i="18" a="1"/>
  <c r="O578" i="18" s="1"/>
  <c r="O579" i="18" a="1"/>
  <c r="O579" i="18" s="1"/>
  <c r="O580" i="18" a="1"/>
  <c r="O580" i="18" s="1"/>
  <c r="O581" i="18" a="1"/>
  <c r="O581" i="18" s="1"/>
  <c r="O582" i="18" a="1"/>
  <c r="O582" i="18" s="1"/>
  <c r="O583" i="18" a="1"/>
  <c r="O583" i="18"/>
  <c r="O584" i="18" a="1"/>
  <c r="O584" i="18" s="1"/>
  <c r="O585" i="18" a="1"/>
  <c r="O585" i="18" s="1"/>
  <c r="O586" i="18" a="1"/>
  <c r="O586" i="18" s="1"/>
  <c r="O587" i="18" a="1"/>
  <c r="O587" i="18" s="1"/>
  <c r="O588" i="18" a="1"/>
  <c r="O588" i="18" s="1"/>
  <c r="O589" i="18" a="1"/>
  <c r="O589" i="18" s="1"/>
  <c r="O590" i="18" a="1"/>
  <c r="O590" i="18" s="1"/>
  <c r="O591" i="18" a="1"/>
  <c r="O591" i="18" s="1"/>
  <c r="O592" i="18" a="1"/>
  <c r="O592" i="18" s="1"/>
  <c r="O593" i="18" a="1"/>
  <c r="O593" i="18" s="1"/>
  <c r="O594" i="18" a="1"/>
  <c r="O594" i="18" s="1"/>
  <c r="O595" i="18" a="1"/>
  <c r="O595" i="18" s="1"/>
  <c r="O596" i="18" a="1"/>
  <c r="O596" i="18" s="1"/>
  <c r="O597" i="18" a="1"/>
  <c r="O597" i="18" s="1"/>
  <c r="O598" i="18" a="1"/>
  <c r="O598" i="18" s="1"/>
  <c r="O599" i="18" a="1"/>
  <c r="O599" i="18" s="1"/>
  <c r="O600" i="18" a="1"/>
  <c r="O600" i="18" s="1"/>
  <c r="O601" i="18" a="1"/>
  <c r="O601" i="18" s="1"/>
  <c r="O602" i="18" a="1"/>
  <c r="O602" i="18" s="1"/>
  <c r="O603" i="18" a="1"/>
  <c r="O603" i="18" s="1"/>
  <c r="O604" i="18" a="1"/>
  <c r="O604" i="18" s="1"/>
  <c r="O605" i="18" a="1"/>
  <c r="O605" i="18" s="1"/>
  <c r="O606" i="18" a="1"/>
  <c r="O606" i="18" s="1"/>
  <c r="O607" i="18" a="1"/>
  <c r="O607" i="18" s="1"/>
  <c r="O608" i="18" a="1"/>
  <c r="O608" i="18" s="1"/>
  <c r="O609" i="18" a="1"/>
  <c r="O609" i="18" s="1"/>
  <c r="O610" i="18" a="1"/>
  <c r="O610" i="18" s="1"/>
  <c r="O611" i="18" a="1"/>
  <c r="O611" i="18" s="1"/>
  <c r="O612" i="18" a="1"/>
  <c r="O612" i="18" s="1"/>
  <c r="O613" i="18" a="1"/>
  <c r="O613" i="18" s="1"/>
  <c r="O614" i="18" a="1"/>
  <c r="O614" i="18" s="1"/>
  <c r="O615" i="18" a="1"/>
  <c r="O615" i="18" s="1"/>
  <c r="O616" i="18" a="1"/>
  <c r="O616" i="18" s="1"/>
  <c r="O617" i="18" a="1"/>
  <c r="O617" i="18" s="1"/>
  <c r="O618" i="18" a="1"/>
  <c r="O618" i="18" s="1"/>
  <c r="O619" i="18" a="1"/>
  <c r="O619" i="18" s="1"/>
  <c r="O620" i="18" a="1"/>
  <c r="O620" i="18" s="1"/>
  <c r="O621" i="18" a="1"/>
  <c r="O621" i="18" s="1"/>
  <c r="O622" i="18" a="1"/>
  <c r="O622" i="18" s="1"/>
  <c r="O623" i="18" a="1"/>
  <c r="O623" i="18" s="1"/>
  <c r="O624" i="18" a="1"/>
  <c r="O624" i="18" s="1"/>
  <c r="O625" i="18" a="1"/>
  <c r="O625" i="18" s="1"/>
  <c r="O626" i="18" a="1"/>
  <c r="O626" i="18" s="1"/>
  <c r="O627" i="18" a="1"/>
  <c r="O627" i="18" s="1"/>
  <c r="O628" i="18" a="1"/>
  <c r="O628" i="18" s="1"/>
  <c r="O629" i="18" a="1"/>
  <c r="O629" i="18" s="1"/>
  <c r="O630" i="18" a="1"/>
  <c r="O630" i="18" s="1"/>
  <c r="O631" i="18" a="1"/>
  <c r="O631" i="18" s="1"/>
  <c r="O632" i="18" a="1"/>
  <c r="O632" i="18" s="1"/>
  <c r="O633" i="18" a="1"/>
  <c r="O633" i="18" s="1"/>
  <c r="O634" i="18" a="1"/>
  <c r="O634" i="18" s="1"/>
  <c r="O635" i="18" a="1"/>
  <c r="O635" i="18" s="1"/>
  <c r="O636" i="18" a="1"/>
  <c r="O636" i="18" s="1"/>
  <c r="O637" i="18" a="1"/>
  <c r="O637" i="18" s="1"/>
  <c r="O638" i="18" a="1"/>
  <c r="O638" i="18" s="1"/>
  <c r="O639" i="18" a="1"/>
  <c r="O639" i="18" s="1"/>
  <c r="O640" i="18" a="1"/>
  <c r="O640" i="18" s="1"/>
  <c r="O641" i="18" a="1"/>
  <c r="O641" i="18" s="1"/>
  <c r="O642" i="18" a="1"/>
  <c r="O642" i="18" s="1"/>
  <c r="O643" i="18" a="1"/>
  <c r="O643" i="18" s="1"/>
  <c r="O644" i="18" a="1"/>
  <c r="O644" i="18" s="1"/>
  <c r="O645" i="18" a="1"/>
  <c r="O645" i="18" s="1"/>
  <c r="O646" i="18" a="1"/>
  <c r="O646" i="18" s="1"/>
  <c r="O647" i="18" a="1"/>
  <c r="O647" i="18" s="1"/>
  <c r="O648" i="18" a="1"/>
  <c r="O648" i="18" s="1"/>
  <c r="O649" i="18" a="1"/>
  <c r="O649" i="18" s="1"/>
  <c r="O650" i="18" a="1"/>
  <c r="O650" i="18" s="1"/>
  <c r="O651" i="18" a="1"/>
  <c r="O651" i="18" s="1"/>
  <c r="O652" i="18" a="1"/>
  <c r="O652" i="18" s="1"/>
  <c r="O653" i="18" a="1"/>
  <c r="O653" i="18" s="1"/>
  <c r="O654" i="18" a="1"/>
  <c r="O654" i="18" s="1"/>
  <c r="O655" i="18" a="1"/>
  <c r="O655" i="18" s="1"/>
  <c r="O656" i="18" a="1"/>
  <c r="O656" i="18" s="1"/>
  <c r="O657" i="18" a="1"/>
  <c r="O657" i="18" s="1"/>
  <c r="O658" i="18" a="1"/>
  <c r="O658" i="18" s="1"/>
  <c r="O659" i="18" a="1"/>
  <c r="O659" i="18" s="1"/>
  <c r="O660" i="18" a="1"/>
  <c r="O660" i="18" s="1"/>
  <c r="O661" i="18" a="1"/>
  <c r="O661" i="18" s="1"/>
  <c r="O662" i="18" a="1"/>
  <c r="O662" i="18" s="1"/>
  <c r="O663" i="18" a="1"/>
  <c r="O663" i="18" s="1"/>
  <c r="O664" i="18" a="1"/>
  <c r="O664" i="18" s="1"/>
  <c r="O665" i="18" a="1"/>
  <c r="O665" i="18" s="1"/>
  <c r="O666" i="18" a="1"/>
  <c r="O666" i="18" s="1"/>
  <c r="O667" i="18" a="1"/>
  <c r="O667" i="18" s="1"/>
  <c r="O668" i="18" a="1"/>
  <c r="O668" i="18" s="1"/>
  <c r="O669" i="18" a="1"/>
  <c r="O669" i="18" s="1"/>
  <c r="O670" i="18" a="1"/>
  <c r="O670" i="18" s="1"/>
  <c r="O671" i="18" a="1"/>
  <c r="O671" i="18" s="1"/>
  <c r="O672" i="18" a="1"/>
  <c r="O672" i="18" s="1"/>
  <c r="O673" i="18" a="1"/>
  <c r="O673" i="18" s="1"/>
  <c r="O674" i="18" a="1"/>
  <c r="O674" i="18" s="1"/>
  <c r="O675" i="18" a="1"/>
  <c r="O675" i="18" s="1"/>
  <c r="O676" i="18" a="1"/>
  <c r="O676" i="18" s="1"/>
  <c r="O677" i="18" a="1"/>
  <c r="O677" i="18" s="1"/>
  <c r="O678" i="18" a="1"/>
  <c r="O678" i="18" s="1"/>
  <c r="O679" i="18" a="1"/>
  <c r="O679" i="18" s="1"/>
  <c r="O680" i="18" a="1"/>
  <c r="O680" i="18" s="1"/>
  <c r="O681" i="18" a="1"/>
  <c r="O681" i="18" s="1"/>
  <c r="O682" i="18" a="1"/>
  <c r="O682" i="18" s="1"/>
  <c r="O683" i="18" a="1"/>
  <c r="O683" i="18" s="1"/>
  <c r="O684" i="18" a="1"/>
  <c r="O684" i="18" s="1"/>
  <c r="O685" i="18" a="1"/>
  <c r="O685" i="18" s="1"/>
  <c r="O686" i="18" a="1"/>
  <c r="O686" i="18" s="1"/>
  <c r="O687" i="18" a="1"/>
  <c r="O687" i="18" s="1"/>
  <c r="O688" i="18" a="1"/>
  <c r="O688" i="18" s="1"/>
  <c r="O689" i="18" a="1"/>
  <c r="O689" i="18" s="1"/>
  <c r="O690" i="18" a="1"/>
  <c r="O690" i="18" s="1"/>
  <c r="O691" i="18" a="1"/>
  <c r="O691" i="18" s="1"/>
  <c r="P2" i="18" a="1"/>
  <c r="P2" i="18" s="1"/>
  <c r="P3" i="18" a="1"/>
  <c r="P3" i="18" s="1"/>
  <c r="P4" i="18" a="1"/>
  <c r="P4" i="18" s="1"/>
  <c r="P5" i="18" a="1"/>
  <c r="P5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2" i="18" a="1"/>
  <c r="P22" i="18" s="1"/>
  <c r="P23" i="18" a="1"/>
  <c r="P23" i="18" s="1"/>
  <c r="P24" i="18" a="1"/>
  <c r="P24" i="18" s="1"/>
  <c r="P25" i="18" a="1"/>
  <c r="P25" i="18" s="1"/>
  <c r="P26" i="18" a="1"/>
  <c r="P26" i="18" s="1"/>
  <c r="P27" i="18" a="1"/>
  <c r="P27" i="18" s="1"/>
  <c r="P28" i="18" a="1"/>
  <c r="P28" i="18" s="1"/>
  <c r="P29" i="18" a="1"/>
  <c r="P29" i="18" s="1"/>
  <c r="P30" i="18" a="1"/>
  <c r="P30" i="18" s="1"/>
  <c r="P31" i="18" a="1"/>
  <c r="P31" i="18" s="1"/>
  <c r="P32" i="18" a="1"/>
  <c r="P32" i="18" s="1"/>
  <c r="P33" i="18" a="1"/>
  <c r="P33" i="18" s="1"/>
  <c r="P34" i="18" a="1"/>
  <c r="P34" i="18" s="1"/>
  <c r="P35" i="18" a="1"/>
  <c r="P35" i="18" s="1"/>
  <c r="P36" i="18" a="1"/>
  <c r="P36" i="18" s="1"/>
  <c r="P37" i="18" a="1"/>
  <c r="P37" i="18" s="1"/>
  <c r="P38" i="18" a="1"/>
  <c r="P38" i="18" s="1"/>
  <c r="P39" i="18" a="1"/>
  <c r="P39" i="18"/>
  <c r="P40" i="18" a="1"/>
  <c r="P40" i="18" s="1"/>
  <c r="P41" i="18" a="1"/>
  <c r="P41" i="18" s="1"/>
  <c r="P42" i="18" a="1"/>
  <c r="P42" i="18" s="1"/>
  <c r="P43" i="18" a="1"/>
  <c r="P43" i="18" s="1"/>
  <c r="P44" i="18" a="1"/>
  <c r="P44" i="18" s="1"/>
  <c r="P45" i="18" a="1"/>
  <c r="P45" i="18" s="1"/>
  <c r="P46" i="18" a="1"/>
  <c r="P46" i="18" s="1"/>
  <c r="P47" i="18" a="1"/>
  <c r="P47" i="18" s="1"/>
  <c r="P48" i="18" a="1"/>
  <c r="P48" i="18" s="1"/>
  <c r="P49" i="18" a="1"/>
  <c r="P49" i="18" s="1"/>
  <c r="P50" i="18" a="1"/>
  <c r="P50" i="18" s="1"/>
  <c r="P51" i="18" a="1"/>
  <c r="P51" i="18" s="1"/>
  <c r="P52" i="18" a="1"/>
  <c r="P52" i="18" s="1"/>
  <c r="P53" i="18" a="1"/>
  <c r="P53" i="18"/>
  <c r="P54" i="18" a="1"/>
  <c r="P54" i="18" s="1"/>
  <c r="P55" i="18" a="1"/>
  <c r="P55" i="18" s="1"/>
  <c r="P56" i="18" a="1"/>
  <c r="P56" i="18" s="1"/>
  <c r="P57" i="18" a="1"/>
  <c r="P57" i="18" s="1"/>
  <c r="P58" i="18" a="1"/>
  <c r="P58" i="18" s="1"/>
  <c r="P59" i="18" a="1"/>
  <c r="P59" i="18" s="1"/>
  <c r="P60" i="18" a="1"/>
  <c r="P60" i="18" s="1"/>
  <c r="P61" i="18" a="1"/>
  <c r="P61" i="18" s="1"/>
  <c r="P62" i="18" a="1"/>
  <c r="P62" i="18"/>
  <c r="P63" i="18" a="1"/>
  <c r="P63" i="18" s="1"/>
  <c r="P64" i="18" a="1"/>
  <c r="P64" i="18" s="1"/>
  <c r="P65" i="18" a="1"/>
  <c r="P65" i="18" s="1"/>
  <c r="P66" i="18" a="1"/>
  <c r="P66" i="18"/>
  <c r="P67" i="18" a="1"/>
  <c r="P67" i="18" s="1"/>
  <c r="P68" i="18" a="1"/>
  <c r="P68" i="18" s="1"/>
  <c r="P69" i="18" a="1"/>
  <c r="P69" i="18" s="1"/>
  <c r="P70" i="18" a="1"/>
  <c r="P70" i="18" s="1"/>
  <c r="P71" i="18" a="1"/>
  <c r="P71" i="18"/>
  <c r="P72" i="18" a="1"/>
  <c r="P72" i="18" s="1"/>
  <c r="P73" i="18" a="1"/>
  <c r="P73" i="18" s="1"/>
  <c r="P74" i="18" a="1"/>
  <c r="P74" i="18" s="1"/>
  <c r="P75" i="18" a="1"/>
  <c r="P75" i="18"/>
  <c r="P76" i="18" a="1"/>
  <c r="P76" i="18" s="1"/>
  <c r="P77" i="18" a="1"/>
  <c r="P77" i="18" s="1"/>
  <c r="P78" i="18" a="1"/>
  <c r="P78" i="18" s="1"/>
  <c r="P79" i="18" a="1"/>
  <c r="P79" i="18" s="1"/>
  <c r="P80" i="18" a="1"/>
  <c r="P80" i="18" s="1"/>
  <c r="P81" i="18" a="1"/>
  <c r="P81" i="18" s="1"/>
  <c r="P82" i="18" a="1"/>
  <c r="P82" i="18" s="1"/>
  <c r="P83" i="18" a="1"/>
  <c r="P83" i="18" s="1"/>
  <c r="P84" i="18" a="1"/>
  <c r="P84" i="18" s="1"/>
  <c r="P85" i="18" a="1"/>
  <c r="P85" i="18" s="1"/>
  <c r="P86" i="18" a="1"/>
  <c r="P86" i="18" s="1"/>
  <c r="P87" i="18" a="1"/>
  <c r="P87" i="18" s="1"/>
  <c r="P88" i="18" a="1"/>
  <c r="P88" i="18" s="1"/>
  <c r="P89" i="18" a="1"/>
  <c r="P89" i="18" s="1"/>
  <c r="P90" i="18" a="1"/>
  <c r="P90" i="18" s="1"/>
  <c r="P91" i="18" a="1"/>
  <c r="P91" i="18" s="1"/>
  <c r="P92" i="18" a="1"/>
  <c r="P92" i="18" s="1"/>
  <c r="P93" i="18" a="1"/>
  <c r="P93" i="18" s="1"/>
  <c r="P94" i="18" a="1"/>
  <c r="P94" i="18" s="1"/>
  <c r="P95" i="18" a="1"/>
  <c r="P95" i="18" s="1"/>
  <c r="P96" i="18" a="1"/>
  <c r="P96" i="18" s="1"/>
  <c r="P97" i="18" a="1"/>
  <c r="P97" i="18" s="1"/>
  <c r="P98" i="18" a="1"/>
  <c r="P98" i="18" s="1"/>
  <c r="P99" i="18" a="1"/>
  <c r="P99" i="18" s="1"/>
  <c r="P100" i="18" a="1"/>
  <c r="P100" i="18" s="1"/>
  <c r="P101" i="18" a="1"/>
  <c r="P101" i="18" s="1"/>
  <c r="P102" i="18" a="1"/>
  <c r="P102" i="18" s="1"/>
  <c r="P103" i="18" a="1"/>
  <c r="P103" i="18" s="1"/>
  <c r="P104" i="18" a="1"/>
  <c r="P104" i="18" s="1"/>
  <c r="P105" i="18" a="1"/>
  <c r="P105" i="18" s="1"/>
  <c r="P106" i="18" a="1"/>
  <c r="P106" i="18" s="1"/>
  <c r="P107" i="18" a="1"/>
  <c r="P107" i="18"/>
  <c r="P108" i="18" a="1"/>
  <c r="P108" i="18" s="1"/>
  <c r="P109" i="18" a="1"/>
  <c r="P109" i="18" s="1"/>
  <c r="P110" i="18" a="1"/>
  <c r="P110" i="18" s="1"/>
  <c r="P111" i="18" a="1"/>
  <c r="P111" i="18" s="1"/>
  <c r="P112" i="18" a="1"/>
  <c r="P112" i="18" s="1"/>
  <c r="P113" i="18" a="1"/>
  <c r="P113" i="18" s="1"/>
  <c r="P114" i="18" a="1"/>
  <c r="P114" i="18" s="1"/>
  <c r="P115" i="18" a="1"/>
  <c r="P115" i="18" s="1"/>
  <c r="P116" i="18" a="1"/>
  <c r="P116" i="18" s="1"/>
  <c r="P117" i="18" a="1"/>
  <c r="P117" i="18" s="1"/>
  <c r="P118" i="18" a="1"/>
  <c r="P118" i="18" s="1"/>
  <c r="P119" i="18" a="1"/>
  <c r="P119" i="18" s="1"/>
  <c r="P120" i="18" a="1"/>
  <c r="P120" i="18" s="1"/>
  <c r="P121" i="18" a="1"/>
  <c r="P121" i="18" s="1"/>
  <c r="P122" i="18" a="1"/>
  <c r="P122" i="18" s="1"/>
  <c r="P123" i="18" a="1"/>
  <c r="P123" i="18" s="1"/>
  <c r="P124" i="18" a="1"/>
  <c r="P124" i="18" s="1"/>
  <c r="P125" i="18" a="1"/>
  <c r="P125" i="18" s="1"/>
  <c r="P126" i="18" a="1"/>
  <c r="P126" i="18" s="1"/>
  <c r="P127" i="18" a="1"/>
  <c r="P127" i="18" s="1"/>
  <c r="P128" i="18" a="1"/>
  <c r="P128" i="18" s="1"/>
  <c r="P129" i="18" a="1"/>
  <c r="P129" i="18" s="1"/>
  <c r="P130" i="18" a="1"/>
  <c r="P130" i="18"/>
  <c r="P131" i="18" a="1"/>
  <c r="P131" i="18" s="1"/>
  <c r="P132" i="18" a="1"/>
  <c r="P132" i="18" s="1"/>
  <c r="P133" i="18" a="1"/>
  <c r="P133" i="18" s="1"/>
  <c r="P134" i="18" a="1"/>
  <c r="P134" i="18" s="1"/>
  <c r="P135" i="18" a="1"/>
  <c r="P135" i="18" s="1"/>
  <c r="P136" i="18" a="1"/>
  <c r="P136" i="18" s="1"/>
  <c r="P137" i="18" a="1"/>
  <c r="P137" i="18" s="1"/>
  <c r="P138" i="18" a="1"/>
  <c r="P138" i="18" s="1"/>
  <c r="P139" i="18" a="1"/>
  <c r="P139" i="18"/>
  <c r="P140" i="18" a="1"/>
  <c r="P140" i="18" s="1"/>
  <c r="P141" i="18" a="1"/>
  <c r="P141" i="18" s="1"/>
  <c r="P142" i="18" a="1"/>
  <c r="P142" i="18" s="1"/>
  <c r="P143" i="18" a="1"/>
  <c r="P143" i="18" s="1"/>
  <c r="P144" i="18" a="1"/>
  <c r="P144" i="18" s="1"/>
  <c r="P145" i="18" a="1"/>
  <c r="P145" i="18" s="1"/>
  <c r="P146" i="18" a="1"/>
  <c r="P146" i="18" s="1"/>
  <c r="P147" i="18" a="1"/>
  <c r="P147" i="18" s="1"/>
  <c r="P148" i="18" a="1"/>
  <c r="P148" i="18" s="1"/>
  <c r="P149" i="18" a="1"/>
  <c r="P149" i="18" s="1"/>
  <c r="P150" i="18" a="1"/>
  <c r="P150" i="18" s="1"/>
  <c r="P151" i="18" a="1"/>
  <c r="P151" i="18" s="1"/>
  <c r="P152" i="18" a="1"/>
  <c r="P152" i="18" s="1"/>
  <c r="P153" i="18" a="1"/>
  <c r="P153" i="18"/>
  <c r="P154" i="18" a="1"/>
  <c r="P154" i="18" s="1"/>
  <c r="P155" i="18" a="1"/>
  <c r="P155" i="18" s="1"/>
  <c r="P156" i="18" a="1"/>
  <c r="P156" i="18" s="1"/>
  <c r="P157" i="18" a="1"/>
  <c r="P157" i="18" s="1"/>
  <c r="P158" i="18" a="1"/>
  <c r="P158" i="18" s="1"/>
  <c r="P159" i="18" a="1"/>
  <c r="P159" i="18" s="1"/>
  <c r="P160" i="18" a="1"/>
  <c r="P160" i="18" s="1"/>
  <c r="P161" i="18" a="1"/>
  <c r="P161" i="18" s="1"/>
  <c r="P162" i="18" a="1"/>
  <c r="P162" i="18" s="1"/>
  <c r="P163" i="18" a="1"/>
  <c r="P163" i="18" s="1"/>
  <c r="P164" i="18" a="1"/>
  <c r="P164" i="18" s="1"/>
  <c r="P165" i="18" a="1"/>
  <c r="P165" i="18" s="1"/>
  <c r="P166" i="18" a="1"/>
  <c r="P166" i="18" s="1"/>
  <c r="P167" i="18" a="1"/>
  <c r="P167" i="18" s="1"/>
  <c r="P168" i="18" a="1"/>
  <c r="P168" i="18" s="1"/>
  <c r="P169" i="18" a="1"/>
  <c r="P169" i="18" s="1"/>
  <c r="P170" i="18" a="1"/>
  <c r="P170" i="18" s="1"/>
  <c r="P171" i="18" a="1"/>
  <c r="P171" i="18" s="1"/>
  <c r="P172" i="18" a="1"/>
  <c r="P172" i="18" s="1"/>
  <c r="P173" i="18" a="1"/>
  <c r="P173" i="18" s="1"/>
  <c r="P174" i="18" a="1"/>
  <c r="P174" i="18" s="1"/>
  <c r="P175" i="18" a="1"/>
  <c r="P175" i="18" s="1"/>
  <c r="P176" i="18" a="1"/>
  <c r="P176" i="18" s="1"/>
  <c r="P177" i="18" a="1"/>
  <c r="P177" i="18" s="1"/>
  <c r="P178" i="18" a="1"/>
  <c r="P178" i="18" s="1"/>
  <c r="P179" i="18" a="1"/>
  <c r="P179" i="18" s="1"/>
  <c r="P180" i="18" a="1"/>
  <c r="P180" i="18" s="1"/>
  <c r="P181" i="18" a="1"/>
  <c r="P181" i="18" s="1"/>
  <c r="P182" i="18" a="1"/>
  <c r="P182" i="18" s="1"/>
  <c r="P183" i="18" a="1"/>
  <c r="P183" i="18" s="1"/>
  <c r="P184" i="18" a="1"/>
  <c r="P184" i="18" s="1"/>
  <c r="P185" i="18" a="1"/>
  <c r="P185" i="18"/>
  <c r="P186" i="18" a="1"/>
  <c r="P186" i="18" s="1"/>
  <c r="P187" i="18" a="1"/>
  <c r="P187" i="18" s="1"/>
  <c r="P188" i="18" a="1"/>
  <c r="P188" i="18" s="1"/>
  <c r="P189" i="18" a="1"/>
  <c r="P189" i="18" s="1"/>
  <c r="P190" i="18" a="1"/>
  <c r="P190" i="18" s="1"/>
  <c r="P191" i="18" a="1"/>
  <c r="P191" i="18" s="1"/>
  <c r="P192" i="18" a="1"/>
  <c r="P192" i="18" s="1"/>
  <c r="P193" i="18" a="1"/>
  <c r="P193" i="18" s="1"/>
  <c r="P194" i="18" a="1"/>
  <c r="P194" i="18" s="1"/>
  <c r="P195" i="18" a="1"/>
  <c r="P195" i="18" s="1"/>
  <c r="P196" i="18" a="1"/>
  <c r="P196" i="18" s="1"/>
  <c r="P197" i="18" a="1"/>
  <c r="P197" i="18" s="1"/>
  <c r="P198" i="18" a="1"/>
  <c r="P198" i="18" s="1"/>
  <c r="P199" i="18" a="1"/>
  <c r="P199" i="18" s="1"/>
  <c r="P200" i="18" a="1"/>
  <c r="P200" i="18" s="1"/>
  <c r="P201" i="18" a="1"/>
  <c r="P201" i="18" s="1"/>
  <c r="P202" i="18" a="1"/>
  <c r="P202" i="18" s="1"/>
  <c r="P203" i="18" a="1"/>
  <c r="P203" i="18"/>
  <c r="P204" i="18" a="1"/>
  <c r="P204" i="18" s="1"/>
  <c r="P205" i="18" a="1"/>
  <c r="P205" i="18" s="1"/>
  <c r="P206" i="18" a="1"/>
  <c r="P206" i="18" s="1"/>
  <c r="P207" i="18" a="1"/>
  <c r="P207" i="18" s="1"/>
  <c r="P208" i="18" a="1"/>
  <c r="P208" i="18" s="1"/>
  <c r="P209" i="18" a="1"/>
  <c r="P209" i="18" s="1"/>
  <c r="P210" i="18" a="1"/>
  <c r="P210" i="18" s="1"/>
  <c r="P211" i="18" a="1"/>
  <c r="P211" i="18"/>
  <c r="P212" i="18" a="1"/>
  <c r="P212" i="18" s="1"/>
  <c r="P213" i="18" a="1"/>
  <c r="P213" i="18" s="1"/>
  <c r="P214" i="18" a="1"/>
  <c r="P214" i="18" s="1"/>
  <c r="P215" i="18" a="1"/>
  <c r="P215" i="18" s="1"/>
  <c r="P216" i="18" a="1"/>
  <c r="P216" i="18" s="1"/>
  <c r="P217" i="18" a="1"/>
  <c r="P217" i="18" s="1"/>
  <c r="P218" i="18" a="1"/>
  <c r="P218" i="18" s="1"/>
  <c r="P219" i="18" a="1"/>
  <c r="P219" i="18" s="1"/>
  <c r="P220" i="18" a="1"/>
  <c r="P220" i="18" s="1"/>
  <c r="P221" i="18" a="1"/>
  <c r="P221" i="18" s="1"/>
  <c r="P222" i="18" a="1"/>
  <c r="P222" i="18"/>
  <c r="P223" i="18" a="1"/>
  <c r="P223" i="18" s="1"/>
  <c r="P224" i="18" a="1"/>
  <c r="P224" i="18" s="1"/>
  <c r="P225" i="18" a="1"/>
  <c r="P225" i="18" s="1"/>
  <c r="P226" i="18" a="1"/>
  <c r="P226" i="18"/>
  <c r="P227" i="18" a="1"/>
  <c r="P227" i="18" s="1"/>
  <c r="P228" i="18" a="1"/>
  <c r="P228" i="18" s="1"/>
  <c r="P229" i="18" a="1"/>
  <c r="P229" i="18" s="1"/>
  <c r="P230" i="18" a="1"/>
  <c r="P230" i="18" s="1"/>
  <c r="P231" i="18" a="1"/>
  <c r="P231" i="18" s="1"/>
  <c r="P232" i="18" a="1"/>
  <c r="P232" i="18" s="1"/>
  <c r="P233" i="18" a="1"/>
  <c r="P233" i="18" s="1"/>
  <c r="P234" i="18" a="1"/>
  <c r="P234" i="18"/>
  <c r="P235" i="18" a="1"/>
  <c r="P235" i="18" s="1"/>
  <c r="P236" i="18" a="1"/>
  <c r="P236" i="18" s="1"/>
  <c r="P237" i="18" a="1"/>
  <c r="P237" i="18" s="1"/>
  <c r="P238" i="18" a="1"/>
  <c r="P238" i="18" s="1"/>
  <c r="P239" i="18" a="1"/>
  <c r="P239" i="18" s="1"/>
  <c r="P240" i="18" a="1"/>
  <c r="P240" i="18" s="1"/>
  <c r="P241" i="18" a="1"/>
  <c r="P241" i="18" s="1"/>
  <c r="P242" i="18" a="1"/>
  <c r="P242" i="18" s="1"/>
  <c r="P243" i="18" a="1"/>
  <c r="P243" i="18" s="1"/>
  <c r="P244" i="18" a="1"/>
  <c r="P244" i="18" s="1"/>
  <c r="P245" i="18" a="1"/>
  <c r="P245" i="18"/>
  <c r="P246" i="18" a="1"/>
  <c r="P246" i="18" s="1"/>
  <c r="P247" i="18" a="1"/>
  <c r="P247" i="18" s="1"/>
  <c r="P248" i="18" a="1"/>
  <c r="P248" i="18" s="1"/>
  <c r="P249" i="18" a="1"/>
  <c r="P249" i="18" s="1"/>
  <c r="P250" i="18" a="1"/>
  <c r="P250" i="18" s="1"/>
  <c r="P251" i="18" a="1"/>
  <c r="P251" i="18" s="1"/>
  <c r="P252" i="18" a="1"/>
  <c r="P252" i="18" s="1"/>
  <c r="P253" i="18" a="1"/>
  <c r="P253" i="18" s="1"/>
  <c r="P254" i="18" a="1"/>
  <c r="P254" i="18"/>
  <c r="P255" i="18" a="1"/>
  <c r="P255" i="18" s="1"/>
  <c r="P256" i="18" a="1"/>
  <c r="P256" i="18" s="1"/>
  <c r="P257" i="18" a="1"/>
  <c r="P257" i="18"/>
  <c r="P258" i="18" a="1"/>
  <c r="P258" i="18" s="1"/>
  <c r="P259" i="18" a="1"/>
  <c r="P259" i="18" s="1"/>
  <c r="P260" i="18" a="1"/>
  <c r="P260" i="18" s="1"/>
  <c r="P261" i="18" a="1"/>
  <c r="P261" i="18" s="1"/>
  <c r="P262" i="18" a="1"/>
  <c r="P262" i="18" s="1"/>
  <c r="P263" i="18" a="1"/>
  <c r="P263" i="18" s="1"/>
  <c r="P264" i="18" a="1"/>
  <c r="P264" i="18" s="1"/>
  <c r="P265" i="18" a="1"/>
  <c r="P265" i="18" s="1"/>
  <c r="P266" i="18" a="1"/>
  <c r="P266" i="18"/>
  <c r="P267" i="18" a="1"/>
  <c r="P267" i="18" s="1"/>
  <c r="P268" i="18" a="1"/>
  <c r="P268" i="18" s="1"/>
  <c r="P269" i="18" a="1"/>
  <c r="P269" i="18"/>
  <c r="P270" i="18" a="1"/>
  <c r="P270" i="18" s="1"/>
  <c r="P271" i="18" a="1"/>
  <c r="P271" i="18" s="1"/>
  <c r="P272" i="18" a="1"/>
  <c r="P272" i="18" s="1"/>
  <c r="P273" i="18" a="1"/>
  <c r="P273" i="18" s="1"/>
  <c r="P274" i="18" a="1"/>
  <c r="P274" i="18" s="1"/>
  <c r="P275" i="18" a="1"/>
  <c r="P275" i="18"/>
  <c r="P276" i="18" a="1"/>
  <c r="P276" i="18" s="1"/>
  <c r="P277" i="18" a="1"/>
  <c r="P277" i="18" s="1"/>
  <c r="P278" i="18" a="1"/>
  <c r="P278" i="18"/>
  <c r="P279" i="18" a="1"/>
  <c r="P279" i="18" s="1"/>
  <c r="P280" i="18" a="1"/>
  <c r="P280" i="18" s="1"/>
  <c r="P281" i="18" a="1"/>
  <c r="P281" i="18" s="1"/>
  <c r="P282" i="18" a="1"/>
  <c r="P282" i="18" s="1"/>
  <c r="P283" i="18" a="1"/>
  <c r="P283" i="18" s="1"/>
  <c r="P284" i="18" a="1"/>
  <c r="P284" i="18" s="1"/>
  <c r="P285" i="18" a="1"/>
  <c r="P285" i="18" s="1"/>
  <c r="P286" i="18" a="1"/>
  <c r="P286" i="18" s="1"/>
  <c r="P287" i="18" a="1"/>
  <c r="P287" i="18"/>
  <c r="P288" i="18" a="1"/>
  <c r="P288" i="18" s="1"/>
  <c r="P289" i="18" a="1"/>
  <c r="P289" i="18" s="1"/>
  <c r="P290" i="18" a="1"/>
  <c r="P290" i="18"/>
  <c r="P291" i="18" a="1"/>
  <c r="P291" i="18" s="1"/>
  <c r="P292" i="18" a="1"/>
  <c r="P292" i="18" s="1"/>
  <c r="P293" i="18" a="1"/>
  <c r="P293" i="18" s="1"/>
  <c r="P294" i="18" a="1"/>
  <c r="P294" i="18" s="1"/>
  <c r="P295" i="18" a="1"/>
  <c r="P295" i="18" s="1"/>
  <c r="P296" i="18" a="1"/>
  <c r="P296" i="18" s="1"/>
  <c r="P297" i="18" a="1"/>
  <c r="P297" i="18" s="1"/>
  <c r="P298" i="18" a="1"/>
  <c r="P298" i="18" s="1"/>
  <c r="P299" i="18" a="1"/>
  <c r="P299" i="18"/>
  <c r="P300" i="18" a="1"/>
  <c r="P300" i="18" s="1"/>
  <c r="P301" i="18" a="1"/>
  <c r="P301" i="18" s="1"/>
  <c r="P302" i="18" a="1"/>
  <c r="P302" i="18" s="1"/>
  <c r="P303" i="18" a="1"/>
  <c r="P303" i="18" s="1"/>
  <c r="P304" i="18" a="1"/>
  <c r="P304" i="18" s="1"/>
  <c r="P305" i="18" a="1"/>
  <c r="P305" i="18" s="1"/>
  <c r="P306" i="18" a="1"/>
  <c r="P306" i="18" s="1"/>
  <c r="P307" i="18" a="1"/>
  <c r="P307" i="18"/>
  <c r="P308" i="18" a="1"/>
  <c r="P308" i="18" s="1"/>
  <c r="P309" i="18" a="1"/>
  <c r="P309" i="18" s="1"/>
  <c r="P310" i="18" a="1"/>
  <c r="P310" i="18" s="1"/>
  <c r="P311" i="18" a="1"/>
  <c r="P311" i="18" s="1"/>
  <c r="P312" i="18" a="1"/>
  <c r="P312" i="18" s="1"/>
  <c r="P313" i="18" a="1"/>
  <c r="P313" i="18"/>
  <c r="P314" i="18" a="1"/>
  <c r="P314" i="18" s="1"/>
  <c r="P315" i="18" a="1"/>
  <c r="P315" i="18" s="1"/>
  <c r="P316" i="18" a="1"/>
  <c r="P316" i="18" s="1"/>
  <c r="P317" i="18" a="1"/>
  <c r="P317" i="18" s="1"/>
  <c r="P318" i="18" a="1"/>
  <c r="P318" i="18" s="1"/>
  <c r="P319" i="18" a="1"/>
  <c r="P319" i="18"/>
  <c r="P320" i="18" a="1"/>
  <c r="P320" i="18" s="1"/>
  <c r="P321" i="18" a="1"/>
  <c r="P321" i="18" s="1"/>
  <c r="P322" i="18" a="1"/>
  <c r="P322" i="18" s="1"/>
  <c r="P323" i="18" a="1"/>
  <c r="P323" i="18" s="1"/>
  <c r="P324" i="18" a="1"/>
  <c r="P324" i="18" s="1"/>
  <c r="P325" i="18" a="1"/>
  <c r="P325" i="18" s="1"/>
  <c r="P326" i="18" a="1"/>
  <c r="P326" i="18" s="1"/>
  <c r="P327" i="18" a="1"/>
  <c r="P327" i="18" s="1"/>
  <c r="P328" i="18" a="1"/>
  <c r="P328" i="18" s="1"/>
  <c r="P329" i="18" a="1"/>
  <c r="P329" i="18" s="1"/>
  <c r="P330" i="18" a="1"/>
  <c r="P330" i="18" s="1"/>
  <c r="P331" i="18" a="1"/>
  <c r="P331" i="18" s="1"/>
  <c r="P332" i="18" a="1"/>
  <c r="P332" i="18" s="1"/>
  <c r="P333" i="18" a="1"/>
  <c r="P333" i="18" s="1"/>
  <c r="P334" i="18" a="1"/>
  <c r="P334" i="18" s="1"/>
  <c r="P335" i="18" a="1"/>
  <c r="P335" i="18" s="1"/>
  <c r="P336" i="18" a="1"/>
  <c r="P336" i="18" s="1"/>
  <c r="P337" i="18" a="1"/>
  <c r="P337" i="18" s="1"/>
  <c r="P338" i="18" a="1"/>
  <c r="P338" i="18" s="1"/>
  <c r="P339" i="18" a="1"/>
  <c r="P339" i="18" s="1"/>
  <c r="P340" i="18" a="1"/>
  <c r="P340" i="18" s="1"/>
  <c r="P341" i="18" a="1"/>
  <c r="P341" i="18" s="1"/>
  <c r="P342" i="18" a="1"/>
  <c r="P342" i="18" s="1"/>
  <c r="P343" i="18" a="1"/>
  <c r="P343" i="18" s="1"/>
  <c r="P344" i="18" a="1"/>
  <c r="P344" i="18" s="1"/>
  <c r="P345" i="18" a="1"/>
  <c r="P345" i="18" s="1"/>
  <c r="P346" i="18" a="1"/>
  <c r="P346" i="18" s="1"/>
  <c r="P347" i="18" a="1"/>
  <c r="P347" i="18" s="1"/>
  <c r="P348" i="18" a="1"/>
  <c r="P348" i="18" s="1"/>
  <c r="P349" i="18" a="1"/>
  <c r="P349" i="18" s="1"/>
  <c r="P350" i="18" a="1"/>
  <c r="P350" i="18" s="1"/>
  <c r="P351" i="18" a="1"/>
  <c r="P351" i="18"/>
  <c r="P352" i="18" a="1"/>
  <c r="P352" i="18" s="1"/>
  <c r="P353" i="18" a="1"/>
  <c r="P353" i="18"/>
  <c r="P354" i="18" a="1"/>
  <c r="P354" i="18" s="1"/>
  <c r="P355" i="18" a="1"/>
  <c r="P355" i="18" s="1"/>
  <c r="P356" i="18" a="1"/>
  <c r="P356" i="18" s="1"/>
  <c r="P357" i="18" a="1"/>
  <c r="P357" i="18" s="1"/>
  <c r="P358" i="18" a="1"/>
  <c r="P358" i="18" s="1"/>
  <c r="P359" i="18" a="1"/>
  <c r="P359" i="18" s="1"/>
  <c r="P360" i="18" a="1"/>
  <c r="P360" i="18" s="1"/>
  <c r="P361" i="18" a="1"/>
  <c r="P361" i="18" s="1"/>
  <c r="P362" i="18" a="1"/>
  <c r="P362" i="18"/>
  <c r="P363" i="18" a="1"/>
  <c r="P363" i="18"/>
  <c r="P364" i="18" a="1"/>
  <c r="P364" i="18" s="1"/>
  <c r="P365" i="18" a="1"/>
  <c r="P365" i="18"/>
  <c r="P366" i="18" a="1"/>
  <c r="P366" i="18" s="1"/>
  <c r="P367" i="18" a="1"/>
  <c r="P367" i="18" s="1"/>
  <c r="P368" i="18" a="1"/>
  <c r="P368" i="18" s="1"/>
  <c r="P369" i="18" a="1"/>
  <c r="P369" i="18" s="1"/>
  <c r="P370" i="18" a="1"/>
  <c r="P370" i="18" s="1"/>
  <c r="P371" i="18" a="1"/>
  <c r="P371" i="18" s="1"/>
  <c r="P372" i="18" a="1"/>
  <c r="P372" i="18" s="1"/>
  <c r="P373" i="18" a="1"/>
  <c r="P373" i="18" s="1"/>
  <c r="P374" i="18" a="1"/>
  <c r="P374" i="18"/>
  <c r="P375" i="18" a="1"/>
  <c r="P375" i="18" s="1"/>
  <c r="P376" i="18" a="1"/>
  <c r="P376" i="18" s="1"/>
  <c r="P377" i="18" a="1"/>
  <c r="P377" i="18" s="1"/>
  <c r="P378" i="18" a="1"/>
  <c r="P378" i="18" s="1"/>
  <c r="P379" i="18" a="1"/>
  <c r="P379" i="18" s="1"/>
  <c r="P380" i="18" a="1"/>
  <c r="P380" i="18" s="1"/>
  <c r="P381" i="18" a="1"/>
  <c r="P381" i="18" s="1"/>
  <c r="P382" i="18" a="1"/>
  <c r="P382" i="18" s="1"/>
  <c r="P383" i="18" a="1"/>
  <c r="P383" i="18"/>
  <c r="P384" i="18" a="1"/>
  <c r="P384" i="18" s="1"/>
  <c r="P385" i="18" a="1"/>
  <c r="P385" i="18" s="1"/>
  <c r="P386" i="18" a="1"/>
  <c r="P386" i="18"/>
  <c r="P387" i="18" a="1"/>
  <c r="P387" i="18" s="1"/>
  <c r="P388" i="18" a="1"/>
  <c r="P388" i="18" s="1"/>
  <c r="P389" i="18" a="1"/>
  <c r="P389" i="18" s="1"/>
  <c r="P390" i="18" a="1"/>
  <c r="P390" i="18" s="1"/>
  <c r="P391" i="18" a="1"/>
  <c r="P391" i="18" s="1"/>
  <c r="P392" i="18" a="1"/>
  <c r="P392" i="18" s="1"/>
  <c r="P393" i="18" a="1"/>
  <c r="P393" i="18" s="1"/>
  <c r="P394" i="18" a="1"/>
  <c r="P394" i="18"/>
  <c r="P395" i="18" a="1"/>
  <c r="P395" i="18"/>
  <c r="P396" i="18" a="1"/>
  <c r="P396" i="18" s="1"/>
  <c r="P397" i="18" a="1"/>
  <c r="P397" i="18" s="1"/>
  <c r="P398" i="18" a="1"/>
  <c r="P398" i="18" s="1"/>
  <c r="P399" i="18" a="1"/>
  <c r="P399" i="18" s="1"/>
  <c r="P400" i="18" a="1"/>
  <c r="P400" i="18" s="1"/>
  <c r="P401" i="18" a="1"/>
  <c r="P401" i="18" s="1"/>
  <c r="P402" i="18" a="1"/>
  <c r="P402" i="18" s="1"/>
  <c r="P403" i="18" a="1"/>
  <c r="P403" i="18"/>
  <c r="P404" i="18" a="1"/>
  <c r="P404" i="18" s="1"/>
  <c r="P405" i="18" a="1"/>
  <c r="P405" i="18"/>
  <c r="P406" i="18" a="1"/>
  <c r="P406" i="18"/>
  <c r="P407" i="18" a="1"/>
  <c r="P407" i="18" s="1"/>
  <c r="P408" i="18" a="1"/>
  <c r="P408" i="18" s="1"/>
  <c r="P409" i="18" a="1"/>
  <c r="P409" i="18" s="1"/>
  <c r="P410" i="18" a="1"/>
  <c r="P410" i="18" s="1"/>
  <c r="P411" i="18" a="1"/>
  <c r="P411" i="18" s="1"/>
  <c r="P412" i="18" a="1"/>
  <c r="P412" i="18" s="1"/>
  <c r="P413" i="18" a="1"/>
  <c r="P413" i="18" s="1"/>
  <c r="P414" i="18" a="1"/>
  <c r="P414" i="18" s="1"/>
  <c r="P415" i="18" a="1"/>
  <c r="P415" i="18" s="1"/>
  <c r="P416" i="18" a="1"/>
  <c r="P416" i="18" s="1"/>
  <c r="P417" i="18" a="1"/>
  <c r="P417" i="18"/>
  <c r="P418" i="18" a="1"/>
  <c r="P418" i="18"/>
  <c r="P419" i="18" a="1"/>
  <c r="P419" i="18" s="1"/>
  <c r="P420" i="18" a="1"/>
  <c r="P420" i="18" s="1"/>
  <c r="P421" i="18" a="1"/>
  <c r="P421" i="18" s="1"/>
  <c r="P422" i="18" a="1"/>
  <c r="P422" i="18" s="1"/>
  <c r="P423" i="18" a="1"/>
  <c r="P423" i="18" s="1"/>
  <c r="P424" i="18" a="1"/>
  <c r="P424" i="18" s="1"/>
  <c r="P425" i="18" a="1"/>
  <c r="P425" i="18" s="1"/>
  <c r="P426" i="18" a="1"/>
  <c r="P426" i="18"/>
  <c r="P427" i="18" a="1"/>
  <c r="P427" i="18" s="1"/>
  <c r="P428" i="18" a="1"/>
  <c r="P428" i="18" s="1"/>
  <c r="P429" i="18" a="1"/>
  <c r="P429" i="18" s="1"/>
  <c r="P430" i="18" a="1"/>
  <c r="P430" i="18" s="1"/>
  <c r="P431" i="18" a="1"/>
  <c r="P431" i="18" s="1"/>
  <c r="P432" i="18" a="1"/>
  <c r="P432" i="18"/>
  <c r="P433" i="18" a="1"/>
  <c r="P433" i="18" s="1"/>
  <c r="P434" i="18" a="1"/>
  <c r="P434" i="18"/>
  <c r="P435" i="18" a="1"/>
  <c r="P435" i="18" s="1"/>
  <c r="P436" i="18" a="1"/>
  <c r="P436" i="18" s="1"/>
  <c r="P437" i="18" a="1"/>
  <c r="P437" i="18" s="1"/>
  <c r="P438" i="18" a="1"/>
  <c r="P438" i="18" s="1"/>
  <c r="P439" i="18" a="1"/>
  <c r="P439" i="18" s="1"/>
  <c r="P440" i="18" a="1"/>
  <c r="P440" i="18" s="1"/>
  <c r="P441" i="18" a="1"/>
  <c r="P441" i="18"/>
  <c r="P442" i="18" a="1"/>
  <c r="P442" i="18" s="1"/>
  <c r="P443" i="18" a="1"/>
  <c r="P443" i="18" s="1"/>
  <c r="P444" i="18" a="1"/>
  <c r="P444" i="18" s="1"/>
  <c r="P445" i="18" a="1"/>
  <c r="P445" i="18"/>
  <c r="P446" i="18" a="1"/>
  <c r="P446" i="18" s="1"/>
  <c r="P447" i="18" a="1"/>
  <c r="P447" i="18" s="1"/>
  <c r="P448" i="18" a="1"/>
  <c r="P448" i="18" s="1"/>
  <c r="P449" i="18" a="1"/>
  <c r="P449" i="18" s="1"/>
  <c r="P450" i="18" a="1"/>
  <c r="P450" i="18" s="1"/>
  <c r="P451" i="18" a="1"/>
  <c r="P451" i="18" s="1"/>
  <c r="P452" i="18" a="1"/>
  <c r="P452" i="18" s="1"/>
  <c r="P453" i="18" a="1"/>
  <c r="P453" i="18" s="1"/>
  <c r="P454" i="18" a="1"/>
  <c r="P454" i="18" s="1"/>
  <c r="P455" i="18" a="1"/>
  <c r="P455" i="18" s="1"/>
  <c r="P456" i="18" a="1"/>
  <c r="P456" i="18" s="1"/>
  <c r="P457" i="18" a="1"/>
  <c r="P457" i="18"/>
  <c r="P458" i="18" a="1"/>
  <c r="P458" i="18" s="1"/>
  <c r="P459" i="18" a="1"/>
  <c r="P459" i="18" s="1"/>
  <c r="P460" i="18" a="1"/>
  <c r="P460" i="18" s="1"/>
  <c r="P461" i="18" a="1"/>
  <c r="P461" i="18" s="1"/>
  <c r="P462" i="18" a="1"/>
  <c r="P462" i="18" s="1"/>
  <c r="P463" i="18" a="1"/>
  <c r="P463" i="18" s="1"/>
  <c r="P464" i="18" a="1"/>
  <c r="P464" i="18" s="1"/>
  <c r="P465" i="18" a="1"/>
  <c r="P465" i="18" s="1"/>
  <c r="P466" i="18" a="1"/>
  <c r="P466" i="18"/>
  <c r="P467" i="18" a="1"/>
  <c r="P467" i="18" s="1"/>
  <c r="P468" i="18" a="1"/>
  <c r="P468" i="18"/>
  <c r="P469" i="18" a="1"/>
  <c r="P469" i="18" s="1"/>
  <c r="P470" i="18" a="1"/>
  <c r="P470" i="18" s="1"/>
  <c r="P471" i="18" a="1"/>
  <c r="P471" i="18" s="1"/>
  <c r="P472" i="18" a="1"/>
  <c r="P472" i="18" s="1"/>
  <c r="P473" i="18" a="1"/>
  <c r="P473" i="18" s="1"/>
  <c r="P474" i="18" a="1"/>
  <c r="P474" i="18"/>
  <c r="P475" i="18" a="1"/>
  <c r="P475" i="18" s="1"/>
  <c r="P476" i="18" a="1"/>
  <c r="P476" i="18" s="1"/>
  <c r="P477" i="18" a="1"/>
  <c r="P477" i="18" s="1"/>
  <c r="P478" i="18" a="1"/>
  <c r="P478" i="18" s="1"/>
  <c r="P479" i="18" a="1"/>
  <c r="P479" i="18" s="1"/>
  <c r="P480" i="18" a="1"/>
  <c r="P480" i="18"/>
  <c r="P481" i="18" a="1"/>
  <c r="P481" i="18" s="1"/>
  <c r="P482" i="18" a="1"/>
  <c r="P482" i="18" s="1"/>
  <c r="P483" i="18" a="1"/>
  <c r="P483" i="18" s="1"/>
  <c r="P484" i="18" a="1"/>
  <c r="P484" i="18" s="1"/>
  <c r="P485" i="18" a="1"/>
  <c r="P485" i="18" s="1"/>
  <c r="P486" i="18" a="1"/>
  <c r="P486" i="18"/>
  <c r="P487" i="18" a="1"/>
  <c r="P487" i="18" s="1"/>
  <c r="P488" i="18" a="1"/>
  <c r="P488" i="18" s="1"/>
  <c r="P489" i="18" a="1"/>
  <c r="P489" i="18"/>
  <c r="P490" i="18" a="1"/>
  <c r="P490" i="18" s="1"/>
  <c r="P491" i="18" a="1"/>
  <c r="P491" i="18" s="1"/>
  <c r="P492" i="18" a="1"/>
  <c r="P492" i="18" s="1"/>
  <c r="P493" i="18" a="1"/>
  <c r="P493" i="18" s="1"/>
  <c r="P494" i="18" a="1"/>
  <c r="P494" i="18" s="1"/>
  <c r="P495" i="18" a="1"/>
  <c r="P495" i="18" s="1"/>
  <c r="P496" i="18" a="1"/>
  <c r="P496" i="18"/>
  <c r="P497" i="18" a="1"/>
  <c r="P497" i="18" s="1"/>
  <c r="P498" i="18" a="1"/>
  <c r="P498" i="18"/>
  <c r="P499" i="18" a="1"/>
  <c r="P499" i="18" s="1"/>
  <c r="P500" i="18" a="1"/>
  <c r="P500" i="18" s="1"/>
  <c r="P501" i="18" a="1"/>
  <c r="P501" i="18" s="1"/>
  <c r="P502" i="18" a="1"/>
  <c r="P502" i="18" s="1"/>
  <c r="P503" i="18" a="1"/>
  <c r="P503" i="18" s="1"/>
  <c r="P504" i="18" a="1"/>
  <c r="P504" i="18" s="1"/>
  <c r="P505" i="18" a="1"/>
  <c r="P505" i="18"/>
  <c r="P506" i="18" a="1"/>
  <c r="P506" i="18" s="1"/>
  <c r="P507" i="18" a="1"/>
  <c r="P507" i="18" s="1"/>
  <c r="P508" i="18" a="1"/>
  <c r="P508" i="18" s="1"/>
  <c r="P509" i="18" a="1"/>
  <c r="P509" i="18"/>
  <c r="P510" i="18" a="1"/>
  <c r="P510" i="18" s="1"/>
  <c r="P511" i="18" a="1"/>
  <c r="P511" i="18" s="1"/>
  <c r="P512" i="18" a="1"/>
  <c r="P512" i="18" s="1"/>
  <c r="P513" i="18" a="1"/>
  <c r="P513" i="18" s="1"/>
  <c r="P514" i="18" a="1"/>
  <c r="P514" i="18" s="1"/>
  <c r="P515" i="18" a="1"/>
  <c r="P515" i="18" s="1"/>
  <c r="P516" i="18" a="1"/>
  <c r="P516" i="18" s="1"/>
  <c r="P517" i="18" a="1"/>
  <c r="P517" i="18" s="1"/>
  <c r="P518" i="18" a="1"/>
  <c r="P518" i="18" s="1"/>
  <c r="P519" i="18" a="1"/>
  <c r="P519" i="18" s="1"/>
  <c r="P520" i="18" a="1"/>
  <c r="P520" i="18" s="1"/>
  <c r="P521" i="18" a="1"/>
  <c r="P521" i="18"/>
  <c r="P522" i="18" a="1"/>
  <c r="P522" i="18" s="1"/>
  <c r="P523" i="18" a="1"/>
  <c r="P523" i="18" s="1"/>
  <c r="P524" i="18" a="1"/>
  <c r="P524" i="18" s="1"/>
  <c r="P525" i="18" a="1"/>
  <c r="P525" i="18" s="1"/>
  <c r="P526" i="18" a="1"/>
  <c r="P526" i="18" s="1"/>
  <c r="P527" i="18" a="1"/>
  <c r="P527" i="18" s="1"/>
  <c r="P528" i="18" a="1"/>
  <c r="P528" i="18"/>
  <c r="P529" i="18" a="1"/>
  <c r="P529" i="18" s="1"/>
  <c r="P530" i="18" a="1"/>
  <c r="P530" i="18"/>
  <c r="P531" i="18" a="1"/>
  <c r="P531" i="18" s="1"/>
  <c r="P532" i="18" a="1"/>
  <c r="P532" i="18"/>
  <c r="P533" i="18" a="1"/>
  <c r="P533" i="18" s="1"/>
  <c r="P534" i="18" a="1"/>
  <c r="P534" i="18" s="1"/>
  <c r="P535" i="18" a="1"/>
  <c r="P535" i="18" s="1"/>
  <c r="P536" i="18" a="1"/>
  <c r="P536" i="18" s="1"/>
  <c r="P537" i="18" a="1"/>
  <c r="P537" i="18" s="1"/>
  <c r="P538" i="18" a="1"/>
  <c r="P538" i="18"/>
  <c r="P539" i="18" a="1"/>
  <c r="P539" i="18" s="1"/>
  <c r="P540" i="18" a="1"/>
  <c r="P540" i="18" s="1"/>
  <c r="P541" i="18" a="1"/>
  <c r="P541" i="18" s="1"/>
  <c r="P542" i="18" a="1"/>
  <c r="P542" i="18" s="1"/>
  <c r="P543" i="18" a="1"/>
  <c r="P543" i="18" s="1"/>
  <c r="P544" i="18" a="1"/>
  <c r="P544" i="18"/>
  <c r="P545" i="18" a="1"/>
  <c r="P545" i="18" s="1"/>
  <c r="P546" i="18" a="1"/>
  <c r="P546" i="18" s="1"/>
  <c r="P547" i="18" a="1"/>
  <c r="P547" i="18" s="1"/>
  <c r="P548" i="18" a="1"/>
  <c r="P548" i="18" s="1"/>
  <c r="P549" i="18" a="1"/>
  <c r="P549" i="18" s="1"/>
  <c r="P550" i="18" a="1"/>
  <c r="P550" i="18"/>
  <c r="P551" i="18" a="1"/>
  <c r="P551" i="18" s="1"/>
  <c r="P552" i="18" a="1"/>
  <c r="P552" i="18" s="1"/>
  <c r="P553" i="18" a="1"/>
  <c r="P553" i="18" s="1"/>
  <c r="P554" i="18" a="1"/>
  <c r="P554" i="18" s="1"/>
  <c r="P555" i="18" a="1"/>
  <c r="P555" i="18" s="1"/>
  <c r="P556" i="18" a="1"/>
  <c r="P556" i="18" s="1"/>
  <c r="P557" i="18" a="1"/>
  <c r="P557" i="18" s="1"/>
  <c r="P558" i="18" a="1"/>
  <c r="P558" i="18" s="1"/>
  <c r="P559" i="18" a="1"/>
  <c r="P559" i="18" s="1"/>
  <c r="P560" i="18" a="1"/>
  <c r="P560" i="18" s="1"/>
  <c r="P561" i="18" a="1"/>
  <c r="P561" i="18"/>
  <c r="P562" i="18" a="1"/>
  <c r="P562" i="18" s="1"/>
  <c r="P563" i="18" a="1"/>
  <c r="P563" i="18" s="1"/>
  <c r="P564" i="18" a="1"/>
  <c r="P564" i="18" s="1"/>
  <c r="P565" i="18" a="1"/>
  <c r="P565" i="18" s="1"/>
  <c r="P566" i="18" a="1"/>
  <c r="P566" i="18" s="1"/>
  <c r="P567" i="18" a="1"/>
  <c r="P567" i="18" s="1"/>
  <c r="P568" i="18" a="1"/>
  <c r="P568" i="18" s="1"/>
  <c r="P569" i="18" a="1"/>
  <c r="P569" i="18" s="1"/>
  <c r="P570" i="18" a="1"/>
  <c r="P570" i="18"/>
  <c r="P571" i="18" a="1"/>
  <c r="P571" i="18" s="1"/>
  <c r="P572" i="18" a="1"/>
  <c r="P572" i="18" s="1"/>
  <c r="P573" i="18" a="1"/>
  <c r="P573" i="18" s="1"/>
  <c r="P574" i="18" a="1"/>
  <c r="P574" i="18" s="1"/>
  <c r="P575" i="18" a="1"/>
  <c r="P575" i="18" s="1"/>
  <c r="P576" i="18" a="1"/>
  <c r="P576" i="18" s="1"/>
  <c r="P577" i="18" a="1"/>
  <c r="P577" i="18"/>
  <c r="P578" i="18" a="1"/>
  <c r="P578" i="18" s="1"/>
  <c r="P579" i="18" a="1"/>
  <c r="P579" i="18" s="1"/>
  <c r="P580" i="18" a="1"/>
  <c r="P580" i="18"/>
  <c r="P581" i="18" a="1"/>
  <c r="P581" i="18" s="1"/>
  <c r="P582" i="18" a="1"/>
  <c r="P582" i="18" s="1"/>
  <c r="P583" i="18" a="1"/>
  <c r="P583" i="18" s="1"/>
  <c r="P584" i="18" a="1"/>
  <c r="P584" i="18"/>
  <c r="P585" i="18" a="1"/>
  <c r="P585" i="18" s="1"/>
  <c r="P586" i="18" a="1"/>
  <c r="P586" i="18"/>
  <c r="P587" i="18" a="1"/>
  <c r="P587" i="18" s="1"/>
  <c r="P588" i="18" a="1"/>
  <c r="P588" i="18" s="1"/>
  <c r="P589" i="18" a="1"/>
  <c r="P589" i="18"/>
  <c r="P590" i="18" a="1"/>
  <c r="P590" i="18" s="1"/>
  <c r="P591" i="18" a="1"/>
  <c r="P591" i="18" s="1"/>
  <c r="P592" i="18" a="1"/>
  <c r="P592" i="18" s="1"/>
  <c r="P593" i="18" a="1"/>
  <c r="P593" i="18" s="1"/>
  <c r="P594" i="18" a="1"/>
  <c r="P594" i="18" s="1"/>
  <c r="P595" i="18" a="1"/>
  <c r="P595" i="18" s="1"/>
  <c r="P596" i="18" a="1"/>
  <c r="P596" i="18" s="1"/>
  <c r="P597" i="18" a="1"/>
  <c r="P597" i="18" s="1"/>
  <c r="P598" i="18" a="1"/>
  <c r="P598" i="18"/>
  <c r="P599" i="18" a="1"/>
  <c r="P599" i="18" s="1"/>
  <c r="P600" i="18" a="1"/>
  <c r="P600" i="18"/>
  <c r="P601" i="18" a="1"/>
  <c r="P601" i="18" s="1"/>
  <c r="P602" i="18" a="1"/>
  <c r="P602" i="18" s="1"/>
  <c r="P603" i="18" a="1"/>
  <c r="P603" i="18" s="1"/>
  <c r="P604" i="18" a="1"/>
  <c r="P604" i="18"/>
  <c r="P605" i="18" a="1"/>
  <c r="P605" i="18" s="1"/>
  <c r="P606" i="18" a="1"/>
  <c r="P606" i="18" s="1"/>
  <c r="P607" i="18" a="1"/>
  <c r="P607" i="18" s="1"/>
  <c r="P608" i="18" a="1"/>
  <c r="P608" i="18" s="1"/>
  <c r="P609" i="18" a="1"/>
  <c r="P609" i="18" s="1"/>
  <c r="P610" i="18" a="1"/>
  <c r="P610" i="18" s="1"/>
  <c r="P611" i="18" a="1"/>
  <c r="P611" i="18" s="1"/>
  <c r="P612" i="18" a="1"/>
  <c r="P612" i="18"/>
  <c r="P613" i="18" a="1"/>
  <c r="P613" i="18"/>
  <c r="P614" i="18" a="1"/>
  <c r="P614" i="18" s="1"/>
  <c r="P615" i="18" a="1"/>
  <c r="P615" i="18" s="1"/>
  <c r="P616" i="18" a="1"/>
  <c r="P616" i="18" s="1"/>
  <c r="P617" i="18" a="1"/>
  <c r="P617" i="18" s="1"/>
  <c r="P618" i="18" a="1"/>
  <c r="P618" i="18"/>
  <c r="P619" i="18" a="1"/>
  <c r="P619" i="18" s="1"/>
  <c r="P620" i="18" a="1"/>
  <c r="P620" i="18" s="1"/>
  <c r="P621" i="18" a="1"/>
  <c r="P621" i="18"/>
  <c r="P622" i="18" a="1"/>
  <c r="P622" i="18" s="1"/>
  <c r="P623" i="18" a="1"/>
  <c r="P623" i="18" s="1"/>
  <c r="P624" i="18" a="1"/>
  <c r="P624" i="18" s="1"/>
  <c r="P625" i="18" a="1"/>
  <c r="P625" i="18"/>
  <c r="P626" i="18" a="1"/>
  <c r="P626" i="18" s="1"/>
  <c r="P627" i="18" a="1"/>
  <c r="P627" i="18" s="1"/>
  <c r="P628" i="18" a="1"/>
  <c r="P628" i="18" s="1"/>
  <c r="P629" i="18" a="1"/>
  <c r="P629" i="18" s="1"/>
  <c r="P630" i="18" a="1"/>
  <c r="P630" i="18"/>
  <c r="P631" i="18" a="1"/>
  <c r="P631" i="18" s="1"/>
  <c r="P632" i="18" a="1"/>
  <c r="P632" i="18" s="1"/>
  <c r="P633" i="18" a="1"/>
  <c r="P633" i="18" s="1"/>
  <c r="P634" i="18" a="1"/>
  <c r="P634" i="18" s="1"/>
  <c r="P635" i="18" a="1"/>
  <c r="P635" i="18" s="1"/>
  <c r="P636" i="18" a="1"/>
  <c r="P636" i="18" s="1"/>
  <c r="P637" i="18" a="1"/>
  <c r="P637" i="18" s="1"/>
  <c r="P638" i="18" a="1"/>
  <c r="P638" i="18" s="1"/>
  <c r="P639" i="18" a="1"/>
  <c r="P639" i="18" s="1"/>
  <c r="P640" i="18" a="1"/>
  <c r="P640" i="18" s="1"/>
  <c r="P641" i="18" a="1"/>
  <c r="P641" i="18" s="1"/>
  <c r="P642" i="18" a="1"/>
  <c r="P642" i="18" s="1"/>
  <c r="P643" i="18" a="1"/>
  <c r="P643" i="18" s="1"/>
  <c r="P644" i="18" a="1"/>
  <c r="P644" i="18"/>
  <c r="P645" i="18" a="1"/>
  <c r="P645" i="18" s="1"/>
  <c r="P646" i="18" a="1"/>
  <c r="P646" i="18" s="1"/>
  <c r="P647" i="18" a="1"/>
  <c r="P647" i="18" s="1"/>
  <c r="P648" i="18" a="1"/>
  <c r="P648" i="18"/>
  <c r="P649" i="18" a="1"/>
  <c r="P649" i="18" s="1"/>
  <c r="P650" i="18" a="1"/>
  <c r="P650" i="18"/>
  <c r="P651" i="18" a="1"/>
  <c r="P651" i="18" s="1"/>
  <c r="P652" i="18" a="1"/>
  <c r="P652" i="18" s="1"/>
  <c r="P653" i="18" a="1"/>
  <c r="P653" i="18" s="1"/>
  <c r="P654" i="18" a="1"/>
  <c r="P654" i="18" s="1"/>
  <c r="P655" i="18" a="1"/>
  <c r="P655" i="18" s="1"/>
  <c r="P656" i="18" a="1"/>
  <c r="P656" i="18" s="1"/>
  <c r="P657" i="18" a="1"/>
  <c r="P657" i="18" s="1"/>
  <c r="P658" i="18" a="1"/>
  <c r="P658" i="18" s="1"/>
  <c r="P659" i="18" a="1"/>
  <c r="P659" i="18" s="1"/>
  <c r="P660" i="18" a="1"/>
  <c r="P660" i="18" s="1"/>
  <c r="P661" i="18" a="1"/>
  <c r="P661" i="18" s="1"/>
  <c r="P662" i="18" a="1"/>
  <c r="P662" i="18"/>
  <c r="P663" i="18" a="1"/>
  <c r="P663" i="18" s="1"/>
  <c r="P664" i="18" a="1"/>
  <c r="P664" i="18"/>
  <c r="P665" i="18" a="1"/>
  <c r="P665" i="18" s="1"/>
  <c r="P666" i="18" a="1"/>
  <c r="P666" i="18"/>
  <c r="P667" i="18" a="1"/>
  <c r="P667" i="18" s="1"/>
  <c r="P668" i="18" a="1"/>
  <c r="P668" i="18" s="1"/>
  <c r="P669" i="18" a="1"/>
  <c r="P669" i="18" s="1"/>
  <c r="P670" i="18" a="1"/>
  <c r="P670" i="18" s="1"/>
  <c r="P671" i="18" a="1"/>
  <c r="P671" i="18" s="1"/>
  <c r="P672" i="18" a="1"/>
  <c r="P672" i="18" s="1"/>
  <c r="P673" i="18" a="1"/>
  <c r="P673" i="18"/>
  <c r="P674" i="18" a="1"/>
  <c r="P674" i="18" s="1"/>
  <c r="P675" i="18" a="1"/>
  <c r="P675" i="18" s="1"/>
  <c r="P676" i="18" a="1"/>
  <c r="P676" i="18" s="1"/>
  <c r="P677" i="18" a="1"/>
  <c r="P677" i="18" s="1"/>
  <c r="P678" i="18" a="1"/>
  <c r="P678" i="18" s="1"/>
  <c r="P679" i="18" a="1"/>
  <c r="P679" i="18" s="1"/>
  <c r="P680" i="18" a="1"/>
  <c r="P680" i="18"/>
  <c r="P681" i="18" a="1"/>
  <c r="P681" i="18" s="1"/>
  <c r="P682" i="18" a="1"/>
  <c r="P682" i="18"/>
  <c r="P683" i="18" a="1"/>
  <c r="P683" i="18" s="1"/>
  <c r="P684" i="18" a="1"/>
  <c r="P684" i="18" s="1"/>
  <c r="P685" i="18" a="1"/>
  <c r="P685" i="18" s="1"/>
  <c r="P686" i="18" a="1"/>
  <c r="P686" i="18" s="1"/>
  <c r="P687" i="18" a="1"/>
  <c r="P687" i="18" s="1"/>
  <c r="P688" i="18" a="1"/>
  <c r="P688" i="18" s="1"/>
  <c r="P689" i="18" a="1"/>
  <c r="P689" i="18"/>
  <c r="P690" i="18" a="1"/>
  <c r="P690" i="18" s="1"/>
  <c r="P691" i="18" a="1"/>
  <c r="P691" i="18" s="1"/>
  <c r="Q2" i="18" a="1"/>
  <c r="Q2" i="18" s="1"/>
  <c r="R2" i="18" s="1"/>
  <c r="Q3" i="18" a="1"/>
  <c r="Q3" i="18" s="1"/>
  <c r="R3" i="18" s="1"/>
  <c r="Q4" i="18" a="1"/>
  <c r="Q4" i="18" s="1"/>
  <c r="R4" i="18" s="1"/>
  <c r="Q5" i="18" a="1"/>
  <c r="Q5" i="18" s="1"/>
  <c r="Q6" i="18" a="1"/>
  <c r="Q6" i="18" s="1"/>
  <c r="Q7" i="18" a="1"/>
  <c r="Q7" i="18" s="1"/>
  <c r="Q8" i="18" a="1"/>
  <c r="Q8" i="18" s="1"/>
  <c r="R8" i="18" s="1"/>
  <c r="Q9" i="18" a="1"/>
  <c r="Q9" i="18" s="1"/>
  <c r="R9" i="18" s="1"/>
  <c r="Q10" i="18" a="1"/>
  <c r="Q10" i="18" s="1"/>
  <c r="R10" i="18" s="1"/>
  <c r="Q11" i="18" a="1"/>
  <c r="Q11" i="18" s="1"/>
  <c r="Q12" i="18" a="1"/>
  <c r="Q12" i="18" s="1"/>
  <c r="R12" i="18" s="1"/>
  <c r="Q13" i="18" a="1"/>
  <c r="Q13" i="18" s="1"/>
  <c r="R13" i="18" s="1"/>
  <c r="Q14" i="18" a="1"/>
  <c r="Q14" i="18" s="1"/>
  <c r="Q15" i="18" a="1"/>
  <c r="Q15" i="18"/>
  <c r="R15" i="18" s="1"/>
  <c r="Q16" i="18" a="1"/>
  <c r="Q16" i="18" s="1"/>
  <c r="R16" i="18" s="1"/>
  <c r="Q17" i="18" a="1"/>
  <c r="Q17" i="18" s="1"/>
  <c r="Q18" i="18" a="1"/>
  <c r="Q18" i="18" s="1"/>
  <c r="R18" i="18" s="1"/>
  <c r="Q19" i="18" a="1"/>
  <c r="Q19" i="18"/>
  <c r="Q20" i="18" a="1"/>
  <c r="Q20" i="18" s="1"/>
  <c r="R20" i="18" s="1"/>
  <c r="Q21" i="18" a="1"/>
  <c r="Q21" i="18" s="1"/>
  <c r="Q22" i="18" a="1"/>
  <c r="Q22" i="18" s="1"/>
  <c r="R22" i="18" s="1"/>
  <c r="Q23" i="18" a="1"/>
  <c r="Q23" i="18" s="1"/>
  <c r="Q24" i="18" a="1"/>
  <c r="Q24" i="18"/>
  <c r="R24" i="18" s="1"/>
  <c r="Q25" i="18" a="1"/>
  <c r="Q25" i="18" s="1"/>
  <c r="R25" i="18" s="1"/>
  <c r="Q26" i="18" a="1"/>
  <c r="Q26" i="18" s="1"/>
  <c r="Q27" i="18" a="1"/>
  <c r="Q27" i="18" s="1"/>
  <c r="R27" i="18" s="1"/>
  <c r="Q28" i="18" a="1"/>
  <c r="Q28" i="18" s="1"/>
  <c r="R28" i="18" s="1"/>
  <c r="Q29" i="18" a="1"/>
  <c r="Q29" i="18" s="1"/>
  <c r="R29" i="18" s="1"/>
  <c r="Q30" i="18" a="1"/>
  <c r="Q30" i="18" s="1"/>
  <c r="Q31" i="18" a="1"/>
  <c r="Q31" i="18"/>
  <c r="Q32" i="18" a="1"/>
  <c r="Q32" i="18" s="1"/>
  <c r="R32" i="18" s="1"/>
  <c r="Q33" i="18" a="1"/>
  <c r="Q33" i="18" s="1"/>
  <c r="Q34" i="18" a="1"/>
  <c r="Q34" i="18" s="1"/>
  <c r="R34" i="18" s="1"/>
  <c r="Q35" i="18" a="1"/>
  <c r="Q35" i="18" s="1"/>
  <c r="R35" i="18" s="1"/>
  <c r="Q36" i="18" a="1"/>
  <c r="Q36" i="18" s="1"/>
  <c r="R36" i="18" s="1"/>
  <c r="Q37" i="18" a="1"/>
  <c r="Q37" i="18" s="1"/>
  <c r="Q38" i="18" a="1"/>
  <c r="Q38" i="18"/>
  <c r="Q39" i="18" a="1"/>
  <c r="Q39" i="18" s="1"/>
  <c r="Q40" i="18" a="1"/>
  <c r="Q40" i="18"/>
  <c r="R40" i="18" s="1"/>
  <c r="Q41" i="18" a="1"/>
  <c r="Q41" i="18" s="1"/>
  <c r="R41" i="18" s="1"/>
  <c r="Q42" i="18" a="1"/>
  <c r="Q42" i="18" s="1"/>
  <c r="Q43" i="18" a="1"/>
  <c r="Q43" i="18" s="1"/>
  <c r="R43" i="18" s="1"/>
  <c r="Q44" i="18" a="1"/>
  <c r="Q44" i="18" s="1"/>
  <c r="R44" i="18" s="1"/>
  <c r="Q45" i="18" a="1"/>
  <c r="Q45" i="18" s="1"/>
  <c r="Q46" i="18" a="1"/>
  <c r="Q46" i="18" s="1"/>
  <c r="Q47" i="18" a="1"/>
  <c r="Q47" i="18"/>
  <c r="Q48" i="18" a="1"/>
  <c r="Q48" i="18" s="1"/>
  <c r="R48" i="18" s="1"/>
  <c r="Q49" i="18" a="1"/>
  <c r="Q49" i="18" s="1"/>
  <c r="Q50" i="18" a="1"/>
  <c r="Q50" i="18"/>
  <c r="Q51" i="18" a="1"/>
  <c r="Q51" i="18"/>
  <c r="Q52" i="18" a="1"/>
  <c r="Q52" i="18" s="1"/>
  <c r="R52" i="18" s="1"/>
  <c r="Q53" i="18" a="1"/>
  <c r="Q53" i="18" s="1"/>
  <c r="R53" i="18" s="1"/>
  <c r="Q54" i="18" a="1"/>
  <c r="Q54" i="18" s="1"/>
  <c r="Q55" i="18" a="1"/>
  <c r="Q55" i="18" s="1"/>
  <c r="Q56" i="18" a="1"/>
  <c r="Q56" i="18" s="1"/>
  <c r="R56" i="18" s="1"/>
  <c r="Q57" i="18" a="1"/>
  <c r="Q57" i="18" s="1"/>
  <c r="R57" i="18" s="1"/>
  <c r="Q58" i="18" a="1"/>
  <c r="Q58" i="18" s="1"/>
  <c r="Q59" i="18" a="1"/>
  <c r="Q59" i="18" s="1"/>
  <c r="R59" i="18" s="1"/>
  <c r="Q60" i="18" a="1"/>
  <c r="Q60" i="18"/>
  <c r="Q61" i="18" a="1"/>
  <c r="Q61" i="18" s="1"/>
  <c r="R61" i="18" s="1"/>
  <c r="Q62" i="18" a="1"/>
  <c r="Q62" i="18" s="1"/>
  <c r="Q63" i="18" a="1"/>
  <c r="Q63" i="18"/>
  <c r="Q64" i="18" a="1"/>
  <c r="Q64" i="18" s="1"/>
  <c r="R64" i="18" s="1"/>
  <c r="Q65" i="18" a="1"/>
  <c r="Q65" i="18" s="1"/>
  <c r="Q66" i="18" a="1"/>
  <c r="Q66" i="18"/>
  <c r="R66" i="18" s="1"/>
  <c r="Q67" i="18" a="1"/>
  <c r="Q67" i="18" s="1"/>
  <c r="Q68" i="18" a="1"/>
  <c r="Q68" i="18" s="1"/>
  <c r="R68" i="18" s="1"/>
  <c r="Q69" i="18" a="1"/>
  <c r="Q69" i="18" s="1"/>
  <c r="Q70" i="18" a="1"/>
  <c r="Q70" i="18"/>
  <c r="Q71" i="18" a="1"/>
  <c r="Q71" i="18" s="1"/>
  <c r="Q72" i="18" a="1"/>
  <c r="Q72" i="18"/>
  <c r="R72" i="18" s="1"/>
  <c r="Q73" i="18" a="1"/>
  <c r="Q73" i="18" s="1"/>
  <c r="Q74" i="18" a="1"/>
  <c r="Q74" i="18"/>
  <c r="Q75" i="18" a="1"/>
  <c r="Q75" i="18"/>
  <c r="Q76" i="18" a="1"/>
  <c r="Q76" i="18" s="1"/>
  <c r="R76" i="18" s="1"/>
  <c r="Q77" i="18" a="1"/>
  <c r="Q77" i="18" s="1"/>
  <c r="R77" i="18" s="1"/>
  <c r="Q78" i="18" a="1"/>
  <c r="Q78" i="18" s="1"/>
  <c r="Q79" i="18" a="1"/>
  <c r="Q79" i="18" s="1"/>
  <c r="R79" i="18" s="1"/>
  <c r="Q80" i="18" a="1"/>
  <c r="Q80" i="18" s="1"/>
  <c r="R80" i="18" s="1"/>
  <c r="Q81" i="18" a="1"/>
  <c r="Q81" i="18" s="1"/>
  <c r="Q82" i="18" a="1"/>
  <c r="Q82" i="18" s="1"/>
  <c r="R82" i="18" s="1"/>
  <c r="Q83" i="18" a="1"/>
  <c r="Q83" i="18" s="1"/>
  <c r="Q84" i="18" a="1"/>
  <c r="Q84" i="18" s="1"/>
  <c r="R84" i="18" s="1"/>
  <c r="Q85" i="18" a="1"/>
  <c r="Q85" i="18" s="1"/>
  <c r="Q86" i="18" a="1"/>
  <c r="Q86" i="18"/>
  <c r="Q87" i="18" a="1"/>
  <c r="Q87" i="18" s="1"/>
  <c r="Q88" i="18" a="1"/>
  <c r="Q88" i="18"/>
  <c r="R88" i="18" s="1"/>
  <c r="Q89" i="18" a="1"/>
  <c r="Q89" i="18" s="1"/>
  <c r="Q90" i="18" a="1"/>
  <c r="Q90" i="18" s="1"/>
  <c r="R90" i="18" s="1"/>
  <c r="Q91" i="18" a="1"/>
  <c r="Q91" i="18" s="1"/>
  <c r="R91" i="18" s="1"/>
  <c r="Q92" i="18" a="1"/>
  <c r="Q92" i="18"/>
  <c r="Q93" i="18" a="1"/>
  <c r="Q93" i="18" s="1"/>
  <c r="R93" i="18" s="1"/>
  <c r="Q94" i="18" a="1"/>
  <c r="Q94" i="18" s="1"/>
  <c r="Q95" i="18" a="1"/>
  <c r="Q95" i="18" s="1"/>
  <c r="Q96" i="18" a="1"/>
  <c r="Q96" i="18" s="1"/>
  <c r="R96" i="18" s="1"/>
  <c r="Q97" i="18" a="1"/>
  <c r="Q97" i="18" s="1"/>
  <c r="Q98" i="18" a="1"/>
  <c r="Q98" i="18" s="1"/>
  <c r="Q99" i="18" a="1"/>
  <c r="Q99" i="18" s="1"/>
  <c r="Q100" i="18" a="1"/>
  <c r="Q100" i="18"/>
  <c r="R100" i="18" s="1"/>
  <c r="Q101" i="18" a="1"/>
  <c r="Q101" i="18" s="1"/>
  <c r="Q102" i="18" a="1"/>
  <c r="Q102" i="18"/>
  <c r="Q103" i="18" a="1"/>
  <c r="Q103" i="18" s="1"/>
  <c r="Q104" i="18" a="1"/>
  <c r="Q104" i="18"/>
  <c r="R104" i="18" s="1"/>
  <c r="Q105" i="18" a="1"/>
  <c r="Q105" i="18" s="1"/>
  <c r="R105" i="18" s="1"/>
  <c r="Q106" i="18" a="1"/>
  <c r="Q106" i="18"/>
  <c r="Q107" i="18" a="1"/>
  <c r="Q107" i="18" s="1"/>
  <c r="R107" i="18" s="1"/>
  <c r="Q108" i="18" a="1"/>
  <c r="Q108" i="18" s="1"/>
  <c r="R108" i="18" s="1"/>
  <c r="Q109" i="18" a="1"/>
  <c r="Q109" i="18" s="1"/>
  <c r="Q110" i="18" a="1"/>
  <c r="Q110" i="18" s="1"/>
  <c r="Q111" i="18" a="1"/>
  <c r="Q111" i="18" s="1"/>
  <c r="R111" i="18" s="1"/>
  <c r="Q112" i="18" a="1"/>
  <c r="Q112" i="18" s="1"/>
  <c r="R112" i="18" s="1"/>
  <c r="Q113" i="18" a="1"/>
  <c r="Q113" i="18" s="1"/>
  <c r="Q114" i="18" a="1"/>
  <c r="Q114" i="18"/>
  <c r="R114" i="18" s="1"/>
  <c r="Q115" i="18" a="1"/>
  <c r="Q115" i="18" s="1"/>
  <c r="Q116" i="18" a="1"/>
  <c r="Q116" i="18" s="1"/>
  <c r="R116" i="18" s="1"/>
  <c r="Q117" i="18" a="1"/>
  <c r="Q117" i="18" s="1"/>
  <c r="Q118" i="18" a="1"/>
  <c r="Q118" i="18" s="1"/>
  <c r="Q119" i="18" a="1"/>
  <c r="Q119" i="18" s="1"/>
  <c r="Q120" i="18" a="1"/>
  <c r="Q120" i="18" s="1"/>
  <c r="R120" i="18" s="1"/>
  <c r="Q121" i="18" a="1"/>
  <c r="Q121" i="18" s="1"/>
  <c r="R121" i="18" s="1"/>
  <c r="Q122" i="18" a="1"/>
  <c r="Q122" i="18" s="1"/>
  <c r="Q123" i="18" a="1"/>
  <c r="Q123" i="18" s="1"/>
  <c r="R123" i="18" s="1"/>
  <c r="Q124" i="18" a="1"/>
  <c r="Q124" i="18" s="1"/>
  <c r="Q125" i="18" a="1"/>
  <c r="Q125" i="18" s="1"/>
  <c r="Q126" i="18" a="1"/>
  <c r="Q126" i="18" s="1"/>
  <c r="Q127" i="18" a="1"/>
  <c r="Q127" i="18"/>
  <c r="R127" i="18" s="1"/>
  <c r="Q128" i="18" a="1"/>
  <c r="Q128" i="18" s="1"/>
  <c r="R128" i="18" s="1"/>
  <c r="Q129" i="18" a="1"/>
  <c r="Q129" i="18" s="1"/>
  <c r="Q130" i="18" a="1"/>
  <c r="Q130" i="18" s="1"/>
  <c r="R130" i="18" s="1"/>
  <c r="U130" i="18" s="1"/>
  <c r="Q131" i="18" a="1"/>
  <c r="Q131" i="18" s="1"/>
  <c r="Q132" i="18" a="1"/>
  <c r="Q132" i="18" s="1"/>
  <c r="R132" i="18" s="1"/>
  <c r="Q133" i="18" a="1"/>
  <c r="Q133" i="18" s="1"/>
  <c r="Q134" i="18" a="1"/>
  <c r="Q134" i="18"/>
  <c r="Q135" i="18" a="1"/>
  <c r="Q135" i="18" s="1"/>
  <c r="Q136" i="18" a="1"/>
  <c r="Q136" i="18" s="1"/>
  <c r="R136" i="18" s="1"/>
  <c r="Q137" i="18" a="1"/>
  <c r="Q137" i="18" s="1"/>
  <c r="R137" i="18" s="1"/>
  <c r="Q138" i="18" a="1"/>
  <c r="Q138" i="18" s="1"/>
  <c r="Q139" i="18" a="1"/>
  <c r="Q139" i="18" s="1"/>
  <c r="R139" i="18" s="1"/>
  <c r="Q140" i="18" a="1"/>
  <c r="Q140" i="18" s="1"/>
  <c r="R140" i="18" s="1"/>
  <c r="Q141" i="18" a="1"/>
  <c r="Q141" i="18" s="1"/>
  <c r="Q142" i="18" a="1"/>
  <c r="Q142" i="18" s="1"/>
  <c r="Q143" i="18" a="1"/>
  <c r="Q143" i="18"/>
  <c r="Q144" i="18" a="1"/>
  <c r="Q144" i="18" s="1"/>
  <c r="R144" i="18" s="1"/>
  <c r="Q145" i="18" a="1"/>
  <c r="Q145" i="18" s="1"/>
  <c r="Q146" i="18" a="1"/>
  <c r="Q146" i="18" s="1"/>
  <c r="Q147" i="18" a="1"/>
  <c r="Q147" i="18"/>
  <c r="Q148" i="18" a="1"/>
  <c r="Q148" i="18" s="1"/>
  <c r="R148" i="18" s="1"/>
  <c r="Q149" i="18" a="1"/>
  <c r="Q149" i="18" s="1"/>
  <c r="Q150" i="18" a="1"/>
  <c r="Q150" i="18"/>
  <c r="Q151" i="18" a="1"/>
  <c r="Q151" i="18" s="1"/>
  <c r="Q152" i="18" a="1"/>
  <c r="Q152" i="18"/>
  <c r="R152" i="18" s="1"/>
  <c r="Q153" i="18" a="1"/>
  <c r="Q153" i="18" s="1"/>
  <c r="Q154" i="18" a="1"/>
  <c r="Q154" i="18" s="1"/>
  <c r="Q155" i="18" a="1"/>
  <c r="Q155" i="18" s="1"/>
  <c r="R155" i="18" s="1"/>
  <c r="Q156" i="18" a="1"/>
  <c r="Q156" i="18"/>
  <c r="Q157" i="18" a="1"/>
  <c r="Q157" i="18" s="1"/>
  <c r="R157" i="18" s="1"/>
  <c r="Q158" i="18" a="1"/>
  <c r="Q158" i="18" s="1"/>
  <c r="Q159" i="18" a="1"/>
  <c r="Q159" i="18"/>
  <c r="Q160" i="18" a="1"/>
  <c r="Q160" i="18" s="1"/>
  <c r="R160" i="18" s="1"/>
  <c r="Q161" i="18" a="1"/>
  <c r="Q161" i="18" s="1"/>
  <c r="Q162" i="18" a="1"/>
  <c r="Q162" i="18" s="1"/>
  <c r="R162" i="18" s="1"/>
  <c r="Q163" i="18" a="1"/>
  <c r="Q163" i="18" s="1"/>
  <c r="Q164" i="18" a="1"/>
  <c r="Q164" i="18"/>
  <c r="Q165" i="18" a="1"/>
  <c r="Q165" i="18"/>
  <c r="Q166" i="18" a="1"/>
  <c r="Q166" i="18" s="1"/>
  <c r="R166" i="18" s="1"/>
  <c r="Q167" i="18" a="1"/>
  <c r="Q167" i="18" s="1"/>
  <c r="Q168" i="18" a="1"/>
  <c r="Q168" i="18" s="1"/>
  <c r="R168" i="18" s="1"/>
  <c r="Q169" i="18" a="1"/>
  <c r="Q169" i="18" s="1"/>
  <c r="Q170" i="18" a="1"/>
  <c r="Q170" i="18" s="1"/>
  <c r="R170" i="18" s="1"/>
  <c r="Q171" i="18" a="1"/>
  <c r="Q171" i="18" s="1"/>
  <c r="Q172" i="18" a="1"/>
  <c r="Q172" i="18"/>
  <c r="Q173" i="18" a="1"/>
  <c r="Q173" i="18"/>
  <c r="Q174" i="18" a="1"/>
  <c r="Q174" i="18" s="1"/>
  <c r="R174" i="18" s="1"/>
  <c r="Q175" i="18" a="1"/>
  <c r="Q175" i="18" s="1"/>
  <c r="Q176" i="18" a="1"/>
  <c r="Q176" i="18" s="1"/>
  <c r="R176" i="18" s="1"/>
  <c r="Q177" i="18" a="1"/>
  <c r="Q177" i="18"/>
  <c r="Q178" i="18" a="1"/>
  <c r="Q178" i="18" s="1"/>
  <c r="R178" i="18" s="1"/>
  <c r="Q179" i="18" a="1"/>
  <c r="Q179" i="18" s="1"/>
  <c r="R179" i="18" s="1"/>
  <c r="Q180" i="18" a="1"/>
  <c r="Q180" i="18" s="1"/>
  <c r="R180" i="18" s="1"/>
  <c r="Q181" i="18" a="1"/>
  <c r="Q181" i="18"/>
  <c r="Q182" i="18" a="1"/>
  <c r="Q182" i="18" s="1"/>
  <c r="R182" i="18" s="1"/>
  <c r="Q183" i="18" a="1"/>
  <c r="Q183" i="18" s="1"/>
  <c r="Q184" i="18" a="1"/>
  <c r="Q184" i="18" s="1"/>
  <c r="R184" i="18" s="1"/>
  <c r="Q185" i="18" a="1"/>
  <c r="Q185" i="18"/>
  <c r="Q186" i="18" a="1"/>
  <c r="Q186" i="18" s="1"/>
  <c r="R186" i="18" s="1"/>
  <c r="Q187" i="18" a="1"/>
  <c r="Q187" i="18" s="1"/>
  <c r="Q188" i="18" a="1"/>
  <c r="Q188" i="18" s="1"/>
  <c r="R188" i="18" s="1"/>
  <c r="U188" i="18" s="1"/>
  <c r="Q189" i="18" a="1"/>
  <c r="Q189" i="18" s="1"/>
  <c r="Q190" i="18" a="1"/>
  <c r="Q190" i="18"/>
  <c r="Q191" i="18" a="1"/>
  <c r="Q191" i="18" s="1"/>
  <c r="Q192" i="18" a="1"/>
  <c r="Q192" i="18" s="1"/>
  <c r="R192" i="18" s="1"/>
  <c r="Q193" i="18" a="1"/>
  <c r="Q193" i="18" s="1"/>
  <c r="R193" i="18" s="1"/>
  <c r="Q194" i="18" a="1"/>
  <c r="Q194" i="18" s="1"/>
  <c r="R194" i="18" s="1"/>
  <c r="Q195" i="18" a="1"/>
  <c r="Q195" i="18" s="1"/>
  <c r="Q196" i="18" a="1"/>
  <c r="Q196" i="18"/>
  <c r="Q197" i="18" a="1"/>
  <c r="Q197" i="18"/>
  <c r="Q198" i="18" a="1"/>
  <c r="Q198" i="18" s="1"/>
  <c r="R198" i="18" s="1"/>
  <c r="Q199" i="18" a="1"/>
  <c r="Q199" i="18" s="1"/>
  <c r="Q200" i="18" a="1"/>
  <c r="Q200" i="18" s="1"/>
  <c r="R200" i="18" s="1"/>
  <c r="Q201" i="18" a="1"/>
  <c r="Q201" i="18"/>
  <c r="Q202" i="18" a="1"/>
  <c r="Q202" i="18" s="1"/>
  <c r="R202" i="18" s="1"/>
  <c r="Q203" i="18" a="1"/>
  <c r="Q203" i="18" s="1"/>
  <c r="Q204" i="18" a="1"/>
  <c r="Q204" i="18"/>
  <c r="Q205" i="18" a="1"/>
  <c r="Q205" i="18" s="1"/>
  <c r="R205" i="18" s="1"/>
  <c r="Q206" i="18" a="1"/>
  <c r="Q206" i="18"/>
  <c r="R206" i="18" s="1"/>
  <c r="Q207" i="18" a="1"/>
  <c r="Q207" i="18" s="1"/>
  <c r="Q208" i="18" a="1"/>
  <c r="Q208" i="18" s="1"/>
  <c r="R208" i="18" s="1"/>
  <c r="Q209" i="18" a="1"/>
  <c r="Q209" i="18"/>
  <c r="Q210" i="18" a="1"/>
  <c r="Q210" i="18" s="1"/>
  <c r="R210" i="18" s="1"/>
  <c r="Q211" i="18" a="1"/>
  <c r="Q211" i="18" s="1"/>
  <c r="R211" i="18" s="1"/>
  <c r="Q212" i="18" a="1"/>
  <c r="Q212" i="18" s="1"/>
  <c r="R212" i="18" s="1"/>
  <c r="Q213" i="18" a="1"/>
  <c r="Q213" i="18"/>
  <c r="Q214" i="18" a="1"/>
  <c r="Q214" i="18"/>
  <c r="Q215" i="18" a="1"/>
  <c r="Q215" i="18" s="1"/>
  <c r="Q216" i="18" a="1"/>
  <c r="Q216" i="18" s="1"/>
  <c r="R216" i="18" s="1"/>
  <c r="Q217" i="18" a="1"/>
  <c r="Q217" i="18" s="1"/>
  <c r="Q218" i="18" a="1"/>
  <c r="Q218" i="18" s="1"/>
  <c r="Q219" i="18" a="1"/>
  <c r="Q219" i="18" s="1"/>
  <c r="Q220" i="18" a="1"/>
  <c r="Q220" i="18"/>
  <c r="R220" i="18" s="1"/>
  <c r="Q221" i="18" a="1"/>
  <c r="Q221" i="18"/>
  <c r="R221" i="18" s="1"/>
  <c r="Q222" i="18" a="1"/>
  <c r="Q222" i="18" s="1"/>
  <c r="R222" i="18" s="1"/>
  <c r="Q223" i="18" a="1"/>
  <c r="Q223" i="18" s="1"/>
  <c r="Q224" i="18" a="1"/>
  <c r="Q224" i="18" s="1"/>
  <c r="R224" i="18" s="1"/>
  <c r="Q225" i="18" a="1"/>
  <c r="Q225" i="18"/>
  <c r="Q226" i="18" a="1"/>
  <c r="Q226" i="18" s="1"/>
  <c r="R226" i="18" s="1"/>
  <c r="Q227" i="18" a="1"/>
  <c r="Q227" i="18" s="1"/>
  <c r="Q228" i="18" a="1"/>
  <c r="Q228" i="18" s="1"/>
  <c r="R228" i="18" s="1"/>
  <c r="U228" i="18" s="1"/>
  <c r="Q229" i="18" a="1"/>
  <c r="Q229" i="18"/>
  <c r="Q230" i="18" a="1"/>
  <c r="Q230" i="18" s="1"/>
  <c r="R230" i="18" s="1"/>
  <c r="Q231" i="18" a="1"/>
  <c r="Q231" i="18" s="1"/>
  <c r="Q232" i="18" a="1"/>
  <c r="Q232" i="18" s="1"/>
  <c r="R232" i="18" s="1"/>
  <c r="Q233" i="18" a="1"/>
  <c r="Q233" i="18" s="1"/>
  <c r="R233" i="18" s="1"/>
  <c r="Q234" i="18" a="1"/>
  <c r="Q234" i="18" s="1"/>
  <c r="R234" i="18" s="1"/>
  <c r="Q235" i="18" a="1"/>
  <c r="Q235" i="18" s="1"/>
  <c r="Q236" i="18" a="1"/>
  <c r="Q236" i="18" s="1"/>
  <c r="Q237" i="18" a="1"/>
  <c r="Q237" i="18"/>
  <c r="Q238" i="18" a="1"/>
  <c r="Q238" i="18"/>
  <c r="R238" i="18" s="1"/>
  <c r="Q239" i="18" a="1"/>
  <c r="Q239" i="18" s="1"/>
  <c r="R239" i="18" s="1"/>
  <c r="Q240" i="18" a="1"/>
  <c r="Q240" i="18" s="1"/>
  <c r="R240" i="18" s="1"/>
  <c r="Q241" i="18" a="1"/>
  <c r="Q241" i="18" s="1"/>
  <c r="Q242" i="18" a="1"/>
  <c r="Q242" i="18" s="1"/>
  <c r="R242" i="18" s="1"/>
  <c r="Q243" i="18" a="1"/>
  <c r="Q243" i="18" s="1"/>
  <c r="R243" i="18" s="1"/>
  <c r="Q244" i="18" a="1"/>
  <c r="Q244" i="18" s="1"/>
  <c r="R244" i="18" s="1"/>
  <c r="Q245" i="18" a="1"/>
  <c r="Q245" i="18"/>
  <c r="Q246" i="18" a="1"/>
  <c r="Q246" i="18" s="1"/>
  <c r="R246" i="18" s="1"/>
  <c r="Q247" i="18" a="1"/>
  <c r="Q247" i="18" s="1"/>
  <c r="Q248" i="18" a="1"/>
  <c r="Q248" i="18" s="1"/>
  <c r="R248" i="18" s="1"/>
  <c r="Q249" i="18" a="1"/>
  <c r="Q249" i="18"/>
  <c r="R249" i="18" s="1"/>
  <c r="Q250" i="18" a="1"/>
  <c r="Q250" i="18" s="1"/>
  <c r="R250" i="18" s="1"/>
  <c r="Q251" i="18" a="1"/>
  <c r="Q251" i="18" s="1"/>
  <c r="Q252" i="18" a="1"/>
  <c r="Q252" i="18" s="1"/>
  <c r="R252" i="18" s="1"/>
  <c r="U252" i="18" s="1"/>
  <c r="Q253" i="18" a="1"/>
  <c r="Q253" i="18"/>
  <c r="Q254" i="18" a="1"/>
  <c r="Q254" i="18"/>
  <c r="Q255" i="18" a="1"/>
  <c r="Q255" i="18" s="1"/>
  <c r="Q256" i="18" a="1"/>
  <c r="Q256" i="18" s="1"/>
  <c r="R256" i="18" s="1"/>
  <c r="Q257" i="18" a="1"/>
  <c r="Q257" i="18" s="1"/>
  <c r="R257" i="18" s="1"/>
  <c r="Q258" i="18" a="1"/>
  <c r="Q258" i="18" s="1"/>
  <c r="Q259" i="18" a="1"/>
  <c r="Q259" i="18" s="1"/>
  <c r="Q260" i="18" a="1"/>
  <c r="Q260" i="18"/>
  <c r="Q261" i="18" a="1"/>
  <c r="Q261" i="18"/>
  <c r="R261" i="18" s="1"/>
  <c r="Q262" i="18" a="1"/>
  <c r="Q262" i="18" s="1"/>
  <c r="R262" i="18" s="1"/>
  <c r="Q263" i="18" a="1"/>
  <c r="Q263" i="18" s="1"/>
  <c r="Q264" i="18" a="1"/>
  <c r="Q264" i="18" s="1"/>
  <c r="R264" i="18" s="1"/>
  <c r="Q265" i="18" a="1"/>
  <c r="Q265" i="18"/>
  <c r="Q266" i="18" a="1"/>
  <c r="Q266" i="18" s="1"/>
  <c r="R266" i="18" s="1"/>
  <c r="Q267" i="18" a="1"/>
  <c r="Q267" i="18" s="1"/>
  <c r="Q268" i="18" a="1"/>
  <c r="Q268" i="18" s="1"/>
  <c r="R268" i="18" s="1"/>
  <c r="U268" i="18" s="1"/>
  <c r="Q269" i="18" a="1"/>
  <c r="Q269" i="18" s="1"/>
  <c r="Q270" i="18" a="1"/>
  <c r="Q270" i="18"/>
  <c r="R270" i="18" s="1"/>
  <c r="Q271" i="18" a="1"/>
  <c r="Q271" i="18" s="1"/>
  <c r="Q272" i="18" a="1"/>
  <c r="Q272" i="18" s="1"/>
  <c r="R272" i="18" s="1"/>
  <c r="Q273" i="18" a="1"/>
  <c r="Q273" i="18"/>
  <c r="R273" i="18" s="1"/>
  <c r="Q274" i="18" a="1"/>
  <c r="Q274" i="18" s="1"/>
  <c r="R274" i="18" s="1"/>
  <c r="Q275" i="18" a="1"/>
  <c r="Q275" i="18" s="1"/>
  <c r="R275" i="18" s="1"/>
  <c r="Q276" i="18" a="1"/>
  <c r="Q276" i="18" s="1"/>
  <c r="R276" i="18" s="1"/>
  <c r="Q277" i="18" a="1"/>
  <c r="Q277" i="18"/>
  <c r="R277" i="18" s="1"/>
  <c r="Q278" i="18" a="1"/>
  <c r="Q278" i="18" s="1"/>
  <c r="R278" i="18" s="1"/>
  <c r="Q279" i="18" a="1"/>
  <c r="Q279" i="18" s="1"/>
  <c r="Q280" i="18" a="1"/>
  <c r="Q280" i="18" s="1"/>
  <c r="R280" i="18" s="1"/>
  <c r="Q281" i="18" a="1"/>
  <c r="Q281" i="18"/>
  <c r="Q282" i="18" a="1"/>
  <c r="Q282" i="18" s="1"/>
  <c r="Q283" i="18" a="1"/>
  <c r="Q283" i="18" s="1"/>
  <c r="Q284" i="18" a="1"/>
  <c r="Q284" i="18" s="1"/>
  <c r="R284" i="18" s="1"/>
  <c r="U284" i="18" s="1"/>
  <c r="Q285" i="18" a="1"/>
  <c r="Q285" i="18" s="1"/>
  <c r="R285" i="18" s="1"/>
  <c r="Q286" i="18" a="1"/>
  <c r="Q286" i="18"/>
  <c r="Q287" i="18" a="1"/>
  <c r="Q287" i="18" s="1"/>
  <c r="Q288" i="18" a="1"/>
  <c r="Q288" i="18" s="1"/>
  <c r="R288" i="18" s="1"/>
  <c r="Q289" i="18" a="1"/>
  <c r="Q289" i="18" s="1"/>
  <c r="R289" i="18" s="1"/>
  <c r="Q290" i="18" a="1"/>
  <c r="Q290" i="18" s="1"/>
  <c r="R290" i="18" s="1"/>
  <c r="Q291" i="18" a="1"/>
  <c r="Q291" i="18" s="1"/>
  <c r="Q292" i="18" a="1"/>
  <c r="Q292" i="18"/>
  <c r="Q293" i="18" a="1"/>
  <c r="Q293" i="18"/>
  <c r="Q294" i="18" a="1"/>
  <c r="Q294" i="18" s="1"/>
  <c r="R294" i="18" s="1"/>
  <c r="Q295" i="18" a="1"/>
  <c r="Q295" i="18" s="1"/>
  <c r="Q296" i="18" a="1"/>
  <c r="Q296" i="18" s="1"/>
  <c r="R296" i="18" s="1"/>
  <c r="Q297" i="18" a="1"/>
  <c r="Q297" i="18" s="1"/>
  <c r="Q298" i="18" a="1"/>
  <c r="Q298" i="18" s="1"/>
  <c r="R298" i="18" s="1"/>
  <c r="Q299" i="18" a="1"/>
  <c r="Q299" i="18" s="1"/>
  <c r="Q300" i="18" a="1"/>
  <c r="Q300" i="18"/>
  <c r="Q301" i="18" a="1"/>
  <c r="Q301" i="18" s="1"/>
  <c r="R301" i="18" s="1"/>
  <c r="Q302" i="18" a="1"/>
  <c r="Q302" i="18" s="1"/>
  <c r="R302" i="18" s="1"/>
  <c r="Q303" i="18" a="1"/>
  <c r="Q303" i="18" s="1"/>
  <c r="R303" i="18" s="1"/>
  <c r="Q304" i="18" a="1"/>
  <c r="Q304" i="18" s="1"/>
  <c r="R304" i="18" s="1"/>
  <c r="Q305" i="18" a="1"/>
  <c r="Q305" i="18"/>
  <c r="Q306" i="18" a="1"/>
  <c r="Q306" i="18" s="1"/>
  <c r="R306" i="18" s="1"/>
  <c r="Q307" i="18" a="1"/>
  <c r="Q307" i="18" s="1"/>
  <c r="R307" i="18" s="1"/>
  <c r="Q308" i="18" a="1"/>
  <c r="Q308" i="18" s="1"/>
  <c r="R308" i="18" s="1"/>
  <c r="Q309" i="18" a="1"/>
  <c r="Q309" i="18"/>
  <c r="Q310" i="18" a="1"/>
  <c r="Q310" i="18" s="1"/>
  <c r="R310" i="18" s="1"/>
  <c r="U310" i="18" s="1"/>
  <c r="Q311" i="18" a="1"/>
  <c r="Q311" i="18" s="1"/>
  <c r="Q312" i="18" a="1"/>
  <c r="Q312" i="18" s="1"/>
  <c r="R312" i="18" s="1"/>
  <c r="Q313" i="18" a="1"/>
  <c r="Q313" i="18" s="1"/>
  <c r="R313" i="18" s="1"/>
  <c r="Q314" i="18" a="1"/>
  <c r="Q314" i="18" s="1"/>
  <c r="R314" i="18" s="1"/>
  <c r="Q315" i="18" a="1"/>
  <c r="Q315" i="18" s="1"/>
  <c r="Q316" i="18" a="1"/>
  <c r="Q316" i="18" s="1"/>
  <c r="R316" i="18" s="1"/>
  <c r="U316" i="18" s="1"/>
  <c r="Q317" i="18" a="1"/>
  <c r="Q317" i="18"/>
  <c r="Q318" i="18" a="1"/>
  <c r="Q318" i="18" s="1"/>
  <c r="R318" i="18" s="1"/>
  <c r="Q319" i="18" a="1"/>
  <c r="Q319" i="18" s="1"/>
  <c r="Q320" i="18" a="1"/>
  <c r="Q320" i="18" s="1"/>
  <c r="R320" i="18" s="1"/>
  <c r="Q321" i="18" a="1"/>
  <c r="Q321" i="18" s="1"/>
  <c r="R321" i="18" s="1"/>
  <c r="Q322" i="18" a="1"/>
  <c r="Q322" i="18" s="1"/>
  <c r="R322" i="18" s="1"/>
  <c r="Q323" i="18" a="1"/>
  <c r="Q323" i="18" s="1"/>
  <c r="Q324" i="18" a="1"/>
  <c r="Q324" i="18" s="1"/>
  <c r="R324" i="18" s="1"/>
  <c r="U324" i="18" s="1"/>
  <c r="Q325" i="18" a="1"/>
  <c r="Q325" i="18"/>
  <c r="Q326" i="18" a="1"/>
  <c r="Q326" i="18" s="1"/>
  <c r="Q327" i="18" a="1"/>
  <c r="Q327" i="18" s="1"/>
  <c r="Q328" i="18" a="1"/>
  <c r="Q328" i="18" s="1"/>
  <c r="R328" i="18" s="1"/>
  <c r="Q329" i="18" a="1"/>
  <c r="Q329" i="18"/>
  <c r="Q330" i="18" a="1"/>
  <c r="Q330" i="18" s="1"/>
  <c r="R330" i="18" s="1"/>
  <c r="Q331" i="18" a="1"/>
  <c r="Q331" i="18" s="1"/>
  <c r="Q332" i="18" a="1"/>
  <c r="Q332" i="18" s="1"/>
  <c r="R332" i="18" s="1"/>
  <c r="Q333" i="18" a="1"/>
  <c r="Q333" i="18"/>
  <c r="Q334" i="18" a="1"/>
  <c r="Q334" i="18"/>
  <c r="R334" i="18" s="1"/>
  <c r="Q335" i="18" a="1"/>
  <c r="Q335" i="18" s="1"/>
  <c r="Q336" i="18" a="1"/>
  <c r="Q336" i="18" s="1"/>
  <c r="R336" i="18" s="1"/>
  <c r="Q337" i="18" a="1"/>
  <c r="Q337" i="18" s="1"/>
  <c r="R337" i="18" s="1"/>
  <c r="U337" i="18" s="1"/>
  <c r="Q338" i="18" a="1"/>
  <c r="Q338" i="18" s="1"/>
  <c r="R338" i="18" s="1"/>
  <c r="Q339" i="18" a="1"/>
  <c r="Q339" i="18" s="1"/>
  <c r="R339" i="18" s="1"/>
  <c r="Q340" i="18" a="1"/>
  <c r="Q340" i="18" s="1"/>
  <c r="R340" i="18" s="1"/>
  <c r="Q341" i="18" a="1"/>
  <c r="Q341" i="18" s="1"/>
  <c r="R341" i="18" s="1"/>
  <c r="U341" i="18" s="1"/>
  <c r="Q342" i="18" a="1"/>
  <c r="Q342" i="18"/>
  <c r="Q343" i="18" a="1"/>
  <c r="Q343" i="18" s="1"/>
  <c r="Q344" i="18" a="1"/>
  <c r="Q344" i="18" s="1"/>
  <c r="R344" i="18" s="1"/>
  <c r="Q345" i="18" a="1"/>
  <c r="Q345" i="18"/>
  <c r="Q346" i="18" a="1"/>
  <c r="Q346" i="18" s="1"/>
  <c r="R346" i="18" s="1"/>
  <c r="Q347" i="18" a="1"/>
  <c r="Q347" i="18" s="1"/>
  <c r="Q348" i="18" a="1"/>
  <c r="Q348" i="18"/>
  <c r="R348" i="18" s="1"/>
  <c r="Q349" i="18" a="1"/>
  <c r="Q349" i="18" s="1"/>
  <c r="R349" i="18" s="1"/>
  <c r="U349" i="18" s="1"/>
  <c r="Q350" i="18" a="1"/>
  <c r="Q350" i="18"/>
  <c r="Q351" i="18" a="1"/>
  <c r="Q351" i="18" s="1"/>
  <c r="Q352" i="18" a="1"/>
  <c r="Q352" i="18" s="1"/>
  <c r="R352" i="18" s="1"/>
  <c r="Q353" i="18" a="1"/>
  <c r="Q353" i="18"/>
  <c r="Q354" i="18" a="1"/>
  <c r="Q354" i="18" s="1"/>
  <c r="R354" i="18" s="1"/>
  <c r="Q355" i="18" a="1"/>
  <c r="Q355" i="18" s="1"/>
  <c r="Q356" i="18" a="1"/>
  <c r="Q356" i="18"/>
  <c r="Q357" i="18" a="1"/>
  <c r="Q357" i="18" s="1"/>
  <c r="Q358" i="18" a="1"/>
  <c r="Q358" i="18" s="1"/>
  <c r="Q359" i="18" a="1"/>
  <c r="Q359" i="18" s="1"/>
  <c r="R359" i="18" s="1"/>
  <c r="Q360" i="18" a="1"/>
  <c r="Q360" i="18" s="1"/>
  <c r="R360" i="18" s="1"/>
  <c r="Q361" i="18" a="1"/>
  <c r="Q361" i="18"/>
  <c r="Q362" i="18" a="1"/>
  <c r="Q362" i="18" s="1"/>
  <c r="R362" i="18" s="1"/>
  <c r="Q363" i="18" a="1"/>
  <c r="Q363" i="18" s="1"/>
  <c r="Q364" i="18" a="1"/>
  <c r="Q364" i="18" s="1"/>
  <c r="Q365" i="18" a="1"/>
  <c r="Q365" i="18" s="1"/>
  <c r="R365" i="18" s="1"/>
  <c r="U365" i="18" s="1"/>
  <c r="Q366" i="18" a="1"/>
  <c r="Q366" i="18" s="1"/>
  <c r="R366" i="18" s="1"/>
  <c r="Q367" i="18" a="1"/>
  <c r="Q367" i="18" s="1"/>
  <c r="R367" i="18" s="1"/>
  <c r="Q368" i="18" a="1"/>
  <c r="Q368" i="18" s="1"/>
  <c r="R368" i="18" s="1"/>
  <c r="Q369" i="18" a="1"/>
  <c r="Q369" i="18" s="1"/>
  <c r="Q370" i="18" a="1"/>
  <c r="Q370" i="18" s="1"/>
  <c r="Q371" i="18" a="1"/>
  <c r="Q371" i="18" s="1"/>
  <c r="R371" i="18" s="1"/>
  <c r="Q372" i="18" a="1"/>
  <c r="Q372" i="18" s="1"/>
  <c r="R372" i="18" s="1"/>
  <c r="Q373" i="18" a="1"/>
  <c r="Q373" i="18" s="1"/>
  <c r="R373" i="18" s="1"/>
  <c r="Q374" i="18" a="1"/>
  <c r="Q374" i="18"/>
  <c r="Q375" i="18" a="1"/>
  <c r="Q375" i="18" s="1"/>
  <c r="Q376" i="18" a="1"/>
  <c r="Q376" i="18" s="1"/>
  <c r="Q377" i="18" a="1"/>
  <c r="Q377" i="18" s="1"/>
  <c r="R377" i="18" s="1"/>
  <c r="Q378" i="18" a="1"/>
  <c r="Q378" i="18" s="1"/>
  <c r="R378" i="18" s="1"/>
  <c r="Q379" i="18" a="1"/>
  <c r="Q379" i="18" s="1"/>
  <c r="Q380" i="18" a="1"/>
  <c r="Q380" i="18"/>
  <c r="R380" i="18" s="1"/>
  <c r="Q381" i="18" a="1"/>
  <c r="Q381" i="18"/>
  <c r="Q382" i="18" a="1"/>
  <c r="Q382" i="18" s="1"/>
  <c r="R382" i="18" s="1"/>
  <c r="Q383" i="18" a="1"/>
  <c r="Q383" i="18" s="1"/>
  <c r="Q384" i="18" a="1"/>
  <c r="Q384" i="18" s="1"/>
  <c r="R384" i="18" s="1"/>
  <c r="Q385" i="18" a="1"/>
  <c r="Q385" i="18"/>
  <c r="Q386" i="18" a="1"/>
  <c r="Q386" i="18" s="1"/>
  <c r="Q387" i="18" a="1"/>
  <c r="Q387" i="18" s="1"/>
  <c r="Q388" i="18" a="1"/>
  <c r="Q388" i="18" s="1"/>
  <c r="R388" i="18" s="1"/>
  <c r="Q389" i="18" a="1"/>
  <c r="Q389" i="18" s="1"/>
  <c r="R389" i="18" s="1"/>
  <c r="Q390" i="18" a="1"/>
  <c r="Q390" i="18" s="1"/>
  <c r="R390" i="18" s="1"/>
  <c r="Q391" i="18" a="1"/>
  <c r="Q391" i="18" s="1"/>
  <c r="Q392" i="18" a="1"/>
  <c r="Q392" i="18" s="1"/>
  <c r="R392" i="18" s="1"/>
  <c r="Q393" i="18" a="1"/>
  <c r="Q393" i="18"/>
  <c r="Q394" i="18" a="1"/>
  <c r="Q394" i="18" s="1"/>
  <c r="R394" i="18" s="1"/>
  <c r="Q395" i="18" a="1"/>
  <c r="Q395" i="18" s="1"/>
  <c r="Q396" i="18" a="1"/>
  <c r="Q396" i="18"/>
  <c r="Q397" i="18" a="1"/>
  <c r="Q397" i="18" s="1"/>
  <c r="Q398" i="18" a="1"/>
  <c r="Q398" i="18" s="1"/>
  <c r="R398" i="18" s="1"/>
  <c r="Q399" i="18" a="1"/>
  <c r="Q399" i="18" s="1"/>
  <c r="Q400" i="18" a="1"/>
  <c r="Q400" i="18" s="1"/>
  <c r="R400" i="18" s="1"/>
  <c r="Q401" i="18" a="1"/>
  <c r="Q401" i="18" s="1"/>
  <c r="Q402" i="18" a="1"/>
  <c r="Q402" i="18" s="1"/>
  <c r="R402" i="18" s="1"/>
  <c r="Q403" i="18" a="1"/>
  <c r="Q403" i="18" s="1"/>
  <c r="R403" i="18" s="1"/>
  <c r="Q404" i="18" a="1"/>
  <c r="Q404" i="18" s="1"/>
  <c r="R404" i="18" s="1"/>
  <c r="Q405" i="18" a="1"/>
  <c r="Q405" i="18"/>
  <c r="R405" i="18" s="1"/>
  <c r="Q406" i="18" a="1"/>
  <c r="Q406" i="18" s="1"/>
  <c r="Q407" i="18" a="1"/>
  <c r="Q407" i="18" s="1"/>
  <c r="Q408" i="18" a="1"/>
  <c r="Q408" i="18" s="1"/>
  <c r="R408" i="18" s="1"/>
  <c r="Q409" i="18" a="1"/>
  <c r="Q409" i="18"/>
  <c r="Q410" i="18" a="1"/>
  <c r="Q410" i="18" s="1"/>
  <c r="Q411" i="18" a="1"/>
  <c r="Q411" i="18" s="1"/>
  <c r="Q412" i="18" a="1"/>
  <c r="Q412" i="18" s="1"/>
  <c r="R412" i="18" s="1"/>
  <c r="Q413" i="18" a="1"/>
  <c r="Q413" i="18"/>
  <c r="Q414" i="18" a="1"/>
  <c r="Q414" i="18"/>
  <c r="Q415" i="18" a="1"/>
  <c r="Q415" i="18" s="1"/>
  <c r="Q416" i="18" a="1"/>
  <c r="Q416" i="18" s="1"/>
  <c r="R416" i="18" s="1"/>
  <c r="Q417" i="18" a="1"/>
  <c r="Q417" i="18" s="1"/>
  <c r="R417" i="18" s="1"/>
  <c r="Q418" i="18" a="1"/>
  <c r="Q418" i="18" s="1"/>
  <c r="R418" i="18" s="1"/>
  <c r="Q419" i="18" a="1"/>
  <c r="Q419" i="18" s="1"/>
  <c r="Q420" i="18" a="1"/>
  <c r="Q420" i="18"/>
  <c r="Q421" i="18" a="1"/>
  <c r="Q421" i="18"/>
  <c r="Q422" i="18" a="1"/>
  <c r="Q422" i="18" s="1"/>
  <c r="R422" i="18" s="1"/>
  <c r="Q423" i="18" a="1"/>
  <c r="Q423" i="18" s="1"/>
  <c r="Q424" i="18" a="1"/>
  <c r="Q424" i="18" s="1"/>
  <c r="R424" i="18" s="1"/>
  <c r="Q425" i="18" a="1"/>
  <c r="Q425" i="18" s="1"/>
  <c r="Q426" i="18" a="1"/>
  <c r="Q426" i="18" s="1"/>
  <c r="R426" i="18" s="1"/>
  <c r="Q427" i="18" a="1"/>
  <c r="Q427" i="18" s="1"/>
  <c r="Q428" i="18" a="1"/>
  <c r="Q428" i="18"/>
  <c r="Q429" i="18" a="1"/>
  <c r="Q429" i="18" s="1"/>
  <c r="R429" i="18" s="1"/>
  <c r="Q430" i="18" a="1"/>
  <c r="Q430" i="18" s="1"/>
  <c r="Q431" i="18" a="1"/>
  <c r="Q431" i="18" s="1"/>
  <c r="Q432" i="18" a="1"/>
  <c r="Q432" i="18" s="1"/>
  <c r="R432" i="18" s="1"/>
  <c r="Q433" i="18" a="1"/>
  <c r="Q433" i="18" s="1"/>
  <c r="R433" i="18" s="1"/>
  <c r="Q434" i="18" a="1"/>
  <c r="Q434" i="18" s="1"/>
  <c r="R434" i="18" s="1"/>
  <c r="Q435" i="18" a="1"/>
  <c r="Q435" i="18" s="1"/>
  <c r="R435" i="18" s="1"/>
  <c r="Q436" i="18" a="1"/>
  <c r="Q436" i="18" s="1"/>
  <c r="R436" i="18" s="1"/>
  <c r="Q437" i="18" a="1"/>
  <c r="Q437" i="18"/>
  <c r="Q438" i="18" a="1"/>
  <c r="Q438" i="18" s="1"/>
  <c r="R438" i="18" s="1"/>
  <c r="Q439" i="18" a="1"/>
  <c r="Q439" i="18" s="1"/>
  <c r="Q440" i="18" a="1"/>
  <c r="Q440" i="18" s="1"/>
  <c r="R440" i="18" s="1"/>
  <c r="Q441" i="18" a="1"/>
  <c r="Q441" i="18" s="1"/>
  <c r="R441" i="18" s="1"/>
  <c r="Q442" i="18" a="1"/>
  <c r="Q442" i="18" s="1"/>
  <c r="Q443" i="18" a="1"/>
  <c r="Q443" i="18" s="1"/>
  <c r="Q444" i="18" a="1"/>
  <c r="Q444" i="18" s="1"/>
  <c r="R444" i="18" s="1"/>
  <c r="Q445" i="18" a="1"/>
  <c r="Q445" i="18"/>
  <c r="R445" i="18" s="1"/>
  <c r="Q446" i="18" a="1"/>
  <c r="Q446" i="18" s="1"/>
  <c r="R446" i="18" s="1"/>
  <c r="Q447" i="18" a="1"/>
  <c r="Q447" i="18" s="1"/>
  <c r="Q448" i="18" a="1"/>
  <c r="Q448" i="18" s="1"/>
  <c r="R448" i="18" s="1"/>
  <c r="Q449" i="18" a="1"/>
  <c r="Q449" i="18" s="1"/>
  <c r="R449" i="18" s="1"/>
  <c r="U449" i="18" s="1"/>
  <c r="Q450" i="18" a="1"/>
  <c r="Q450" i="18" s="1"/>
  <c r="R450" i="18" s="1"/>
  <c r="Q451" i="18" a="1"/>
  <c r="Q451" i="18" s="1"/>
  <c r="Q452" i="18" a="1"/>
  <c r="Q452" i="18" s="1"/>
  <c r="R452" i="18" s="1"/>
  <c r="Q453" i="18" a="1"/>
  <c r="Q453" i="18"/>
  <c r="Q454" i="18" a="1"/>
  <c r="Q454" i="18" s="1"/>
  <c r="R454" i="18" s="1"/>
  <c r="Q455" i="18" a="1"/>
  <c r="Q455" i="18" s="1"/>
  <c r="Q456" i="18" a="1"/>
  <c r="Q456" i="18" s="1"/>
  <c r="R456" i="18" s="1"/>
  <c r="Q457" i="18" a="1"/>
  <c r="Q457" i="18" s="1"/>
  <c r="R457" i="18" s="1"/>
  <c r="U457" i="18" s="1"/>
  <c r="Q458" i="18" a="1"/>
  <c r="Q458" i="18" s="1"/>
  <c r="Q459" i="18" a="1"/>
  <c r="Q459" i="18" s="1"/>
  <c r="Q460" i="18" a="1"/>
  <c r="Q460" i="18"/>
  <c r="Q461" i="18" a="1"/>
  <c r="Q461" i="18" s="1"/>
  <c r="R461" i="18" s="1"/>
  <c r="Q462" i="18" a="1"/>
  <c r="Q462" i="18" s="1"/>
  <c r="R462" i="18" s="1"/>
  <c r="Q463" i="18" a="1"/>
  <c r="Q463" i="18" s="1"/>
  <c r="Q464" i="18" a="1"/>
  <c r="Q464" i="18" s="1"/>
  <c r="Q465" i="18" a="1"/>
  <c r="Q465" i="18"/>
  <c r="Q466" i="18" a="1"/>
  <c r="Q466" i="18" s="1"/>
  <c r="R466" i="18" s="1"/>
  <c r="Q467" i="18" a="1"/>
  <c r="Q467" i="18" s="1"/>
  <c r="R467" i="18" s="1"/>
  <c r="Q468" i="18" a="1"/>
  <c r="Q468" i="18" s="1"/>
  <c r="R468" i="18" s="1"/>
  <c r="Q469" i="18" a="1"/>
  <c r="Q469" i="18" s="1"/>
  <c r="R469" i="18" s="1"/>
  <c r="Q470" i="18" a="1"/>
  <c r="Q470" i="18"/>
  <c r="Q471" i="18" a="1"/>
  <c r="Q471" i="18" s="1"/>
  <c r="Q472" i="18" a="1"/>
  <c r="Q472" i="18" s="1"/>
  <c r="R472" i="18" s="1"/>
  <c r="Q473" i="18" a="1"/>
  <c r="Q473" i="18"/>
  <c r="Q474" i="18" a="1"/>
  <c r="Q474" i="18" s="1"/>
  <c r="Q475" i="18" a="1"/>
  <c r="Q475" i="18" s="1"/>
  <c r="Q476" i="18" a="1"/>
  <c r="Q476" i="18"/>
  <c r="Q477" i="18" a="1"/>
  <c r="Q477" i="18" s="1"/>
  <c r="R477" i="18" s="1"/>
  <c r="U477" i="18" s="1"/>
  <c r="Q478" i="18" a="1"/>
  <c r="Q478" i="18"/>
  <c r="Q479" i="18" a="1"/>
  <c r="Q479" i="18" s="1"/>
  <c r="Q480" i="18" a="1"/>
  <c r="Q480" i="18" s="1"/>
  <c r="R480" i="18" s="1"/>
  <c r="Q481" i="18" a="1"/>
  <c r="Q481" i="18"/>
  <c r="Q482" i="18" a="1"/>
  <c r="Q482" i="18" s="1"/>
  <c r="Q483" i="18" a="1"/>
  <c r="Q483" i="18" s="1"/>
  <c r="Q484" i="18" a="1"/>
  <c r="Q484" i="18"/>
  <c r="Q485" i="18" a="1"/>
  <c r="Q485" i="18" s="1"/>
  <c r="R485" i="18" s="1"/>
  <c r="Q486" i="18" a="1"/>
  <c r="Q486" i="18" s="1"/>
  <c r="Q487" i="18" a="1"/>
  <c r="Q487" i="18" s="1"/>
  <c r="Q488" i="18" a="1"/>
  <c r="Q488" i="18" s="1"/>
  <c r="R488" i="18" s="1"/>
  <c r="Q489" i="18" a="1"/>
  <c r="Q489" i="18" s="1"/>
  <c r="R489" i="18" s="1"/>
  <c r="Q490" i="18" a="1"/>
  <c r="Q490" i="18" s="1"/>
  <c r="Q491" i="18" a="1"/>
  <c r="Q491" i="18" s="1"/>
  <c r="Q492" i="18" a="1"/>
  <c r="Q492" i="18" s="1"/>
  <c r="Q493" i="18" a="1"/>
  <c r="Q493" i="18"/>
  <c r="Q494" i="18" a="1"/>
  <c r="Q494" i="18" s="1"/>
  <c r="Q495" i="18" a="1"/>
  <c r="Q495" i="18" s="1"/>
  <c r="Q496" i="18" a="1"/>
  <c r="Q496" i="18" s="1"/>
  <c r="R496" i="18" s="1"/>
  <c r="Q497" i="18" a="1"/>
  <c r="Q497" i="18" s="1"/>
  <c r="Q498" i="18" a="1"/>
  <c r="Q498" i="18" s="1"/>
  <c r="Q499" i="18" a="1"/>
  <c r="Q499" i="18" s="1"/>
  <c r="R499" i="18" s="1"/>
  <c r="Q500" i="18" a="1"/>
  <c r="Q500" i="18" s="1"/>
  <c r="R500" i="18" s="1"/>
  <c r="Q501" i="18" a="1"/>
  <c r="Q501" i="18" s="1"/>
  <c r="R501" i="18" s="1"/>
  <c r="Q502" i="18" a="1"/>
  <c r="Q502" i="18"/>
  <c r="Q503" i="18" a="1"/>
  <c r="Q503" i="18" s="1"/>
  <c r="Q504" i="18" a="1"/>
  <c r="Q504" i="18" s="1"/>
  <c r="R504" i="18" s="1"/>
  <c r="Q505" i="18" a="1"/>
  <c r="Q505" i="18"/>
  <c r="Q506" i="18" a="1"/>
  <c r="Q506" i="18" s="1"/>
  <c r="Q507" i="18" a="1"/>
  <c r="Q507" i="18" s="1"/>
  <c r="Q508" i="18" a="1"/>
  <c r="Q508" i="18"/>
  <c r="R508" i="18" s="1"/>
  <c r="Q509" i="18" a="1"/>
  <c r="Q509" i="18"/>
  <c r="Q510" i="18" a="1"/>
  <c r="Q510" i="18"/>
  <c r="Q511" i="18" a="1"/>
  <c r="Q511" i="18" s="1"/>
  <c r="Q512" i="18" a="1"/>
  <c r="Q512" i="18" s="1"/>
  <c r="R512" i="18" s="1"/>
  <c r="Q513" i="18" a="1"/>
  <c r="Q513" i="18"/>
  <c r="Q514" i="18" a="1"/>
  <c r="Q514" i="18" s="1"/>
  <c r="Q515" i="18" a="1"/>
  <c r="Q515" i="18" s="1"/>
  <c r="Q516" i="18" a="1"/>
  <c r="Q516" i="18"/>
  <c r="Q517" i="18" a="1"/>
  <c r="Q517" i="18" s="1"/>
  <c r="Q518" i="18" a="1"/>
  <c r="Q518" i="18" s="1"/>
  <c r="R518" i="18" s="1"/>
  <c r="Q519" i="18" a="1"/>
  <c r="Q519" i="18" s="1"/>
  <c r="Q520" i="18" a="1"/>
  <c r="Q520" i="18" s="1"/>
  <c r="Q521" i="18" a="1"/>
  <c r="Q521" i="18" s="1"/>
  <c r="R521" i="18" s="1"/>
  <c r="Q522" i="18" a="1"/>
  <c r="Q522" i="18" s="1"/>
  <c r="R522" i="18" s="1"/>
  <c r="Q523" i="18" a="1"/>
  <c r="Q523" i="18" s="1"/>
  <c r="Q524" i="18" a="1"/>
  <c r="Q524" i="18" s="1"/>
  <c r="R524" i="18" s="1"/>
  <c r="U524" i="18" s="1"/>
  <c r="Q525" i="18" a="1"/>
  <c r="Q525" i="18" s="1"/>
  <c r="Q526" i="18" a="1"/>
  <c r="Q526" i="18" s="1"/>
  <c r="R526" i="18" s="1"/>
  <c r="Q527" i="18" a="1"/>
  <c r="Q527" i="18" s="1"/>
  <c r="Q528" i="18" a="1"/>
  <c r="Q528" i="18" s="1"/>
  <c r="R528" i="18" s="1"/>
  <c r="Q529" i="18" a="1"/>
  <c r="Q529" i="18" s="1"/>
  <c r="R529" i="18" s="1"/>
  <c r="Q530" i="18" a="1"/>
  <c r="Q530" i="18" s="1"/>
  <c r="Q531" i="18" a="1"/>
  <c r="Q531" i="18" s="1"/>
  <c r="R531" i="18" s="1"/>
  <c r="Q532" i="18" a="1"/>
  <c r="Q532" i="18" s="1"/>
  <c r="R532" i="18" s="1"/>
  <c r="Q533" i="18" a="1"/>
  <c r="Q533" i="18" s="1"/>
  <c r="R533" i="18" s="1"/>
  <c r="Q534" i="18" a="1"/>
  <c r="Q534" i="18"/>
  <c r="Q535" i="18" a="1"/>
  <c r="Q535" i="18" s="1"/>
  <c r="Q536" i="18" a="1"/>
  <c r="Q536" i="18" s="1"/>
  <c r="R536" i="18" s="1"/>
  <c r="Q537" i="18" a="1"/>
  <c r="Q537" i="18"/>
  <c r="Q538" i="18" a="1"/>
  <c r="Q538" i="18" s="1"/>
  <c r="Q539" i="18" a="1"/>
  <c r="Q539" i="18" s="1"/>
  <c r="Q540" i="18" a="1"/>
  <c r="Q540" i="18"/>
  <c r="Q541" i="18" a="1"/>
  <c r="Q541" i="18" s="1"/>
  <c r="R541" i="18" s="1"/>
  <c r="U541" i="18" s="1"/>
  <c r="Q542" i="18" a="1"/>
  <c r="Q542" i="18"/>
  <c r="Q543" i="18" a="1"/>
  <c r="Q543" i="18" s="1"/>
  <c r="Q544" i="18" a="1"/>
  <c r="Q544" i="18" s="1"/>
  <c r="R544" i="18" s="1"/>
  <c r="Q545" i="18" a="1"/>
  <c r="Q545" i="18"/>
  <c r="Q546" i="18" a="1"/>
  <c r="Q546" i="18" s="1"/>
  <c r="Q547" i="18" a="1"/>
  <c r="Q547" i="18" s="1"/>
  <c r="Q548" i="18" a="1"/>
  <c r="Q548" i="18"/>
  <c r="R548" i="18" s="1"/>
  <c r="Q549" i="18" a="1"/>
  <c r="Q549" i="18" s="1"/>
  <c r="R549" i="18" s="1"/>
  <c r="U549" i="18" s="1"/>
  <c r="Q550" i="18" a="1"/>
  <c r="Q550" i="18" s="1"/>
  <c r="R550" i="18" s="1"/>
  <c r="Q551" i="18" a="1"/>
  <c r="Q551" i="18" s="1"/>
  <c r="Q552" i="18" a="1"/>
  <c r="Q552" i="18" s="1"/>
  <c r="R552" i="18" s="1"/>
  <c r="Q553" i="18" a="1"/>
  <c r="Q553" i="18" s="1"/>
  <c r="Q554" i="18" a="1"/>
  <c r="Q554" i="18" s="1"/>
  <c r="Q555" i="18" a="1"/>
  <c r="Q555" i="18" s="1"/>
  <c r="Q556" i="18" a="1"/>
  <c r="Q556" i="18" s="1"/>
  <c r="R556" i="18" s="1"/>
  <c r="Q557" i="18" a="1"/>
  <c r="Q557" i="18"/>
  <c r="Q558" i="18" a="1"/>
  <c r="Q558" i="18" s="1"/>
  <c r="R558" i="18" s="1"/>
  <c r="Q559" i="18" a="1"/>
  <c r="Q559" i="18" s="1"/>
  <c r="Q560" i="18" a="1"/>
  <c r="Q560" i="18" s="1"/>
  <c r="R560" i="18" s="1"/>
  <c r="Q561" i="18" a="1"/>
  <c r="Q561" i="18" s="1"/>
  <c r="R561" i="18" s="1"/>
  <c r="Q562" i="18" a="1"/>
  <c r="Q562" i="18" s="1"/>
  <c r="Q563" i="18" a="1"/>
  <c r="Q563" i="18" s="1"/>
  <c r="R563" i="18" s="1"/>
  <c r="Q564" i="18" a="1"/>
  <c r="Q564" i="18" s="1"/>
  <c r="R564" i="18" s="1"/>
  <c r="Q565" i="18" a="1"/>
  <c r="Q565" i="18"/>
  <c r="Q566" i="18" a="1"/>
  <c r="Q566" i="18" s="1"/>
  <c r="R566" i="18" s="1"/>
  <c r="Q567" i="18" a="1"/>
  <c r="Q567" i="18" s="1"/>
  <c r="Q568" i="18" a="1"/>
  <c r="Q568" i="18" s="1"/>
  <c r="R568" i="18" s="1"/>
  <c r="Q569" i="18" a="1"/>
  <c r="Q569" i="18" s="1"/>
  <c r="Q570" i="18" a="1"/>
  <c r="Q570" i="18" s="1"/>
  <c r="Q571" i="18" a="1"/>
  <c r="Q571" i="18" s="1"/>
  <c r="Q572" i="18" a="1"/>
  <c r="Q572" i="18" s="1"/>
  <c r="R572" i="18" s="1"/>
  <c r="Q573" i="18" a="1"/>
  <c r="Q573" i="18" s="1"/>
  <c r="R573" i="18" s="1"/>
  <c r="Q574" i="18" a="1"/>
  <c r="Q574" i="18" s="1"/>
  <c r="R574" i="18" s="1"/>
  <c r="Q575" i="18" a="1"/>
  <c r="Q575" i="18" s="1"/>
  <c r="Q576" i="18" a="1"/>
  <c r="Q576" i="18" s="1"/>
  <c r="R576" i="18" s="1"/>
  <c r="Q577" i="18" a="1"/>
  <c r="Q577" i="18" s="1"/>
  <c r="Q578" i="18" a="1"/>
  <c r="Q578" i="18"/>
  <c r="Q579" i="18" a="1"/>
  <c r="Q579" i="18" s="1"/>
  <c r="Q580" i="18" a="1"/>
  <c r="Q580" i="18" s="1"/>
  <c r="R580" i="18" s="1"/>
  <c r="Q581" i="18" a="1"/>
  <c r="Q581" i="18" s="1"/>
  <c r="Q582" i="18" a="1"/>
  <c r="Q582" i="18" s="1"/>
  <c r="R582" i="18" s="1"/>
  <c r="Q583" i="18" a="1"/>
  <c r="Q583" i="18" s="1"/>
  <c r="Q584" i="18" a="1"/>
  <c r="Q584" i="18" s="1"/>
  <c r="Q585" i="18" a="1"/>
  <c r="Q585" i="18" s="1"/>
  <c r="Q586" i="18" a="1"/>
  <c r="Q586" i="18"/>
  <c r="Q587" i="18" a="1"/>
  <c r="Q587" i="18" s="1"/>
  <c r="R587" i="18" s="1"/>
  <c r="Q588" i="18" a="1"/>
  <c r="Q588" i="18" s="1"/>
  <c r="R588" i="18" s="1"/>
  <c r="Q589" i="18" a="1"/>
  <c r="Q589" i="18" s="1"/>
  <c r="Q590" i="18" a="1"/>
  <c r="Q590" i="18" s="1"/>
  <c r="R590" i="18" s="1"/>
  <c r="Q591" i="18" a="1"/>
  <c r="Q591" i="18" s="1"/>
  <c r="Q592" i="18" a="1"/>
  <c r="Q592" i="18" s="1"/>
  <c r="R592" i="18" s="1"/>
  <c r="Q593" i="18" a="1"/>
  <c r="Q593" i="18" s="1"/>
  <c r="Q594" i="18" a="1"/>
  <c r="Q594" i="18" s="1"/>
  <c r="R594" i="18" s="1"/>
  <c r="Q595" i="18" a="1"/>
  <c r="Q595" i="18" s="1"/>
  <c r="Q596" i="18" a="1"/>
  <c r="Q596" i="18" s="1"/>
  <c r="Q597" i="18" a="1"/>
  <c r="Q597" i="18" s="1"/>
  <c r="Q598" i="18" a="1"/>
  <c r="Q598" i="18"/>
  <c r="Q599" i="18" a="1"/>
  <c r="Q599" i="18" s="1"/>
  <c r="Q600" i="18" a="1"/>
  <c r="Q600" i="18" s="1"/>
  <c r="R600" i="18" s="1"/>
  <c r="Q601" i="18" a="1"/>
  <c r="Q601" i="18" s="1"/>
  <c r="Q602" i="18" a="1"/>
  <c r="Q602" i="18" s="1"/>
  <c r="R602" i="18" s="1"/>
  <c r="Q603" i="18" a="1"/>
  <c r="Q603" i="18" s="1"/>
  <c r="Q604" i="18" a="1"/>
  <c r="Q604" i="18" s="1"/>
  <c r="R604" i="18" s="1"/>
  <c r="Q605" i="18" a="1"/>
  <c r="Q605" i="18" s="1"/>
  <c r="Q606" i="18" a="1"/>
  <c r="Q606" i="18" s="1"/>
  <c r="R606" i="18" s="1"/>
  <c r="Q607" i="18" a="1"/>
  <c r="Q607" i="18" s="1"/>
  <c r="Q608" i="18" a="1"/>
  <c r="Q608" i="18" s="1"/>
  <c r="Q609" i="18" a="1"/>
  <c r="Q609" i="18" s="1"/>
  <c r="Q610" i="18" a="1"/>
  <c r="Q610" i="18"/>
  <c r="Q611" i="18" a="1"/>
  <c r="Q611" i="18" s="1"/>
  <c r="Q612" i="18" a="1"/>
  <c r="Q612" i="18" s="1"/>
  <c r="R612" i="18" s="1"/>
  <c r="Q613" i="18" a="1"/>
  <c r="Q613" i="18" s="1"/>
  <c r="Q614" i="18" a="1"/>
  <c r="Q614" i="18" s="1"/>
  <c r="R614" i="18" s="1"/>
  <c r="Q615" i="18" a="1"/>
  <c r="Q615" i="18" s="1"/>
  <c r="Q616" i="18" a="1"/>
  <c r="Q616" i="18" s="1"/>
  <c r="R616" i="18" s="1"/>
  <c r="Q617" i="18" a="1"/>
  <c r="Q617" i="18" s="1"/>
  <c r="Q618" i="18" a="1"/>
  <c r="Q618" i="18"/>
  <c r="Q619" i="18" a="1"/>
  <c r="Q619" i="18" s="1"/>
  <c r="Q620" i="18" a="1"/>
  <c r="Q620" i="18" s="1"/>
  <c r="R620" i="18" s="1"/>
  <c r="Q621" i="18" a="1"/>
  <c r="Q621" i="18" s="1"/>
  <c r="Q622" i="18" a="1"/>
  <c r="Q622" i="18" s="1"/>
  <c r="R622" i="18" s="1"/>
  <c r="Q623" i="18" a="1"/>
  <c r="Q623" i="18" s="1"/>
  <c r="Q624" i="18" a="1"/>
  <c r="Q624" i="18" s="1"/>
  <c r="R624" i="18" s="1"/>
  <c r="Q625" i="18" a="1"/>
  <c r="Q625" i="18" s="1"/>
  <c r="Q626" i="18" a="1"/>
  <c r="Q626" i="18" s="1"/>
  <c r="R626" i="18" s="1"/>
  <c r="Q627" i="18" a="1"/>
  <c r="Q627" i="18" s="1"/>
  <c r="Q628" i="18" a="1"/>
  <c r="Q628" i="18" s="1"/>
  <c r="R628" i="18" s="1"/>
  <c r="Q629" i="18" a="1"/>
  <c r="Q629" i="18" s="1"/>
  <c r="Q630" i="18" a="1"/>
  <c r="Q630" i="18"/>
  <c r="Q631" i="18" a="1"/>
  <c r="Q631" i="18" s="1"/>
  <c r="Q632" i="18" a="1"/>
  <c r="Q632" i="18" s="1"/>
  <c r="R632" i="18" s="1"/>
  <c r="Q633" i="18" a="1"/>
  <c r="Q633" i="18" s="1"/>
  <c r="Q634" i="18" a="1"/>
  <c r="Q634" i="18" s="1"/>
  <c r="R634" i="18" s="1"/>
  <c r="Q635" i="18" a="1"/>
  <c r="Q635" i="18" s="1"/>
  <c r="Q636" i="18" a="1"/>
  <c r="Q636" i="18" s="1"/>
  <c r="R636" i="18" s="1"/>
  <c r="Q637" i="18" a="1"/>
  <c r="Q637" i="18" s="1"/>
  <c r="Q638" i="18" a="1"/>
  <c r="Q638" i="18" s="1"/>
  <c r="Q639" i="18" a="1"/>
  <c r="Q639" i="18" s="1"/>
  <c r="Q640" i="18" a="1"/>
  <c r="Q640" i="18" s="1"/>
  <c r="R640" i="18" s="1"/>
  <c r="Q641" i="18" a="1"/>
  <c r="Q641" i="18" s="1"/>
  <c r="Q642" i="18" a="1"/>
  <c r="Q642" i="18" s="1"/>
  <c r="R642" i="18" s="1"/>
  <c r="Q643" i="18" a="1"/>
  <c r="Q643" i="18" s="1"/>
  <c r="Q644" i="18" a="1"/>
  <c r="Q644" i="18" s="1"/>
  <c r="R644" i="18" s="1"/>
  <c r="Q645" i="18" a="1"/>
  <c r="Q645" i="18" s="1"/>
  <c r="Q646" i="18" a="1"/>
  <c r="Q646" i="18" s="1"/>
  <c r="R646" i="18" s="1"/>
  <c r="Q647" i="18" a="1"/>
  <c r="Q647" i="18" s="1"/>
  <c r="R647" i="18" s="1"/>
  <c r="U647" i="18" s="1"/>
  <c r="Q648" i="18" a="1"/>
  <c r="Q648" i="18" s="1"/>
  <c r="R648" i="18" s="1"/>
  <c r="Q649" i="18" a="1"/>
  <c r="Q649" i="18" s="1"/>
  <c r="Q650" i="18" a="1"/>
  <c r="Q650" i="18"/>
  <c r="Q651" i="18" a="1"/>
  <c r="Q651" i="18" s="1"/>
  <c r="Q652" i="18" a="1"/>
  <c r="Q652" i="18" s="1"/>
  <c r="R652" i="18" s="1"/>
  <c r="Q653" i="18" a="1"/>
  <c r="Q653" i="18" s="1"/>
  <c r="Q654" i="18" a="1"/>
  <c r="Q654" i="18" s="1"/>
  <c r="R654" i="18" s="1"/>
  <c r="Q655" i="18" a="1"/>
  <c r="Q655" i="18" s="1"/>
  <c r="Q656" i="18" a="1"/>
  <c r="Q656" i="18" s="1"/>
  <c r="Q657" i="18" a="1"/>
  <c r="Q657" i="18" s="1"/>
  <c r="Q658" i="18" a="1"/>
  <c r="Q658" i="18"/>
  <c r="Q659" i="18" a="1"/>
  <c r="Q659" i="18" s="1"/>
  <c r="R659" i="18" s="1"/>
  <c r="Q660" i="18" a="1"/>
  <c r="Q660" i="18" s="1"/>
  <c r="R660" i="18" s="1"/>
  <c r="Q661" i="18" a="1"/>
  <c r="Q661" i="18" s="1"/>
  <c r="Q662" i="18" a="1"/>
  <c r="Q662" i="18" s="1"/>
  <c r="Q663" i="18" a="1"/>
  <c r="Q663" i="18" s="1"/>
  <c r="Q664" i="18" a="1"/>
  <c r="Q664" i="18" s="1"/>
  <c r="R664" i="18" s="1"/>
  <c r="Q665" i="18" a="1"/>
  <c r="Q665" i="18" s="1"/>
  <c r="Q666" i="18" a="1"/>
  <c r="Q666" i="18" s="1"/>
  <c r="R666" i="18" s="1"/>
  <c r="U666" i="18" s="1"/>
  <c r="Q667" i="18" a="1"/>
  <c r="Q667" i="18" s="1"/>
  <c r="Q668" i="18" a="1"/>
  <c r="Q668" i="18" s="1"/>
  <c r="Q669" i="18" a="1"/>
  <c r="Q669" i="18" s="1"/>
  <c r="Q670" i="18" a="1"/>
  <c r="Q670" i="18" s="1"/>
  <c r="Q671" i="18" a="1"/>
  <c r="Q671" i="18" s="1"/>
  <c r="Q672" i="18" a="1"/>
  <c r="Q672" i="18" s="1"/>
  <c r="R672" i="18" s="1"/>
  <c r="Q673" i="18" a="1"/>
  <c r="Q673" i="18" s="1"/>
  <c r="Q674" i="18" a="1"/>
  <c r="Q674" i="18"/>
  <c r="R674" i="18" s="1"/>
  <c r="Q675" i="18" a="1"/>
  <c r="Q675" i="18" s="1"/>
  <c r="Q676" i="18" a="1"/>
  <c r="Q676" i="18" s="1"/>
  <c r="R676" i="18" s="1"/>
  <c r="Q677" i="18" a="1"/>
  <c r="Q677" i="18" s="1"/>
  <c r="Q678" i="18" a="1"/>
  <c r="Q678" i="18"/>
  <c r="Q679" i="18" a="1"/>
  <c r="Q679" i="18" s="1"/>
  <c r="Q680" i="18" a="1"/>
  <c r="Q680" i="18" s="1"/>
  <c r="R680" i="18" s="1"/>
  <c r="Q681" i="18" a="1"/>
  <c r="Q681" i="18" s="1"/>
  <c r="Q682" i="18" a="1"/>
  <c r="Q682" i="18" s="1"/>
  <c r="R682" i="18" s="1"/>
  <c r="Q683" i="18" a="1"/>
  <c r="Q683" i="18" s="1"/>
  <c r="Q684" i="18" a="1"/>
  <c r="Q684" i="18" s="1"/>
  <c r="R684" i="18" s="1"/>
  <c r="Q685" i="18" a="1"/>
  <c r="Q685" i="18" s="1"/>
  <c r="Q686" i="18" a="1"/>
  <c r="Q686" i="18" s="1"/>
  <c r="Q687" i="18" a="1"/>
  <c r="Q687" i="18" s="1"/>
  <c r="Q688" i="18" a="1"/>
  <c r="Q688" i="18" s="1"/>
  <c r="R688" i="18" s="1"/>
  <c r="Q689" i="18" a="1"/>
  <c r="Q689" i="18" s="1"/>
  <c r="Q690" i="18" a="1"/>
  <c r="Q690" i="18" s="1"/>
  <c r="R690" i="18" s="1"/>
  <c r="Q691" i="18" a="1"/>
  <c r="Q691" i="18" s="1"/>
  <c r="R5" i="18"/>
  <c r="R7" i="18"/>
  <c r="R11" i="18"/>
  <c r="R14" i="18"/>
  <c r="R17" i="18"/>
  <c r="R19" i="18"/>
  <c r="R21" i="18"/>
  <c r="R23" i="18"/>
  <c r="R30" i="18"/>
  <c r="R31" i="18"/>
  <c r="R37" i="18"/>
  <c r="R38" i="18"/>
  <c r="R39" i="18"/>
  <c r="R42" i="18"/>
  <c r="R47" i="18"/>
  <c r="R49" i="18"/>
  <c r="R50" i="18"/>
  <c r="R51" i="18"/>
  <c r="R54" i="18"/>
  <c r="R55" i="18"/>
  <c r="R58" i="18"/>
  <c r="R60" i="18"/>
  <c r="R62" i="18"/>
  <c r="R63" i="18"/>
  <c r="R65" i="18"/>
  <c r="R67" i="18"/>
  <c r="R69" i="18"/>
  <c r="R70" i="18"/>
  <c r="R71" i="18"/>
  <c r="R74" i="18"/>
  <c r="R75" i="18"/>
  <c r="R78" i="18"/>
  <c r="R81" i="18"/>
  <c r="R83" i="18"/>
  <c r="R85" i="18"/>
  <c r="R86" i="18"/>
  <c r="R87" i="18"/>
  <c r="R92" i="18"/>
  <c r="R94" i="18"/>
  <c r="R97" i="18"/>
  <c r="R98" i="18"/>
  <c r="R99" i="18"/>
  <c r="R101" i="18"/>
  <c r="R103" i="18"/>
  <c r="R106" i="18"/>
  <c r="R110" i="18"/>
  <c r="R113" i="18"/>
  <c r="R115" i="18"/>
  <c r="R118" i="18"/>
  <c r="R119" i="18"/>
  <c r="R122" i="18"/>
  <c r="R124" i="18"/>
  <c r="R125" i="18"/>
  <c r="R126" i="18"/>
  <c r="R129" i="18"/>
  <c r="R133" i="18"/>
  <c r="R134" i="18"/>
  <c r="R135" i="18"/>
  <c r="R138" i="18"/>
  <c r="R141" i="18"/>
  <c r="R142" i="18"/>
  <c r="R143" i="18"/>
  <c r="R145" i="18"/>
  <c r="R147" i="18"/>
  <c r="R149" i="18"/>
  <c r="R150" i="18"/>
  <c r="R151" i="18"/>
  <c r="R153" i="18"/>
  <c r="R154" i="18"/>
  <c r="R156" i="18"/>
  <c r="R158" i="18"/>
  <c r="R159" i="18"/>
  <c r="R163" i="18"/>
  <c r="R164" i="18"/>
  <c r="R165" i="18"/>
  <c r="R167" i="18"/>
  <c r="R169" i="18"/>
  <c r="R171" i="18"/>
  <c r="R172" i="18"/>
  <c r="R173" i="18"/>
  <c r="R177" i="18"/>
  <c r="R181" i="18"/>
  <c r="R185" i="18"/>
  <c r="R187" i="18"/>
  <c r="R189" i="18"/>
  <c r="R191" i="18"/>
  <c r="R195" i="18"/>
  <c r="R196" i="18"/>
  <c r="R199" i="18"/>
  <c r="R201" i="18"/>
  <c r="R203" i="18"/>
  <c r="R204" i="18"/>
  <c r="R207" i="18"/>
  <c r="R209" i="18"/>
  <c r="R213" i="18"/>
  <c r="R214" i="18"/>
  <c r="R215" i="18"/>
  <c r="R217" i="18"/>
  <c r="R218" i="18"/>
  <c r="R219" i="18"/>
  <c r="R223" i="18"/>
  <c r="R225" i="18"/>
  <c r="R227" i="18"/>
  <c r="R229" i="18"/>
  <c r="R231" i="18"/>
  <c r="R235" i="18"/>
  <c r="R236" i="18"/>
  <c r="R237" i="18"/>
  <c r="R241" i="18"/>
  <c r="R245" i="18"/>
  <c r="R247" i="18"/>
  <c r="R251" i="18"/>
  <c r="R253" i="18"/>
  <c r="R254" i="18"/>
  <c r="R255" i="18"/>
  <c r="R259" i="18"/>
  <c r="R260" i="18"/>
  <c r="R263" i="18"/>
  <c r="R265" i="18"/>
  <c r="R267" i="18"/>
  <c r="R269" i="18"/>
  <c r="R271" i="18"/>
  <c r="R279" i="18"/>
  <c r="R281" i="18"/>
  <c r="R283" i="18"/>
  <c r="R286" i="18"/>
  <c r="R287" i="18"/>
  <c r="R291" i="18"/>
  <c r="R292" i="18"/>
  <c r="R293" i="18"/>
  <c r="R297" i="18"/>
  <c r="R299" i="18"/>
  <c r="R300" i="18"/>
  <c r="R305" i="18"/>
  <c r="R309" i="18"/>
  <c r="R311" i="18"/>
  <c r="R315" i="18"/>
  <c r="R317" i="18"/>
  <c r="R319" i="18"/>
  <c r="R323" i="18"/>
  <c r="R325" i="18"/>
  <c r="R327" i="18"/>
  <c r="R329" i="18"/>
  <c r="R331" i="18"/>
  <c r="R333" i="18"/>
  <c r="R335" i="18"/>
  <c r="R342" i="18"/>
  <c r="R343" i="18"/>
  <c r="R345" i="18"/>
  <c r="R347" i="18"/>
  <c r="R350" i="18"/>
  <c r="R351" i="18"/>
  <c r="R353" i="18"/>
  <c r="R355" i="18"/>
  <c r="R356" i="18"/>
  <c r="R361" i="18"/>
  <c r="R363" i="18"/>
  <c r="R364" i="18"/>
  <c r="R369" i="18"/>
  <c r="R374" i="18"/>
  <c r="R375" i="18"/>
  <c r="R379" i="18"/>
  <c r="R381" i="18"/>
  <c r="R383" i="18"/>
  <c r="R385" i="18"/>
  <c r="R387" i="18"/>
  <c r="R391" i="18"/>
  <c r="R393" i="18"/>
  <c r="R395" i="18"/>
  <c r="R396" i="18"/>
  <c r="R397" i="18"/>
  <c r="R399" i="18"/>
  <c r="R407" i="18"/>
  <c r="R409" i="18"/>
  <c r="R410" i="18"/>
  <c r="R411" i="18"/>
  <c r="R414" i="18"/>
  <c r="R415" i="18"/>
  <c r="R419" i="18"/>
  <c r="R420" i="18"/>
  <c r="R421" i="18"/>
  <c r="R423" i="18"/>
  <c r="R425" i="18"/>
  <c r="R427" i="18"/>
  <c r="R428" i="18"/>
  <c r="R431" i="18"/>
  <c r="R437" i="18"/>
  <c r="R439" i="18"/>
  <c r="R443" i="18"/>
  <c r="R451" i="18"/>
  <c r="R455" i="18"/>
  <c r="R459" i="18"/>
  <c r="R460" i="18"/>
  <c r="R463" i="18"/>
  <c r="R465" i="18"/>
  <c r="R471" i="18"/>
  <c r="R473" i="18"/>
  <c r="R474" i="18"/>
  <c r="R475" i="18"/>
  <c r="R478" i="18"/>
  <c r="R479" i="18"/>
  <c r="R481" i="18"/>
  <c r="R482" i="18"/>
  <c r="R483" i="18"/>
  <c r="R484" i="18"/>
  <c r="R487" i="18"/>
  <c r="R490" i="18"/>
  <c r="R491" i="18"/>
  <c r="R492" i="18"/>
  <c r="R493" i="18"/>
  <c r="R495" i="18"/>
  <c r="R497" i="18"/>
  <c r="R498" i="18"/>
  <c r="R502" i="18"/>
  <c r="R503" i="18"/>
  <c r="R505" i="18"/>
  <c r="R506" i="18"/>
  <c r="R507" i="18"/>
  <c r="R509" i="18"/>
  <c r="R510" i="18"/>
  <c r="R513" i="18"/>
  <c r="R514" i="18"/>
  <c r="R515" i="18"/>
  <c r="R516" i="18"/>
  <c r="R519" i="18"/>
  <c r="R523" i="18"/>
  <c r="R525" i="18"/>
  <c r="R527" i="18"/>
  <c r="R530" i="18"/>
  <c r="R535" i="18"/>
  <c r="R537" i="18"/>
  <c r="R538" i="18"/>
  <c r="R539" i="18"/>
  <c r="R542" i="18"/>
  <c r="R543" i="18"/>
  <c r="R545" i="18"/>
  <c r="R546" i="18"/>
  <c r="R547" i="18"/>
  <c r="R551" i="18"/>
  <c r="R553" i="18"/>
  <c r="R554" i="18"/>
  <c r="R555" i="18"/>
  <c r="R557" i="18"/>
  <c r="R559" i="18"/>
  <c r="R562" i="18"/>
  <c r="R565" i="18"/>
  <c r="R567" i="18"/>
  <c r="R569" i="18"/>
  <c r="R570" i="18"/>
  <c r="R575" i="18"/>
  <c r="R577" i="18"/>
  <c r="R579" i="18"/>
  <c r="R581" i="18"/>
  <c r="R583" i="18"/>
  <c r="R585" i="18"/>
  <c r="R586" i="18"/>
  <c r="R589" i="18"/>
  <c r="R591" i="18"/>
  <c r="R593" i="18"/>
  <c r="R595" i="18"/>
  <c r="R597" i="18"/>
  <c r="R598" i="18"/>
  <c r="R599" i="18"/>
  <c r="R601" i="18"/>
  <c r="R603" i="18"/>
  <c r="R605" i="18"/>
  <c r="R607" i="18"/>
  <c r="R609" i="18"/>
  <c r="R610" i="18"/>
  <c r="R611" i="18"/>
  <c r="R613" i="18"/>
  <c r="R615" i="18"/>
  <c r="R617" i="18"/>
  <c r="R618" i="18"/>
  <c r="R619" i="18"/>
  <c r="R621" i="18"/>
  <c r="R623" i="18"/>
  <c r="R625" i="18"/>
  <c r="R627" i="18"/>
  <c r="R629" i="18"/>
  <c r="R630" i="18"/>
  <c r="R631" i="18"/>
  <c r="R633" i="18"/>
  <c r="R635" i="18"/>
  <c r="R639" i="18"/>
  <c r="R641" i="18"/>
  <c r="R643" i="18"/>
  <c r="R645" i="18"/>
  <c r="R649" i="18"/>
  <c r="R650" i="18"/>
  <c r="R651" i="18"/>
  <c r="R653" i="18"/>
  <c r="R655" i="18"/>
  <c r="R657" i="18"/>
  <c r="R658" i="18"/>
  <c r="R661" i="18"/>
  <c r="R663" i="18"/>
  <c r="R665" i="18"/>
  <c r="R667" i="18"/>
  <c r="R669" i="18"/>
  <c r="R670" i="18"/>
  <c r="R671" i="18"/>
  <c r="R673" i="18"/>
  <c r="R675" i="18"/>
  <c r="R677" i="18"/>
  <c r="R678" i="18"/>
  <c r="R679" i="18"/>
  <c r="R681" i="18"/>
  <c r="R683" i="18"/>
  <c r="R685" i="18"/>
  <c r="R686" i="18"/>
  <c r="R687" i="18"/>
  <c r="R689" i="18"/>
  <c r="R691" i="18"/>
  <c r="S2" i="18" a="1"/>
  <c r="S2" i="18" s="1"/>
  <c r="S3" i="18" a="1"/>
  <c r="S3" i="18" s="1"/>
  <c r="S4" i="18" a="1"/>
  <c r="S4" i="18" s="1"/>
  <c r="S5" i="18" a="1"/>
  <c r="S5" i="18" s="1"/>
  <c r="S6" i="18" a="1"/>
  <c r="S6" i="18" s="1"/>
  <c r="S7" i="18" a="1"/>
  <c r="S7" i="18" s="1"/>
  <c r="S8" i="18" a="1"/>
  <c r="S8" i="18"/>
  <c r="S9" i="18" a="1"/>
  <c r="S9" i="18" s="1"/>
  <c r="S10" i="18" a="1"/>
  <c r="S10" i="18"/>
  <c r="S11" i="18" a="1"/>
  <c r="S11" i="18" s="1"/>
  <c r="S12" i="18" a="1"/>
  <c r="S12" i="18" s="1"/>
  <c r="S13" i="18" a="1"/>
  <c r="S13" i="18" s="1"/>
  <c r="S14" i="18" a="1"/>
  <c r="S14" i="18" s="1"/>
  <c r="S15" i="18" a="1"/>
  <c r="S15" i="18"/>
  <c r="S16" i="18" a="1"/>
  <c r="S16" i="18" s="1"/>
  <c r="S17" i="18" a="1"/>
  <c r="S17" i="18" s="1"/>
  <c r="S18" i="18" a="1"/>
  <c r="S18" i="18"/>
  <c r="S19" i="18" a="1"/>
  <c r="S19" i="18" s="1"/>
  <c r="S20" i="18" a="1"/>
  <c r="S20" i="18" s="1"/>
  <c r="S21" i="18" a="1"/>
  <c r="S21" i="18" s="1"/>
  <c r="S22" i="18" a="1"/>
  <c r="S22" i="18" s="1"/>
  <c r="S23" i="18" a="1"/>
  <c r="S23" i="18" s="1"/>
  <c r="S24" i="18" a="1"/>
  <c r="S24" i="18"/>
  <c r="S25" i="18" a="1"/>
  <c r="S25" i="18" s="1"/>
  <c r="S26" i="18" a="1"/>
  <c r="S26" i="18" s="1"/>
  <c r="S27" i="18" a="1"/>
  <c r="S27" i="18" s="1"/>
  <c r="S28" i="18" a="1"/>
  <c r="S28" i="18" s="1"/>
  <c r="S29" i="18" a="1"/>
  <c r="S29" i="18" s="1"/>
  <c r="S30" i="18" a="1"/>
  <c r="S30" i="18" s="1"/>
  <c r="S31" i="18" a="1"/>
  <c r="S31" i="18" s="1"/>
  <c r="S32" i="18" a="1"/>
  <c r="S32" i="18"/>
  <c r="S33" i="18" a="1"/>
  <c r="S33" i="18" s="1"/>
  <c r="S34" i="18" a="1"/>
  <c r="S34" i="18" s="1"/>
  <c r="S35" i="18" a="1"/>
  <c r="S35" i="18" s="1"/>
  <c r="S36" i="18" a="1"/>
  <c r="S36" i="18" s="1"/>
  <c r="S37" i="18" a="1"/>
  <c r="S37" i="18" s="1"/>
  <c r="S38" i="18" a="1"/>
  <c r="S38" i="18"/>
  <c r="S39" i="18" a="1"/>
  <c r="S39" i="18" s="1"/>
  <c r="S40" i="18" a="1"/>
  <c r="S40" i="18" s="1"/>
  <c r="S41" i="18" a="1"/>
  <c r="S41" i="18" s="1"/>
  <c r="S42" i="18" a="1"/>
  <c r="S42" i="18" s="1"/>
  <c r="S43" i="18" a="1"/>
  <c r="S43" i="18" s="1"/>
  <c r="S44" i="18" a="1"/>
  <c r="S44" i="18" s="1"/>
  <c r="S45" i="18" a="1"/>
  <c r="S45" i="18" s="1"/>
  <c r="S46" i="18" a="1"/>
  <c r="S46" i="18"/>
  <c r="S47" i="18" a="1"/>
  <c r="S47" i="18"/>
  <c r="S48" i="18" a="1"/>
  <c r="S48" i="18" s="1"/>
  <c r="S49" i="18" a="1"/>
  <c r="S49" i="18" s="1"/>
  <c r="S50" i="18" a="1"/>
  <c r="S50" i="18" s="1"/>
  <c r="S51" i="18" a="1"/>
  <c r="S51" i="18" s="1"/>
  <c r="S52" i="18" a="1"/>
  <c r="S52" i="18" s="1"/>
  <c r="S53" i="18" a="1"/>
  <c r="S53" i="18" s="1"/>
  <c r="S54" i="18" a="1"/>
  <c r="S54" i="18" s="1"/>
  <c r="S55" i="18" a="1"/>
  <c r="S55" i="18"/>
  <c r="S56" i="18" a="1"/>
  <c r="S56" i="18" s="1"/>
  <c r="S57" i="18" a="1"/>
  <c r="S57" i="18" s="1"/>
  <c r="S58" i="18" a="1"/>
  <c r="S58" i="18" s="1"/>
  <c r="S59" i="18" a="1"/>
  <c r="S59" i="18" s="1"/>
  <c r="S60" i="18" a="1"/>
  <c r="S60" i="18" s="1"/>
  <c r="S61" i="18" a="1"/>
  <c r="S61" i="18" s="1"/>
  <c r="S62" i="18" a="1"/>
  <c r="S62" i="18" s="1"/>
  <c r="S63" i="18" a="1"/>
  <c r="S63" i="18" s="1"/>
  <c r="S64" i="18" a="1"/>
  <c r="S64" i="18"/>
  <c r="S65" i="18" a="1"/>
  <c r="S65" i="18" s="1"/>
  <c r="S66" i="18" a="1"/>
  <c r="S66" i="18"/>
  <c r="S67" i="18" a="1"/>
  <c r="S67" i="18" s="1"/>
  <c r="S68" i="18" a="1"/>
  <c r="S68" i="18" s="1"/>
  <c r="S69" i="18" a="1"/>
  <c r="S69" i="18" s="1"/>
  <c r="S70" i="18" a="1"/>
  <c r="S70" i="18"/>
  <c r="S71" i="18" a="1"/>
  <c r="S71" i="18"/>
  <c r="S72" i="18" a="1"/>
  <c r="S72" i="18" s="1"/>
  <c r="S73" i="18" a="1"/>
  <c r="S73" i="18" s="1"/>
  <c r="S74" i="18" a="1"/>
  <c r="S74" i="18" s="1"/>
  <c r="S75" i="18" a="1"/>
  <c r="S75" i="18" s="1"/>
  <c r="S76" i="18" a="1"/>
  <c r="S76" i="18" s="1"/>
  <c r="S77" i="18" a="1"/>
  <c r="S77" i="18" s="1"/>
  <c r="S78" i="18" a="1"/>
  <c r="S78" i="18" s="1"/>
  <c r="S79" i="18" a="1"/>
  <c r="S79" i="18" s="1"/>
  <c r="S80" i="18" a="1"/>
  <c r="S80" i="18" s="1"/>
  <c r="S81" i="18" a="1"/>
  <c r="S81" i="18" s="1"/>
  <c r="S82" i="18" a="1"/>
  <c r="S82" i="18"/>
  <c r="S83" i="18" a="1"/>
  <c r="S83" i="18" s="1"/>
  <c r="S84" i="18" a="1"/>
  <c r="S84" i="18" s="1"/>
  <c r="S85" i="18" a="1"/>
  <c r="S85" i="18" s="1"/>
  <c r="S86" i="18" a="1"/>
  <c r="S86" i="18" s="1"/>
  <c r="S87" i="18" a="1"/>
  <c r="S87" i="18" s="1"/>
  <c r="S88" i="18" a="1"/>
  <c r="S88" i="18" s="1"/>
  <c r="S89" i="18" a="1"/>
  <c r="S89" i="18" s="1"/>
  <c r="S90" i="18" a="1"/>
  <c r="S90" i="18"/>
  <c r="S91" i="18" a="1"/>
  <c r="S91" i="18" s="1"/>
  <c r="S92" i="18" a="1"/>
  <c r="S92" i="18" s="1"/>
  <c r="S93" i="18" a="1"/>
  <c r="S93" i="18"/>
  <c r="S94" i="18" a="1"/>
  <c r="S94" i="18"/>
  <c r="S95" i="18" a="1"/>
  <c r="S95" i="18" s="1"/>
  <c r="S96" i="18" a="1"/>
  <c r="S96" i="18" s="1"/>
  <c r="S97" i="18" a="1"/>
  <c r="S97" i="18" s="1"/>
  <c r="S98" i="18" a="1"/>
  <c r="S98" i="18" s="1"/>
  <c r="S99" i="18" a="1"/>
  <c r="S99" i="18"/>
  <c r="S100" i="18" a="1"/>
  <c r="S100" i="18" s="1"/>
  <c r="S101" i="18" a="1"/>
  <c r="S101" i="18" s="1"/>
  <c r="S102" i="18" a="1"/>
  <c r="S102" i="18" s="1"/>
  <c r="S103" i="18" a="1"/>
  <c r="S103" i="18" s="1"/>
  <c r="S104" i="18" a="1"/>
  <c r="S104" i="18" s="1"/>
  <c r="S105" i="18" a="1"/>
  <c r="S105" i="18"/>
  <c r="S106" i="18" a="1"/>
  <c r="S106" i="18" s="1"/>
  <c r="S107" i="18" a="1"/>
  <c r="S107" i="18" s="1"/>
  <c r="S108" i="18" a="1"/>
  <c r="S108" i="18" s="1"/>
  <c r="S109" i="18" a="1"/>
  <c r="S109" i="18" s="1"/>
  <c r="S110" i="18" a="1"/>
  <c r="S110" i="18" s="1"/>
  <c r="S111" i="18" a="1"/>
  <c r="S111" i="18"/>
  <c r="S112" i="18" a="1"/>
  <c r="S112" i="18" s="1"/>
  <c r="S113" i="18" a="1"/>
  <c r="S113" i="18"/>
  <c r="S114" i="18" a="1"/>
  <c r="S114" i="18" s="1"/>
  <c r="S115" i="18" a="1"/>
  <c r="S115" i="18" s="1"/>
  <c r="S116" i="18" a="1"/>
  <c r="S116" i="18" s="1"/>
  <c r="S117" i="18" a="1"/>
  <c r="S117" i="18"/>
  <c r="S118" i="18" a="1"/>
  <c r="S118" i="18" s="1"/>
  <c r="S119" i="18" a="1"/>
  <c r="S119" i="18" s="1"/>
  <c r="S120" i="18" a="1"/>
  <c r="S120" i="18" s="1"/>
  <c r="S121" i="18" a="1"/>
  <c r="S121" i="18" s="1"/>
  <c r="S122" i="18" a="1"/>
  <c r="S122" i="18" s="1"/>
  <c r="S123" i="18" a="1"/>
  <c r="S123" i="18"/>
  <c r="S124" i="18" a="1"/>
  <c r="S124" i="18" s="1"/>
  <c r="S125" i="18" a="1"/>
  <c r="S125" i="18" s="1"/>
  <c r="S126" i="18" a="1"/>
  <c r="S126" i="18" s="1"/>
  <c r="S127" i="18" a="1"/>
  <c r="S127" i="18" s="1"/>
  <c r="S128" i="18" a="1"/>
  <c r="S128" i="18" s="1"/>
  <c r="S129" i="18" a="1"/>
  <c r="S129" i="18" s="1"/>
  <c r="S130" i="18" a="1"/>
  <c r="S130" i="18" s="1"/>
  <c r="S131" i="18" a="1"/>
  <c r="S131" i="18" s="1"/>
  <c r="S132" i="18" a="1"/>
  <c r="S132" i="18" s="1"/>
  <c r="S133" i="18" a="1"/>
  <c r="S133" i="18" s="1"/>
  <c r="S134" i="18" a="1"/>
  <c r="S134" i="18"/>
  <c r="S135" i="18" a="1"/>
  <c r="S135" i="18"/>
  <c r="S136" i="18" a="1"/>
  <c r="S136" i="18" s="1"/>
  <c r="S137" i="18" a="1"/>
  <c r="S137" i="18" s="1"/>
  <c r="S138" i="18" a="1"/>
  <c r="S138" i="18" s="1"/>
  <c r="S139" i="18" a="1"/>
  <c r="S139" i="18" s="1"/>
  <c r="S140" i="18" a="1"/>
  <c r="S140" i="18" s="1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 s="1"/>
  <c r="S146" i="18" a="1"/>
  <c r="S146" i="18"/>
  <c r="S147" i="18" a="1"/>
  <c r="S147" i="18" s="1"/>
  <c r="S148" i="18" a="1"/>
  <c r="S148" i="18" s="1"/>
  <c r="S149" i="18" a="1"/>
  <c r="S149" i="18" s="1"/>
  <c r="S150" i="18" a="1"/>
  <c r="S150" i="18" s="1"/>
  <c r="S151" i="18" a="1"/>
  <c r="S151" i="18" s="1"/>
  <c r="S152" i="18" a="1"/>
  <c r="S152" i="18" s="1"/>
  <c r="S153" i="18" a="1"/>
  <c r="S153" i="18" s="1"/>
  <c r="S154" i="18" a="1"/>
  <c r="S154" i="18"/>
  <c r="S155" i="18" a="1"/>
  <c r="S155" i="18" s="1"/>
  <c r="S156" i="18" a="1"/>
  <c r="S156" i="18" s="1"/>
  <c r="S157" i="18" a="1"/>
  <c r="S157" i="18"/>
  <c r="S158" i="18" a="1"/>
  <c r="S158" i="18"/>
  <c r="S159" i="18" a="1"/>
  <c r="S159" i="18" s="1"/>
  <c r="S160" i="18" a="1"/>
  <c r="S160" i="18" s="1"/>
  <c r="S161" i="18" a="1"/>
  <c r="S161" i="18" s="1"/>
  <c r="S162" i="18" a="1"/>
  <c r="S162" i="18" s="1"/>
  <c r="S163" i="18" a="1"/>
  <c r="S163" i="18"/>
  <c r="S164" i="18" a="1"/>
  <c r="S164" i="18" s="1"/>
  <c r="S165" i="18" a="1"/>
  <c r="S165" i="18" s="1"/>
  <c r="S166" i="18" a="1"/>
  <c r="S166" i="18" s="1"/>
  <c r="S167" i="18" a="1"/>
  <c r="S167" i="18" s="1"/>
  <c r="S168" i="18" a="1"/>
  <c r="S168" i="18" s="1"/>
  <c r="S169" i="18" a="1"/>
  <c r="S169" i="18"/>
  <c r="S170" i="18" a="1"/>
  <c r="S170" i="18" s="1"/>
  <c r="S171" i="18" a="1"/>
  <c r="S171" i="18" s="1"/>
  <c r="S172" i="18" a="1"/>
  <c r="S172" i="18" s="1"/>
  <c r="S173" i="18" a="1"/>
  <c r="S173" i="18" s="1"/>
  <c r="S174" i="18" a="1"/>
  <c r="S174" i="18" s="1"/>
  <c r="S175" i="18" a="1"/>
  <c r="S175" i="18" s="1"/>
  <c r="S176" i="18" a="1"/>
  <c r="S176" i="18" s="1"/>
  <c r="S177" i="18" a="1"/>
  <c r="S177" i="18"/>
  <c r="S178" i="18" a="1"/>
  <c r="S178" i="18" s="1"/>
  <c r="S179" i="18" a="1"/>
  <c r="S179" i="18" s="1"/>
  <c r="S180" i="18" a="1"/>
  <c r="S180" i="18" s="1"/>
  <c r="S181" i="18" a="1"/>
  <c r="S181" i="18"/>
  <c r="S182" i="18" a="1"/>
  <c r="S182" i="18" s="1"/>
  <c r="S183" i="18" a="1"/>
  <c r="S183" i="18" s="1"/>
  <c r="S184" i="18" a="1"/>
  <c r="S184" i="18" s="1"/>
  <c r="S185" i="18" a="1"/>
  <c r="S185" i="18" s="1"/>
  <c r="S186" i="18" a="1"/>
  <c r="S186" i="18" s="1"/>
  <c r="S187" i="18" a="1"/>
  <c r="S187" i="18"/>
  <c r="S188" i="18" a="1"/>
  <c r="S188" i="18" s="1"/>
  <c r="S189" i="18" a="1"/>
  <c r="S189" i="18" s="1"/>
  <c r="S190" i="18" a="1"/>
  <c r="S190" i="18" s="1"/>
  <c r="S191" i="18" a="1"/>
  <c r="S191" i="18" s="1"/>
  <c r="S192" i="18" a="1"/>
  <c r="S192" i="18" s="1"/>
  <c r="S193" i="18" a="1"/>
  <c r="S193" i="18" s="1"/>
  <c r="S194" i="18" a="1"/>
  <c r="S194" i="18" s="1"/>
  <c r="S195" i="18" a="1"/>
  <c r="S195" i="18" s="1"/>
  <c r="S196" i="18" a="1"/>
  <c r="S196" i="18" s="1"/>
  <c r="S197" i="18" a="1"/>
  <c r="S197" i="18" s="1"/>
  <c r="S198" i="18" a="1"/>
  <c r="S198" i="18" s="1"/>
  <c r="S199" i="18" a="1"/>
  <c r="S199" i="18"/>
  <c r="S200" i="18" a="1"/>
  <c r="S200" i="18" s="1"/>
  <c r="S201" i="18" a="1"/>
  <c r="S201" i="18" s="1"/>
  <c r="S202" i="18" a="1"/>
  <c r="S202" i="18" s="1"/>
  <c r="S203" i="18" a="1"/>
  <c r="S203" i="18" s="1"/>
  <c r="S204" i="18" a="1"/>
  <c r="S204" i="18" s="1"/>
  <c r="S205" i="18" a="1"/>
  <c r="S205" i="18" s="1"/>
  <c r="S206" i="18" a="1"/>
  <c r="S206" i="18" s="1"/>
  <c r="S207" i="18" a="1"/>
  <c r="S207" i="18" s="1"/>
  <c r="S208" i="18" a="1"/>
  <c r="S208" i="18" s="1"/>
  <c r="S209" i="18" a="1"/>
  <c r="S209" i="18" s="1"/>
  <c r="S210" i="18" a="1"/>
  <c r="S210" i="18"/>
  <c r="S211" i="18" a="1"/>
  <c r="S211" i="18" s="1"/>
  <c r="S212" i="18" a="1"/>
  <c r="S212" i="18" s="1"/>
  <c r="S213" i="18" a="1"/>
  <c r="S213" i="18" s="1"/>
  <c r="S214" i="18" a="1"/>
  <c r="S214" i="18" s="1"/>
  <c r="S215" i="18" a="1"/>
  <c r="S215" i="18" s="1"/>
  <c r="S216" i="18" a="1"/>
  <c r="S216" i="18" s="1"/>
  <c r="S217" i="18" a="1"/>
  <c r="S217" i="18" s="1"/>
  <c r="S218" i="18" a="1"/>
  <c r="S218" i="18"/>
  <c r="S219" i="18" a="1"/>
  <c r="S219" i="18" s="1"/>
  <c r="S220" i="18" a="1"/>
  <c r="S220" i="18" s="1"/>
  <c r="S221" i="18" a="1"/>
  <c r="S221" i="18" s="1"/>
  <c r="S222" i="18" a="1"/>
  <c r="S222" i="18"/>
  <c r="S223" i="18" a="1"/>
  <c r="S223" i="18" s="1"/>
  <c r="S224" i="18" a="1"/>
  <c r="S224" i="18" s="1"/>
  <c r="S225" i="18" a="1"/>
  <c r="S225" i="18" s="1"/>
  <c r="S226" i="18" a="1"/>
  <c r="S226" i="18" s="1"/>
  <c r="S227" i="18" a="1"/>
  <c r="S227" i="18" s="1"/>
  <c r="S228" i="18" a="1"/>
  <c r="S228" i="18" s="1"/>
  <c r="S229" i="18" a="1"/>
  <c r="S229" i="18" s="1"/>
  <c r="S230" i="18" a="1"/>
  <c r="S230" i="18" s="1"/>
  <c r="S231" i="18" a="1"/>
  <c r="S231" i="18"/>
  <c r="S232" i="18" a="1"/>
  <c r="S232" i="18" s="1"/>
  <c r="S233" i="18" a="1"/>
  <c r="S233" i="18"/>
  <c r="S234" i="18" a="1"/>
  <c r="S234" i="18" s="1"/>
  <c r="S235" i="18" a="1"/>
  <c r="S235" i="18" s="1"/>
  <c r="S236" i="18" a="1"/>
  <c r="S236" i="18" s="1"/>
  <c r="S237" i="18" a="1"/>
  <c r="S237" i="18" s="1"/>
  <c r="S238" i="18" a="1"/>
  <c r="S238" i="18" s="1"/>
  <c r="S239" i="18" a="1"/>
  <c r="S239" i="18" s="1"/>
  <c r="S240" i="18" a="1"/>
  <c r="S240" i="18" s="1"/>
  <c r="S241" i="18" a="1"/>
  <c r="S241" i="18"/>
  <c r="S242" i="18" a="1"/>
  <c r="S242" i="18" s="1"/>
  <c r="S243" i="18" a="1"/>
  <c r="S243" i="18" s="1"/>
  <c r="S244" i="18" a="1"/>
  <c r="S244" i="18" s="1"/>
  <c r="S245" i="18" a="1"/>
  <c r="S245" i="18"/>
  <c r="S246" i="18" a="1"/>
  <c r="S246" i="18" s="1"/>
  <c r="S247" i="18" a="1"/>
  <c r="S247" i="18" s="1"/>
  <c r="S248" i="18" a="1"/>
  <c r="S248" i="18" s="1"/>
  <c r="S249" i="18" a="1"/>
  <c r="S249" i="18" s="1"/>
  <c r="S250" i="18" a="1"/>
  <c r="S250" i="18" s="1"/>
  <c r="S251" i="18" a="1"/>
  <c r="S251" i="18"/>
  <c r="S252" i="18" a="1"/>
  <c r="S252" i="18" s="1"/>
  <c r="S253" i="18" a="1"/>
  <c r="S253" i="18" s="1"/>
  <c r="S254" i="18" a="1"/>
  <c r="S254" i="18"/>
  <c r="S255" i="18" a="1"/>
  <c r="S255" i="18" s="1"/>
  <c r="S256" i="18" a="1"/>
  <c r="S256" i="18" s="1"/>
  <c r="S257" i="18" a="1"/>
  <c r="S257" i="18" s="1"/>
  <c r="S258" i="18" a="1"/>
  <c r="S258" i="18" s="1"/>
  <c r="S259" i="18" a="1"/>
  <c r="S259" i="18" s="1"/>
  <c r="S260" i="18" a="1"/>
  <c r="S260" i="18" s="1"/>
  <c r="S261" i="18" a="1"/>
  <c r="S261" i="18" s="1"/>
  <c r="S262" i="18" a="1"/>
  <c r="S262" i="18" s="1"/>
  <c r="S263" i="18" a="1"/>
  <c r="S263" i="18"/>
  <c r="S264" i="18" a="1"/>
  <c r="S264" i="18" s="1"/>
  <c r="S265" i="18" a="1"/>
  <c r="S265" i="18" s="1"/>
  <c r="S266" i="18" a="1"/>
  <c r="S266" i="18" s="1"/>
  <c r="S267" i="18" a="1"/>
  <c r="S267" i="18" s="1"/>
  <c r="S268" i="18" a="1"/>
  <c r="S268" i="18" s="1"/>
  <c r="S269" i="18" a="1"/>
  <c r="S269" i="18" s="1"/>
  <c r="S270" i="18" a="1"/>
  <c r="S270" i="18" s="1"/>
  <c r="S271" i="18" a="1"/>
  <c r="S271" i="18" s="1"/>
  <c r="S272" i="18" a="1"/>
  <c r="S272" i="18" s="1"/>
  <c r="S273" i="18" a="1"/>
  <c r="S273" i="18" s="1"/>
  <c r="S274" i="18" a="1"/>
  <c r="S274" i="18"/>
  <c r="S275" i="18" a="1"/>
  <c r="S275" i="18" s="1"/>
  <c r="S276" i="18" a="1"/>
  <c r="S276" i="18" s="1"/>
  <c r="S277" i="18" a="1"/>
  <c r="S277" i="18" s="1"/>
  <c r="S278" i="18" a="1"/>
  <c r="S278" i="18" s="1"/>
  <c r="S279" i="18" a="1"/>
  <c r="S279" i="18" s="1"/>
  <c r="S280" i="18" a="1"/>
  <c r="S280" i="18" s="1"/>
  <c r="S281" i="18" a="1"/>
  <c r="S281" i="18" s="1"/>
  <c r="S282" i="18" a="1"/>
  <c r="S282" i="18"/>
  <c r="S283" i="18" a="1"/>
  <c r="S283" i="18" s="1"/>
  <c r="S284" i="18" a="1"/>
  <c r="S284" i="18" s="1"/>
  <c r="S285" i="18" a="1"/>
  <c r="S285" i="18" s="1"/>
  <c r="S286" i="18" a="1"/>
  <c r="S286" i="18"/>
  <c r="S287" i="18" a="1"/>
  <c r="S287" i="18" s="1"/>
  <c r="S288" i="18" a="1"/>
  <c r="S288" i="18" s="1"/>
  <c r="S289" i="18" a="1"/>
  <c r="S289" i="18" s="1"/>
  <c r="S290" i="18" a="1"/>
  <c r="S290" i="18" s="1"/>
  <c r="S291" i="18" a="1"/>
  <c r="S291" i="18" s="1"/>
  <c r="S292" i="18" a="1"/>
  <c r="S292" i="18" s="1"/>
  <c r="S293" i="18" a="1"/>
  <c r="S293" i="18" s="1"/>
  <c r="S294" i="18" a="1"/>
  <c r="S294" i="18" s="1"/>
  <c r="S295" i="18" a="1"/>
  <c r="S295" i="18"/>
  <c r="S296" i="18" a="1"/>
  <c r="S296" i="18" s="1"/>
  <c r="S297" i="18" a="1"/>
  <c r="S297" i="18"/>
  <c r="S298" i="18" a="1"/>
  <c r="S298" i="18" s="1"/>
  <c r="S299" i="18" a="1"/>
  <c r="S299" i="18" s="1"/>
  <c r="S300" i="18" a="1"/>
  <c r="S300" i="18" s="1"/>
  <c r="S301" i="18" a="1"/>
  <c r="S301" i="18" s="1"/>
  <c r="S302" i="18" a="1"/>
  <c r="S302" i="18" s="1"/>
  <c r="S303" i="18" a="1"/>
  <c r="S303" i="18" s="1"/>
  <c r="S304" i="18" a="1"/>
  <c r="S304" i="18" s="1"/>
  <c r="S305" i="18" a="1"/>
  <c r="S305" i="18"/>
  <c r="S306" i="18" a="1"/>
  <c r="S306" i="18" s="1"/>
  <c r="S307" i="18" a="1"/>
  <c r="S307" i="18" s="1"/>
  <c r="S308" i="18" a="1"/>
  <c r="S308" i="18" s="1"/>
  <c r="S309" i="18" a="1"/>
  <c r="S309" i="18" s="1"/>
  <c r="S310" i="18" a="1"/>
  <c r="S310" i="18" s="1"/>
  <c r="S311" i="18" a="1"/>
  <c r="S311" i="18" s="1"/>
  <c r="S312" i="18" a="1"/>
  <c r="S312" i="18" s="1"/>
  <c r="S313" i="18" a="1"/>
  <c r="S313" i="18" s="1"/>
  <c r="S314" i="18" a="1"/>
  <c r="S314" i="18" s="1"/>
  <c r="S315" i="18" a="1"/>
  <c r="S315" i="18"/>
  <c r="S316" i="18" a="1"/>
  <c r="S316" i="18" s="1"/>
  <c r="S317" i="18" a="1"/>
  <c r="S317" i="18" s="1"/>
  <c r="S318" i="18" a="1"/>
  <c r="S318" i="18" s="1"/>
  <c r="S319" i="18" a="1"/>
  <c r="S319" i="18" s="1"/>
  <c r="S320" i="18" a="1"/>
  <c r="S320" i="18" s="1"/>
  <c r="S321" i="18" a="1"/>
  <c r="S321" i="18" s="1"/>
  <c r="S322" i="18" a="1"/>
  <c r="S322" i="18"/>
  <c r="S323" i="18" a="1"/>
  <c r="S323" i="18" s="1"/>
  <c r="S324" i="18" a="1"/>
  <c r="S324" i="18" s="1"/>
  <c r="S325" i="18" a="1"/>
  <c r="S325" i="18" s="1"/>
  <c r="S326" i="18" a="1"/>
  <c r="S326" i="18" s="1"/>
  <c r="S327" i="18" a="1"/>
  <c r="S327" i="18" s="1"/>
  <c r="S328" i="18" a="1"/>
  <c r="S328" i="18" s="1"/>
  <c r="S329" i="18" a="1"/>
  <c r="S329" i="18" s="1"/>
  <c r="S330" i="18" a="1"/>
  <c r="S330" i="18" s="1"/>
  <c r="S331" i="18" a="1"/>
  <c r="S331" i="18" s="1"/>
  <c r="S332" i="18" a="1"/>
  <c r="S332" i="18" s="1"/>
  <c r="S333" i="18" a="1"/>
  <c r="S333" i="18" s="1"/>
  <c r="S334" i="18" a="1"/>
  <c r="S334" i="18" s="1"/>
  <c r="S335" i="18" a="1"/>
  <c r="S335" i="18" s="1"/>
  <c r="S336" i="18" a="1"/>
  <c r="S336" i="18" s="1"/>
  <c r="S337" i="18" a="1"/>
  <c r="S337" i="18" s="1"/>
  <c r="S338" i="18" a="1"/>
  <c r="S338" i="18"/>
  <c r="S339" i="18" a="1"/>
  <c r="S339" i="18" s="1"/>
  <c r="S340" i="18" a="1"/>
  <c r="S340" i="18" s="1"/>
  <c r="S341" i="18" a="1"/>
  <c r="S341" i="18" s="1"/>
  <c r="S342" i="18" a="1"/>
  <c r="S342" i="18" s="1"/>
  <c r="S343" i="18" a="1"/>
  <c r="S343" i="18" s="1"/>
  <c r="S344" i="18" a="1"/>
  <c r="S344" i="18" s="1"/>
  <c r="S345" i="18" a="1"/>
  <c r="S345" i="18"/>
  <c r="S346" i="18" a="1"/>
  <c r="S346" i="18"/>
  <c r="S347" i="18" a="1"/>
  <c r="S347" i="18" s="1"/>
  <c r="S348" i="18" a="1"/>
  <c r="S348" i="18" s="1"/>
  <c r="S349" i="18" a="1"/>
  <c r="S349" i="18" s="1"/>
  <c r="S350" i="18" a="1"/>
  <c r="S350" i="18" s="1"/>
  <c r="S351" i="18" a="1"/>
  <c r="S351" i="18" s="1"/>
  <c r="S352" i="18" a="1"/>
  <c r="S352" i="18" s="1"/>
  <c r="S353" i="18" a="1"/>
  <c r="S353" i="18" s="1"/>
  <c r="S354" i="18" a="1"/>
  <c r="S354" i="18"/>
  <c r="S355" i="18" a="1"/>
  <c r="S355" i="18" s="1"/>
  <c r="S356" i="18" a="1"/>
  <c r="S356" i="18" s="1"/>
  <c r="S357" i="18" a="1"/>
  <c r="S357" i="18" s="1"/>
  <c r="S358" i="18" a="1"/>
  <c r="S358" i="18" s="1"/>
  <c r="S359" i="18" a="1"/>
  <c r="S359" i="18" s="1"/>
  <c r="S360" i="18" a="1"/>
  <c r="S360" i="18" s="1"/>
  <c r="S361" i="18" a="1"/>
  <c r="S361" i="18" s="1"/>
  <c r="S362" i="18" a="1"/>
  <c r="S362" i="18" s="1"/>
  <c r="S363" i="18" a="1"/>
  <c r="S363" i="18" s="1"/>
  <c r="S364" i="18" a="1"/>
  <c r="S364" i="18" s="1"/>
  <c r="S365" i="18" a="1"/>
  <c r="S365" i="18" s="1"/>
  <c r="S366" i="18" a="1"/>
  <c r="S366" i="18" s="1"/>
  <c r="S367" i="18" a="1"/>
  <c r="S367" i="18" s="1"/>
  <c r="S368" i="18" a="1"/>
  <c r="S368" i="18" s="1"/>
  <c r="S369" i="18" a="1"/>
  <c r="S369" i="18" s="1"/>
  <c r="S370" i="18" a="1"/>
  <c r="S370" i="18" s="1"/>
  <c r="S371" i="18" a="1"/>
  <c r="S371" i="18" s="1"/>
  <c r="S372" i="18" a="1"/>
  <c r="S372" i="18" s="1"/>
  <c r="S373" i="18" a="1"/>
  <c r="S373" i="18" s="1"/>
  <c r="S374" i="18" a="1"/>
  <c r="S374" i="18" s="1"/>
  <c r="S375" i="18" a="1"/>
  <c r="S375" i="18" s="1"/>
  <c r="S376" i="18" a="1"/>
  <c r="S376" i="18" s="1"/>
  <c r="S377" i="18" a="1"/>
  <c r="S377" i="18" s="1"/>
  <c r="S378" i="18" a="1"/>
  <c r="S378" i="18" s="1"/>
  <c r="S379" i="18" a="1"/>
  <c r="S379" i="18"/>
  <c r="S380" i="18" a="1"/>
  <c r="S380" i="18" s="1"/>
  <c r="S381" i="18" a="1"/>
  <c r="S381" i="18" s="1"/>
  <c r="S382" i="18" a="1"/>
  <c r="S382" i="18" s="1"/>
  <c r="S383" i="18" a="1"/>
  <c r="S383" i="18" s="1"/>
  <c r="S384" i="18" a="1"/>
  <c r="S384" i="18" s="1"/>
  <c r="S385" i="18" a="1"/>
  <c r="S385" i="18" s="1"/>
  <c r="S386" i="18" a="1"/>
  <c r="S386" i="18"/>
  <c r="S387" i="18" a="1"/>
  <c r="S387" i="18" s="1"/>
  <c r="S388" i="18" a="1"/>
  <c r="S388" i="18" s="1"/>
  <c r="S389" i="18" a="1"/>
  <c r="S389" i="18" s="1"/>
  <c r="S390" i="18" a="1"/>
  <c r="S390" i="18" s="1"/>
  <c r="S391" i="18" a="1"/>
  <c r="S391" i="18" s="1"/>
  <c r="S392" i="18" a="1"/>
  <c r="S392" i="18" s="1"/>
  <c r="S393" i="18" a="1"/>
  <c r="S393" i="18" s="1"/>
  <c r="S394" i="18" a="1"/>
  <c r="S394" i="18" s="1"/>
  <c r="S395" i="18" a="1"/>
  <c r="S395" i="18" s="1"/>
  <c r="S396" i="18" a="1"/>
  <c r="S396" i="18" s="1"/>
  <c r="S397" i="18" a="1"/>
  <c r="S397" i="18" s="1"/>
  <c r="S398" i="18" a="1"/>
  <c r="S398" i="18" s="1"/>
  <c r="S399" i="18" a="1"/>
  <c r="S399" i="18" s="1"/>
  <c r="S400" i="18" a="1"/>
  <c r="S400" i="18" s="1"/>
  <c r="S401" i="18" a="1"/>
  <c r="S401" i="18" s="1"/>
  <c r="S402" i="18" a="1"/>
  <c r="S402" i="18"/>
  <c r="S403" i="18" a="1"/>
  <c r="S403" i="18" s="1"/>
  <c r="S404" i="18" a="1"/>
  <c r="S404" i="18" s="1"/>
  <c r="S405" i="18" a="1"/>
  <c r="S405" i="18" s="1"/>
  <c r="S406" i="18" a="1"/>
  <c r="S406" i="18" s="1"/>
  <c r="S407" i="18" a="1"/>
  <c r="S407" i="18" s="1"/>
  <c r="S408" i="18" a="1"/>
  <c r="S408" i="18" s="1"/>
  <c r="S409" i="18" a="1"/>
  <c r="S409" i="18"/>
  <c r="S410" i="18" a="1"/>
  <c r="S410" i="18" s="1"/>
  <c r="S411" i="18" a="1"/>
  <c r="S411" i="18"/>
  <c r="S412" i="18" a="1"/>
  <c r="S412" i="18" s="1"/>
  <c r="S413" i="18" a="1"/>
  <c r="S413" i="18" s="1"/>
  <c r="S414" i="18" a="1"/>
  <c r="S414" i="18" s="1"/>
  <c r="S415" i="18" a="1"/>
  <c r="S415" i="18" s="1"/>
  <c r="S416" i="18" a="1"/>
  <c r="S416" i="18" s="1"/>
  <c r="S417" i="18" a="1"/>
  <c r="S417" i="18" s="1"/>
  <c r="S418" i="18" a="1"/>
  <c r="S418" i="18"/>
  <c r="S419" i="18" a="1"/>
  <c r="S419" i="18" s="1"/>
  <c r="S420" i="18" a="1"/>
  <c r="S420" i="18" s="1"/>
  <c r="S421" i="18" a="1"/>
  <c r="S421" i="18" s="1"/>
  <c r="S422" i="18" a="1"/>
  <c r="S422" i="18" s="1"/>
  <c r="S423" i="18" a="1"/>
  <c r="S423" i="18" s="1"/>
  <c r="S424" i="18" a="1"/>
  <c r="S424" i="18" s="1"/>
  <c r="S425" i="18" a="1"/>
  <c r="S425" i="18" s="1"/>
  <c r="S426" i="18" a="1"/>
  <c r="S426" i="18" s="1"/>
  <c r="S427" i="18" a="1"/>
  <c r="S427" i="18" s="1"/>
  <c r="S428" i="18" a="1"/>
  <c r="S428" i="18" s="1"/>
  <c r="S429" i="18" a="1"/>
  <c r="S429" i="18" s="1"/>
  <c r="S430" i="18" a="1"/>
  <c r="S430" i="18" s="1"/>
  <c r="S431" i="18" a="1"/>
  <c r="S431" i="18" s="1"/>
  <c r="S432" i="18" a="1"/>
  <c r="S432" i="18" s="1"/>
  <c r="S433" i="18" a="1"/>
  <c r="S433" i="18" s="1"/>
  <c r="S434" i="18" a="1"/>
  <c r="S434" i="18"/>
  <c r="S435" i="18" a="1"/>
  <c r="S435" i="18" s="1"/>
  <c r="S436" i="18" a="1"/>
  <c r="S436" i="18" s="1"/>
  <c r="S437" i="18" a="1"/>
  <c r="S437" i="18" s="1"/>
  <c r="S438" i="18" a="1"/>
  <c r="S438" i="18" s="1"/>
  <c r="S439" i="18" a="1"/>
  <c r="S439" i="18" s="1"/>
  <c r="S440" i="18" a="1"/>
  <c r="S440" i="18" s="1"/>
  <c r="S441" i="18" a="1"/>
  <c r="S441" i="18"/>
  <c r="S442" i="18" a="1"/>
  <c r="S442" i="18" s="1"/>
  <c r="S443" i="18" a="1"/>
  <c r="S443" i="18"/>
  <c r="S444" i="18" a="1"/>
  <c r="S444" i="18" s="1"/>
  <c r="S445" i="18" a="1"/>
  <c r="S445" i="18" s="1"/>
  <c r="S446" i="18" a="1"/>
  <c r="S446" i="18" s="1"/>
  <c r="S447" i="18" a="1"/>
  <c r="S447" i="18" s="1"/>
  <c r="S448" i="18" a="1"/>
  <c r="S448" i="18" s="1"/>
  <c r="S449" i="18" a="1"/>
  <c r="S449" i="18" s="1"/>
  <c r="S450" i="18" a="1"/>
  <c r="S450" i="18"/>
  <c r="S451" i="18" a="1"/>
  <c r="S451" i="18" s="1"/>
  <c r="S452" i="18" a="1"/>
  <c r="S452" i="18" s="1"/>
  <c r="S453" i="18" a="1"/>
  <c r="S453" i="18" s="1"/>
  <c r="S454" i="18" a="1"/>
  <c r="S454" i="18" s="1"/>
  <c r="S455" i="18" a="1"/>
  <c r="S455" i="18" s="1"/>
  <c r="S456" i="18" a="1"/>
  <c r="S456" i="18" s="1"/>
  <c r="S457" i="18" a="1"/>
  <c r="S457" i="18" s="1"/>
  <c r="S458" i="18" a="1"/>
  <c r="S458" i="18" s="1"/>
  <c r="S459" i="18" a="1"/>
  <c r="S459" i="18" s="1"/>
  <c r="S460" i="18" a="1"/>
  <c r="S460" i="18" s="1"/>
  <c r="S461" i="18" a="1"/>
  <c r="S461" i="18" s="1"/>
  <c r="S462" i="18" a="1"/>
  <c r="S462" i="18" s="1"/>
  <c r="S463" i="18" a="1"/>
  <c r="S463" i="18" s="1"/>
  <c r="S464" i="18" a="1"/>
  <c r="S464" i="18" s="1"/>
  <c r="S465" i="18" a="1"/>
  <c r="S465" i="18" s="1"/>
  <c r="S466" i="18" a="1"/>
  <c r="S466" i="18"/>
  <c r="S467" i="18" a="1"/>
  <c r="S467" i="18" s="1"/>
  <c r="S468" i="18" a="1"/>
  <c r="S468" i="18" s="1"/>
  <c r="S469" i="18" a="1"/>
  <c r="S469" i="18" s="1"/>
  <c r="S470" i="18" a="1"/>
  <c r="S470" i="18" s="1"/>
  <c r="S471" i="18" a="1"/>
  <c r="S471" i="18" s="1"/>
  <c r="S472" i="18" a="1"/>
  <c r="S472" i="18" s="1"/>
  <c r="S473" i="18" a="1"/>
  <c r="S473" i="18"/>
  <c r="S474" i="18" a="1"/>
  <c r="S474" i="18" s="1"/>
  <c r="S475" i="18" a="1"/>
  <c r="S475" i="18"/>
  <c r="S476" i="18" a="1"/>
  <c r="S476" i="18" s="1"/>
  <c r="S477" i="18" a="1"/>
  <c r="S477" i="18" s="1"/>
  <c r="S478" i="18" a="1"/>
  <c r="S478" i="18" s="1"/>
  <c r="S479" i="18" a="1"/>
  <c r="S479" i="18" s="1"/>
  <c r="S480" i="18" a="1"/>
  <c r="S480" i="18" s="1"/>
  <c r="S481" i="18" a="1"/>
  <c r="S481" i="18" s="1"/>
  <c r="S482" i="18" a="1"/>
  <c r="S482" i="18"/>
  <c r="S483" i="18" a="1"/>
  <c r="S483" i="18" s="1"/>
  <c r="S484" i="18" a="1"/>
  <c r="S484" i="18" s="1"/>
  <c r="S485" i="18" a="1"/>
  <c r="S485" i="18" s="1"/>
  <c r="S486" i="18" a="1"/>
  <c r="S486" i="18" s="1"/>
  <c r="S487" i="18" a="1"/>
  <c r="S487" i="18" s="1"/>
  <c r="S488" i="18" a="1"/>
  <c r="S488" i="18" s="1"/>
  <c r="S489" i="18" a="1"/>
  <c r="S489" i="18" s="1"/>
  <c r="S490" i="18" a="1"/>
  <c r="S490" i="18" s="1"/>
  <c r="S491" i="18" a="1"/>
  <c r="S491" i="18" s="1"/>
  <c r="S492" i="18" a="1"/>
  <c r="S492" i="18" s="1"/>
  <c r="S493" i="18" a="1"/>
  <c r="S493" i="18" s="1"/>
  <c r="S494" i="18" a="1"/>
  <c r="S494" i="18" s="1"/>
  <c r="S495" i="18" a="1"/>
  <c r="S495" i="18" s="1"/>
  <c r="S496" i="18" a="1"/>
  <c r="S496" i="18" s="1"/>
  <c r="S497" i="18" a="1"/>
  <c r="S497" i="18" s="1"/>
  <c r="S498" i="18" a="1"/>
  <c r="S498" i="18"/>
  <c r="S499" i="18" a="1"/>
  <c r="S499" i="18" s="1"/>
  <c r="S500" i="18" a="1"/>
  <c r="S500" i="18" s="1"/>
  <c r="S501" i="18" a="1"/>
  <c r="S501" i="18" s="1"/>
  <c r="S502" i="18" a="1"/>
  <c r="S502" i="18" s="1"/>
  <c r="S503" i="18" a="1"/>
  <c r="S503" i="18" s="1"/>
  <c r="S504" i="18" a="1"/>
  <c r="S504" i="18" s="1"/>
  <c r="S505" i="18" a="1"/>
  <c r="S505" i="18"/>
  <c r="S506" i="18" a="1"/>
  <c r="S506" i="18" s="1"/>
  <c r="S507" i="18" a="1"/>
  <c r="S507" i="18"/>
  <c r="S508" i="18" a="1"/>
  <c r="S508" i="18" s="1"/>
  <c r="S509" i="18" a="1"/>
  <c r="S509" i="18" s="1"/>
  <c r="S510" i="18" a="1"/>
  <c r="S510" i="18" s="1"/>
  <c r="S511" i="18" a="1"/>
  <c r="S511" i="18" s="1"/>
  <c r="S512" i="18" a="1"/>
  <c r="S512" i="18" s="1"/>
  <c r="S513" i="18" a="1"/>
  <c r="S513" i="18" s="1"/>
  <c r="S514" i="18" a="1"/>
  <c r="S514" i="18"/>
  <c r="S515" i="18" a="1"/>
  <c r="S515" i="18" s="1"/>
  <c r="S516" i="18" a="1"/>
  <c r="S516" i="18" s="1"/>
  <c r="S517" i="18" a="1"/>
  <c r="S517" i="18" s="1"/>
  <c r="S518" i="18" a="1"/>
  <c r="S518" i="18" s="1"/>
  <c r="S519" i="18" a="1"/>
  <c r="S519" i="18" s="1"/>
  <c r="S520" i="18" a="1"/>
  <c r="S520" i="18" s="1"/>
  <c r="S521" i="18" a="1"/>
  <c r="S521" i="18" s="1"/>
  <c r="S522" i="18" a="1"/>
  <c r="S522" i="18" s="1"/>
  <c r="S523" i="18" a="1"/>
  <c r="S523" i="18" s="1"/>
  <c r="S524" i="18" a="1"/>
  <c r="S524" i="18" s="1"/>
  <c r="S525" i="18" a="1"/>
  <c r="S525" i="18" s="1"/>
  <c r="S526" i="18" a="1"/>
  <c r="S526" i="18" s="1"/>
  <c r="S527" i="18" a="1"/>
  <c r="S527" i="18" s="1"/>
  <c r="S528" i="18" a="1"/>
  <c r="S528" i="18" s="1"/>
  <c r="S529" i="18" a="1"/>
  <c r="S529" i="18" s="1"/>
  <c r="S530" i="18" a="1"/>
  <c r="S530" i="18"/>
  <c r="S531" i="18" a="1"/>
  <c r="S531" i="18" s="1"/>
  <c r="S532" i="18" a="1"/>
  <c r="S532" i="18" s="1"/>
  <c r="S533" i="18" a="1"/>
  <c r="S533" i="18" s="1"/>
  <c r="S534" i="18" a="1"/>
  <c r="S534" i="18" s="1"/>
  <c r="S535" i="18" a="1"/>
  <c r="S535" i="18" s="1"/>
  <c r="S536" i="18" a="1"/>
  <c r="S536" i="18" s="1"/>
  <c r="S537" i="18" a="1"/>
  <c r="S537" i="18"/>
  <c r="S538" i="18" a="1"/>
  <c r="S538" i="18" s="1"/>
  <c r="S539" i="18" a="1"/>
  <c r="S539" i="18"/>
  <c r="S540" i="18" a="1"/>
  <c r="S540" i="18" s="1"/>
  <c r="S541" i="18" a="1"/>
  <c r="S541" i="18" s="1"/>
  <c r="S542" i="18" a="1"/>
  <c r="S542" i="18" s="1"/>
  <c r="S543" i="18" a="1"/>
  <c r="S543" i="18" s="1"/>
  <c r="S544" i="18" a="1"/>
  <c r="S544" i="18" s="1"/>
  <c r="S545" i="18" a="1"/>
  <c r="S545" i="18" s="1"/>
  <c r="S546" i="18" a="1"/>
  <c r="S546" i="18"/>
  <c r="S547" i="18" a="1"/>
  <c r="S547" i="18" s="1"/>
  <c r="S548" i="18" a="1"/>
  <c r="S548" i="18" s="1"/>
  <c r="S549" i="18" a="1"/>
  <c r="S549" i="18" s="1"/>
  <c r="S550" i="18" a="1"/>
  <c r="S550" i="18" s="1"/>
  <c r="S551" i="18" a="1"/>
  <c r="S551" i="18" s="1"/>
  <c r="S552" i="18" a="1"/>
  <c r="S552" i="18" s="1"/>
  <c r="S553" i="18" a="1"/>
  <c r="S553" i="18" s="1"/>
  <c r="S554" i="18" a="1"/>
  <c r="S554" i="18" s="1"/>
  <c r="S555" i="18" a="1"/>
  <c r="S555" i="18" s="1"/>
  <c r="S556" i="18" a="1"/>
  <c r="S556" i="18" s="1"/>
  <c r="S557" i="18" a="1"/>
  <c r="S557" i="18" s="1"/>
  <c r="S558" i="18" a="1"/>
  <c r="S558" i="18" s="1"/>
  <c r="S559" i="18" a="1"/>
  <c r="S559" i="18" s="1"/>
  <c r="S560" i="18" a="1"/>
  <c r="S560" i="18" s="1"/>
  <c r="S561" i="18" a="1"/>
  <c r="S561" i="18" s="1"/>
  <c r="S562" i="18" a="1"/>
  <c r="S562" i="18"/>
  <c r="S563" i="18" a="1"/>
  <c r="S563" i="18" s="1"/>
  <c r="S564" i="18" a="1"/>
  <c r="S564" i="18" s="1"/>
  <c r="S565" i="18" a="1"/>
  <c r="S565" i="18" s="1"/>
  <c r="S566" i="18" a="1"/>
  <c r="S566" i="18" s="1"/>
  <c r="S567" i="18" a="1"/>
  <c r="S567" i="18" s="1"/>
  <c r="S568" i="18" a="1"/>
  <c r="S568" i="18" s="1"/>
  <c r="S569" i="18" a="1"/>
  <c r="S569" i="18"/>
  <c r="S570" i="18" a="1"/>
  <c r="S570" i="18" s="1"/>
  <c r="S571" i="18" a="1"/>
  <c r="S571" i="18"/>
  <c r="S572" i="18" a="1"/>
  <c r="S572" i="18" s="1"/>
  <c r="S573" i="18" a="1"/>
  <c r="S573" i="18" s="1"/>
  <c r="S574" i="18" a="1"/>
  <c r="S574" i="18" s="1"/>
  <c r="S575" i="18" a="1"/>
  <c r="S575" i="18" s="1"/>
  <c r="S576" i="18" a="1"/>
  <c r="S576" i="18" s="1"/>
  <c r="S577" i="18" a="1"/>
  <c r="S577" i="18" s="1"/>
  <c r="S578" i="18" a="1"/>
  <c r="S578" i="18"/>
  <c r="S579" i="18" a="1"/>
  <c r="S579" i="18" s="1"/>
  <c r="S580" i="18" a="1"/>
  <c r="S580" i="18" s="1"/>
  <c r="S581" i="18" a="1"/>
  <c r="S581" i="18" s="1"/>
  <c r="S582" i="18" a="1"/>
  <c r="S582" i="18" s="1"/>
  <c r="S583" i="18" a="1"/>
  <c r="S583" i="18" s="1"/>
  <c r="S584" i="18" a="1"/>
  <c r="S584" i="18" s="1"/>
  <c r="S585" i="18" a="1"/>
  <c r="S585" i="18" s="1"/>
  <c r="S586" i="18" a="1"/>
  <c r="S586" i="18" s="1"/>
  <c r="S587" i="18" a="1"/>
  <c r="S587" i="18" s="1"/>
  <c r="S588" i="18" a="1"/>
  <c r="S588" i="18" s="1"/>
  <c r="S589" i="18" a="1"/>
  <c r="S589" i="18" s="1"/>
  <c r="S590" i="18" a="1"/>
  <c r="S590" i="18" s="1"/>
  <c r="S591" i="18" a="1"/>
  <c r="S591" i="18" s="1"/>
  <c r="S592" i="18" a="1"/>
  <c r="S592" i="18" s="1"/>
  <c r="S593" i="18" a="1"/>
  <c r="S593" i="18" s="1"/>
  <c r="S594" i="18" a="1"/>
  <c r="S594" i="18"/>
  <c r="S595" i="18" a="1"/>
  <c r="S595" i="18" s="1"/>
  <c r="S596" i="18" a="1"/>
  <c r="S596" i="18" s="1"/>
  <c r="S597" i="18" a="1"/>
  <c r="S597" i="18" s="1"/>
  <c r="S598" i="18" a="1"/>
  <c r="S598" i="18" s="1"/>
  <c r="S599" i="18" a="1"/>
  <c r="S599" i="18" s="1"/>
  <c r="S600" i="18" a="1"/>
  <c r="S600" i="18" s="1"/>
  <c r="S601" i="18" a="1"/>
  <c r="S601" i="18"/>
  <c r="S602" i="18" a="1"/>
  <c r="S602" i="18" s="1"/>
  <c r="S603" i="18" a="1"/>
  <c r="S603" i="18"/>
  <c r="S604" i="18" a="1"/>
  <c r="S604" i="18" s="1"/>
  <c r="S605" i="18" a="1"/>
  <c r="S605" i="18" s="1"/>
  <c r="S606" i="18" a="1"/>
  <c r="S606" i="18" s="1"/>
  <c r="S607" i="18" a="1"/>
  <c r="S607" i="18" s="1"/>
  <c r="S608" i="18" a="1"/>
  <c r="S608" i="18" s="1"/>
  <c r="S609" i="18" a="1"/>
  <c r="S609" i="18" s="1"/>
  <c r="S610" i="18" a="1"/>
  <c r="S610" i="18"/>
  <c r="S611" i="18" a="1"/>
  <c r="S611" i="18" s="1"/>
  <c r="S612" i="18" a="1"/>
  <c r="S612" i="18" s="1"/>
  <c r="S613" i="18" a="1"/>
  <c r="S613" i="18" s="1"/>
  <c r="S614" i="18" a="1"/>
  <c r="S614" i="18" s="1"/>
  <c r="S615" i="18" a="1"/>
  <c r="S615" i="18" s="1"/>
  <c r="S616" i="18" a="1"/>
  <c r="S616" i="18" s="1"/>
  <c r="S617" i="18" a="1"/>
  <c r="S617" i="18" s="1"/>
  <c r="S618" i="18" a="1"/>
  <c r="S618" i="18" s="1"/>
  <c r="S619" i="18" a="1"/>
  <c r="S619" i="18" s="1"/>
  <c r="S620" i="18" a="1"/>
  <c r="S620" i="18" s="1"/>
  <c r="S621" i="18" a="1"/>
  <c r="S621" i="18" s="1"/>
  <c r="S622" i="18" a="1"/>
  <c r="S622" i="18" s="1"/>
  <c r="S623" i="18" a="1"/>
  <c r="S623" i="18" s="1"/>
  <c r="S624" i="18" a="1"/>
  <c r="S624" i="18" s="1"/>
  <c r="S625" i="18" a="1"/>
  <c r="S625" i="18" s="1"/>
  <c r="S626" i="18" a="1"/>
  <c r="S626" i="18"/>
  <c r="S627" i="18" a="1"/>
  <c r="S627" i="18" s="1"/>
  <c r="S628" i="18" a="1"/>
  <c r="S628" i="18" s="1"/>
  <c r="S629" i="18" a="1"/>
  <c r="S629" i="18" s="1"/>
  <c r="S630" i="18" a="1"/>
  <c r="S630" i="18" s="1"/>
  <c r="S631" i="18" a="1"/>
  <c r="S631" i="18" s="1"/>
  <c r="S632" i="18" a="1"/>
  <c r="S632" i="18" s="1"/>
  <c r="S633" i="18" a="1"/>
  <c r="S633" i="18"/>
  <c r="S634" i="18" a="1"/>
  <c r="S634" i="18" s="1"/>
  <c r="S635" i="18" a="1"/>
  <c r="S635" i="18"/>
  <c r="S636" i="18" a="1"/>
  <c r="S636" i="18" s="1"/>
  <c r="S637" i="18" a="1"/>
  <c r="S637" i="18" s="1"/>
  <c r="S638" i="18" a="1"/>
  <c r="S638" i="18" s="1"/>
  <c r="S639" i="18" a="1"/>
  <c r="S639" i="18" s="1"/>
  <c r="S640" i="18" a="1"/>
  <c r="S640" i="18" s="1"/>
  <c r="S641" i="18" a="1"/>
  <c r="S641" i="18" s="1"/>
  <c r="S642" i="18" a="1"/>
  <c r="S642" i="18"/>
  <c r="S643" i="18" a="1"/>
  <c r="S643" i="18" s="1"/>
  <c r="S644" i="18" a="1"/>
  <c r="S644" i="18" s="1"/>
  <c r="S645" i="18" a="1"/>
  <c r="S645" i="18" s="1"/>
  <c r="S646" i="18" a="1"/>
  <c r="S646" i="18" s="1"/>
  <c r="S647" i="18" a="1"/>
  <c r="S647" i="18" s="1"/>
  <c r="S648" i="18" a="1"/>
  <c r="S648" i="18" s="1"/>
  <c r="S649" i="18" a="1"/>
  <c r="S649" i="18" s="1"/>
  <c r="S650" i="18" a="1"/>
  <c r="S650" i="18" s="1"/>
  <c r="S651" i="18" a="1"/>
  <c r="S651" i="18" s="1"/>
  <c r="S652" i="18" a="1"/>
  <c r="S652" i="18" s="1"/>
  <c r="S653" i="18" a="1"/>
  <c r="S653" i="18" s="1"/>
  <c r="S654" i="18" a="1"/>
  <c r="S654" i="18" s="1"/>
  <c r="S655" i="18" a="1"/>
  <c r="S655" i="18" s="1"/>
  <c r="S656" i="18" a="1"/>
  <c r="S656" i="18" s="1"/>
  <c r="S657" i="18" a="1"/>
  <c r="S657" i="18" s="1"/>
  <c r="S658" i="18" a="1"/>
  <c r="S658" i="18"/>
  <c r="S659" i="18" a="1"/>
  <c r="S659" i="18" s="1"/>
  <c r="S660" i="18" a="1"/>
  <c r="S660" i="18" s="1"/>
  <c r="S661" i="18" a="1"/>
  <c r="S661" i="18" s="1"/>
  <c r="S662" i="18" a="1"/>
  <c r="S662" i="18" s="1"/>
  <c r="S663" i="18" a="1"/>
  <c r="S663" i="18" s="1"/>
  <c r="S664" i="18" a="1"/>
  <c r="S664" i="18" s="1"/>
  <c r="S665" i="18" a="1"/>
  <c r="S665" i="18"/>
  <c r="S666" i="18" a="1"/>
  <c r="S666" i="18" s="1"/>
  <c r="S667" i="18" a="1"/>
  <c r="S667" i="18"/>
  <c r="S668" i="18" a="1"/>
  <c r="S668" i="18" s="1"/>
  <c r="S669" i="18" a="1"/>
  <c r="S669" i="18" s="1"/>
  <c r="S670" i="18" a="1"/>
  <c r="S670" i="18" s="1"/>
  <c r="S671" i="18" a="1"/>
  <c r="S671" i="18" s="1"/>
  <c r="S672" i="18" a="1"/>
  <c r="S672" i="18" s="1"/>
  <c r="S673" i="18" a="1"/>
  <c r="S673" i="18" s="1"/>
  <c r="S674" i="18" a="1"/>
  <c r="S674" i="18"/>
  <c r="S675" i="18" a="1"/>
  <c r="S675" i="18" s="1"/>
  <c r="S676" i="18" a="1"/>
  <c r="S676" i="18" s="1"/>
  <c r="S677" i="18" a="1"/>
  <c r="S677" i="18" s="1"/>
  <c r="S678" i="18" a="1"/>
  <c r="S678" i="18" s="1"/>
  <c r="S679" i="18" a="1"/>
  <c r="S679" i="18" s="1"/>
  <c r="S680" i="18" a="1"/>
  <c r="S680" i="18" s="1"/>
  <c r="S681" i="18" a="1"/>
  <c r="S681" i="18" s="1"/>
  <c r="S682" i="18" a="1"/>
  <c r="S682" i="18" s="1"/>
  <c r="S683" i="18" a="1"/>
  <c r="S683" i="18" s="1"/>
  <c r="S684" i="18" a="1"/>
  <c r="S684" i="18" s="1"/>
  <c r="S685" i="18" a="1"/>
  <c r="S685" i="18" s="1"/>
  <c r="S686" i="18" a="1"/>
  <c r="S686" i="18" s="1"/>
  <c r="S687" i="18" a="1"/>
  <c r="S687" i="18" s="1"/>
  <c r="S688" i="18" a="1"/>
  <c r="S688" i="18" s="1"/>
  <c r="S689" i="18" a="1"/>
  <c r="S689" i="18" s="1"/>
  <c r="S690" i="18" a="1"/>
  <c r="S690" i="18"/>
  <c r="S691" i="18" a="1"/>
  <c r="S691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/>
  <c r="T8" i="18" a="1"/>
  <c r="T8" i="18" s="1"/>
  <c r="T9" i="18" a="1"/>
  <c r="T9" i="18"/>
  <c r="T10" i="18" a="1"/>
  <c r="T10" i="18" s="1"/>
  <c r="T11" i="18" a="1"/>
  <c r="T11" i="18" s="1"/>
  <c r="T12" i="18" a="1"/>
  <c r="T12" i="18" s="1"/>
  <c r="T13" i="18" a="1"/>
  <c r="T13" i="18" s="1"/>
  <c r="T14" i="18" a="1"/>
  <c r="T14" i="18" s="1"/>
  <c r="T15" i="18" a="1"/>
  <c r="T15" i="18" s="1"/>
  <c r="T16" i="18" a="1"/>
  <c r="T16" i="18"/>
  <c r="T17" i="18" a="1"/>
  <c r="T17" i="18" s="1"/>
  <c r="T18" i="18" a="1"/>
  <c r="T18" i="18" s="1"/>
  <c r="T19" i="18" a="1"/>
  <c r="T19" i="18" s="1"/>
  <c r="T20" i="18" a="1"/>
  <c r="T20" i="18" s="1"/>
  <c r="T21" i="18" a="1"/>
  <c r="T21" i="18" s="1"/>
  <c r="T22" i="18" a="1"/>
  <c r="T22" i="18" s="1"/>
  <c r="T23" i="18" a="1"/>
  <c r="T23" i="18" s="1"/>
  <c r="T24" i="18" a="1"/>
  <c r="T24" i="18" s="1"/>
  <c r="T25" i="18" a="1"/>
  <c r="T25" i="18" s="1"/>
  <c r="T26" i="18" a="1"/>
  <c r="T26" i="18" s="1"/>
  <c r="T27" i="18" a="1"/>
  <c r="T27" i="18" s="1"/>
  <c r="T28" i="18" a="1"/>
  <c r="T28" i="18" s="1"/>
  <c r="T29" i="18" a="1"/>
  <c r="T29" i="18" s="1"/>
  <c r="T30" i="18" a="1"/>
  <c r="T30" i="18" s="1"/>
  <c r="T31" i="18" a="1"/>
  <c r="T31" i="18" s="1"/>
  <c r="T32" i="18" a="1"/>
  <c r="T32" i="18"/>
  <c r="T33" i="18" a="1"/>
  <c r="T33" i="18" s="1"/>
  <c r="T34" i="18" a="1"/>
  <c r="T34" i="18" s="1"/>
  <c r="T35" i="18" a="1"/>
  <c r="T35" i="18"/>
  <c r="T36" i="18" a="1"/>
  <c r="T36" i="18" s="1"/>
  <c r="T37" i="18" a="1"/>
  <c r="T37" i="18" s="1"/>
  <c r="T38" i="18" a="1"/>
  <c r="T38" i="18"/>
  <c r="T39" i="18" a="1"/>
  <c r="T39" i="18" s="1"/>
  <c r="T40" i="18" a="1"/>
  <c r="T40" i="18" s="1"/>
  <c r="T41" i="18" a="1"/>
  <c r="T41" i="18" s="1"/>
  <c r="T42" i="18" a="1"/>
  <c r="T42" i="18" s="1"/>
  <c r="T43" i="18" a="1"/>
  <c r="T43" i="18"/>
  <c r="T44" i="18" a="1"/>
  <c r="T44" i="18" s="1"/>
  <c r="T45" i="18" a="1"/>
  <c r="T45" i="18" s="1"/>
  <c r="T46" i="18" a="1"/>
  <c r="T46" i="18"/>
  <c r="T47" i="18" a="1"/>
  <c r="T47" i="18" s="1"/>
  <c r="T48" i="18" a="1"/>
  <c r="T48" i="18" s="1"/>
  <c r="T49" i="18" a="1"/>
  <c r="T49" i="18" s="1"/>
  <c r="T50" i="18" a="1"/>
  <c r="T50" i="18" s="1"/>
  <c r="T51" i="18" a="1"/>
  <c r="T51" i="18"/>
  <c r="T52" i="18" a="1"/>
  <c r="T52" i="18" s="1"/>
  <c r="T53" i="18" a="1"/>
  <c r="T53" i="18" s="1"/>
  <c r="T54" i="18" a="1"/>
  <c r="T54" i="18"/>
  <c r="T55" i="18" a="1"/>
  <c r="T55" i="18" s="1"/>
  <c r="T56" i="18" a="1"/>
  <c r="T56" i="18" s="1"/>
  <c r="T57" i="18" a="1"/>
  <c r="T57" i="18" s="1"/>
  <c r="T58" i="18" a="1"/>
  <c r="T58" i="18" s="1"/>
  <c r="T59" i="18" a="1"/>
  <c r="T59" i="18"/>
  <c r="T60" i="18" a="1"/>
  <c r="T60" i="18" s="1"/>
  <c r="T61" i="18" a="1"/>
  <c r="T61" i="18" s="1"/>
  <c r="T62" i="18" a="1"/>
  <c r="T62" i="18" s="1"/>
  <c r="T63" i="18" a="1"/>
  <c r="T63" i="18" s="1"/>
  <c r="T64" i="18" a="1"/>
  <c r="T64" i="18" s="1"/>
  <c r="T65" i="18" a="1"/>
  <c r="T65" i="18" s="1"/>
  <c r="T66" i="18" a="1"/>
  <c r="T66" i="18" s="1"/>
  <c r="T67" i="18" a="1"/>
  <c r="T67" i="18" s="1"/>
  <c r="T68" i="18" a="1"/>
  <c r="T68" i="18" s="1"/>
  <c r="T69" i="18" a="1"/>
  <c r="T69" i="18" s="1"/>
  <c r="T70" i="18" a="1"/>
  <c r="T70" i="18" s="1"/>
  <c r="T71" i="18" a="1"/>
  <c r="T71" i="18"/>
  <c r="T72" i="18" a="1"/>
  <c r="T72" i="18" s="1"/>
  <c r="T73" i="18" a="1"/>
  <c r="T73" i="18" s="1"/>
  <c r="T74" i="18" a="1"/>
  <c r="T74" i="18" s="1"/>
  <c r="T75" i="18" a="1"/>
  <c r="T75" i="18"/>
  <c r="T76" i="18" a="1"/>
  <c r="T76" i="18" s="1"/>
  <c r="T77" i="18" a="1"/>
  <c r="T77" i="18" s="1"/>
  <c r="T78" i="18" a="1"/>
  <c r="T78" i="18" s="1"/>
  <c r="T79" i="18" a="1"/>
  <c r="T79" i="18" s="1"/>
  <c r="T80" i="18" a="1"/>
  <c r="T80" i="18" s="1"/>
  <c r="T81" i="18" a="1"/>
  <c r="T81" i="18" s="1"/>
  <c r="T82" i="18" a="1"/>
  <c r="T82" i="18" s="1"/>
  <c r="T83" i="18" a="1"/>
  <c r="T83" i="18" s="1"/>
  <c r="T84" i="18" a="1"/>
  <c r="T84" i="18" s="1"/>
  <c r="T85" i="18" a="1"/>
  <c r="T85" i="18" s="1"/>
  <c r="T86" i="18" a="1"/>
  <c r="T86" i="18" s="1"/>
  <c r="T87" i="18" a="1"/>
  <c r="T87" i="18"/>
  <c r="T88" i="18" a="1"/>
  <c r="T88" i="18" s="1"/>
  <c r="T89" i="18" a="1"/>
  <c r="T89" i="18" s="1"/>
  <c r="T90" i="18" a="1"/>
  <c r="T90" i="18" s="1"/>
  <c r="T91" i="18" a="1"/>
  <c r="T91" i="18"/>
  <c r="T92" i="18" a="1"/>
  <c r="T92" i="18" s="1"/>
  <c r="T93" i="18" a="1"/>
  <c r="T93" i="18" s="1"/>
  <c r="T94" i="18" a="1"/>
  <c r="T94" i="18" s="1"/>
  <c r="T95" i="18" a="1"/>
  <c r="T95" i="18" s="1"/>
  <c r="T96" i="18" a="1"/>
  <c r="T96" i="18" s="1"/>
  <c r="T97" i="18" a="1"/>
  <c r="T97" i="18" s="1"/>
  <c r="T98" i="18" a="1"/>
  <c r="T98" i="18" s="1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/>
  <c r="T104" i="18" a="1"/>
  <c r="T104" i="18" s="1"/>
  <c r="T105" i="18" a="1"/>
  <c r="T105" i="18" s="1"/>
  <c r="T106" i="18" a="1"/>
  <c r="T106" i="18" s="1"/>
  <c r="T107" i="18" a="1"/>
  <c r="T107" i="18"/>
  <c r="T108" i="18" a="1"/>
  <c r="T108" i="18" s="1"/>
  <c r="T109" i="18" a="1"/>
  <c r="T109" i="18" s="1"/>
  <c r="T110" i="18" a="1"/>
  <c r="T110" i="18" s="1"/>
  <c r="T111" i="18" a="1"/>
  <c r="T111" i="18" s="1"/>
  <c r="T112" i="18" a="1"/>
  <c r="T112" i="18" s="1"/>
  <c r="T113" i="18" a="1"/>
  <c r="T113" i="18" s="1"/>
  <c r="T114" i="18" a="1"/>
  <c r="T114" i="18" s="1"/>
  <c r="T115" i="18" a="1"/>
  <c r="T115" i="18" s="1"/>
  <c r="T116" i="18" a="1"/>
  <c r="T116" i="18" s="1"/>
  <c r="T117" i="18" a="1"/>
  <c r="T117" i="18" s="1"/>
  <c r="T118" i="18" a="1"/>
  <c r="T118" i="18" s="1"/>
  <c r="T119" i="18" a="1"/>
  <c r="T119" i="18"/>
  <c r="T120" i="18" a="1"/>
  <c r="T120" i="18" s="1"/>
  <c r="T121" i="18" a="1"/>
  <c r="T121" i="18" s="1"/>
  <c r="T122" i="18" a="1"/>
  <c r="T122" i="18" s="1"/>
  <c r="T123" i="18" a="1"/>
  <c r="T123" i="18"/>
  <c r="T124" i="18" a="1"/>
  <c r="T124" i="18" s="1"/>
  <c r="T125" i="18" a="1"/>
  <c r="T125" i="18" s="1"/>
  <c r="T126" i="18" a="1"/>
  <c r="T126" i="18" s="1"/>
  <c r="T127" i="18" a="1"/>
  <c r="T127" i="18" s="1"/>
  <c r="T128" i="18" a="1"/>
  <c r="T128" i="18" s="1"/>
  <c r="T129" i="18" a="1"/>
  <c r="T129" i="18" s="1"/>
  <c r="T130" i="18" a="1"/>
  <c r="T130" i="18" s="1"/>
  <c r="T131" i="18" a="1"/>
  <c r="T131" i="18" s="1"/>
  <c r="T132" i="18" a="1"/>
  <c r="T132" i="18" s="1"/>
  <c r="T133" i="18" a="1"/>
  <c r="T133" i="18" s="1"/>
  <c r="T134" i="18" a="1"/>
  <c r="T134" i="18" s="1"/>
  <c r="T135" i="18" a="1"/>
  <c r="T135" i="18"/>
  <c r="T136" i="18" a="1"/>
  <c r="T136" i="18" s="1"/>
  <c r="T137" i="18" a="1"/>
  <c r="T137" i="18" s="1"/>
  <c r="T138" i="18" a="1"/>
  <c r="T138" i="18" s="1"/>
  <c r="T139" i="18" a="1"/>
  <c r="T139" i="18"/>
  <c r="T140" i="18" a="1"/>
  <c r="T140" i="18" s="1"/>
  <c r="T141" i="18" a="1"/>
  <c r="T141" i="18" s="1"/>
  <c r="T142" i="18" a="1"/>
  <c r="T142" i="18" s="1"/>
  <c r="T143" i="18" a="1"/>
  <c r="T143" i="18" s="1"/>
  <c r="T144" i="18" a="1"/>
  <c r="T144" i="18" s="1"/>
  <c r="T145" i="18" a="1"/>
  <c r="T145" i="18" s="1"/>
  <c r="T146" i="18" a="1"/>
  <c r="T146" i="18" s="1"/>
  <c r="T147" i="18" a="1"/>
  <c r="T147" i="18" s="1"/>
  <c r="T148" i="18" a="1"/>
  <c r="T148" i="18" s="1"/>
  <c r="T149" i="18" a="1"/>
  <c r="T149" i="18" s="1"/>
  <c r="T150" i="18" a="1"/>
  <c r="T150" i="18" s="1"/>
  <c r="T151" i="18" a="1"/>
  <c r="T151" i="18"/>
  <c r="T152" i="18" a="1"/>
  <c r="T152" i="18" s="1"/>
  <c r="T153" i="18" a="1"/>
  <c r="T153" i="18" s="1"/>
  <c r="T154" i="18" a="1"/>
  <c r="T154" i="18" s="1"/>
  <c r="T155" i="18" a="1"/>
  <c r="T155" i="18"/>
  <c r="T156" i="18" a="1"/>
  <c r="T156" i="18" s="1"/>
  <c r="T157" i="18" a="1"/>
  <c r="T157" i="18" s="1"/>
  <c r="T158" i="18" a="1"/>
  <c r="T158" i="18" s="1"/>
  <c r="T159" i="18" a="1"/>
  <c r="T159" i="18" s="1"/>
  <c r="T160" i="18" a="1"/>
  <c r="T160" i="18" s="1"/>
  <c r="T161" i="18" a="1"/>
  <c r="T161" i="18" s="1"/>
  <c r="T162" i="18" a="1"/>
  <c r="T162" i="18" s="1"/>
  <c r="T163" i="18" a="1"/>
  <c r="T163" i="18" s="1"/>
  <c r="T164" i="18" a="1"/>
  <c r="T164" i="18" s="1"/>
  <c r="T165" i="18" a="1"/>
  <c r="T165" i="18" s="1"/>
  <c r="T166" i="18" a="1"/>
  <c r="T166" i="18" s="1"/>
  <c r="T167" i="18" a="1"/>
  <c r="T167" i="18"/>
  <c r="T168" i="18" a="1"/>
  <c r="T168" i="18" s="1"/>
  <c r="T169" i="18" a="1"/>
  <c r="T169" i="18" s="1"/>
  <c r="T170" i="18" a="1"/>
  <c r="T170" i="18" s="1"/>
  <c r="T171" i="18" a="1"/>
  <c r="T171" i="18"/>
  <c r="T172" i="18" a="1"/>
  <c r="T172" i="18" s="1"/>
  <c r="T173" i="18" a="1"/>
  <c r="T173" i="18" s="1"/>
  <c r="T174" i="18" a="1"/>
  <c r="T174" i="18" s="1"/>
  <c r="T175" i="18" a="1"/>
  <c r="T175" i="18" s="1"/>
  <c r="T176" i="18" a="1"/>
  <c r="T176" i="18" s="1"/>
  <c r="T177" i="18" a="1"/>
  <c r="T177" i="18" s="1"/>
  <c r="T178" i="18" a="1"/>
  <c r="T178" i="18" s="1"/>
  <c r="T179" i="18" a="1"/>
  <c r="T179" i="18" s="1"/>
  <c r="T180" i="18" a="1"/>
  <c r="T180" i="18" s="1"/>
  <c r="T181" i="18" a="1"/>
  <c r="T181" i="18" s="1"/>
  <c r="T182" i="18" a="1"/>
  <c r="T182" i="18" s="1"/>
  <c r="T183" i="18" a="1"/>
  <c r="T183" i="18" s="1"/>
  <c r="T184" i="18" a="1"/>
  <c r="T184" i="18" s="1"/>
  <c r="T185" i="18" a="1"/>
  <c r="T185" i="18" s="1"/>
  <c r="T186" i="18" a="1"/>
  <c r="T186" i="18" s="1"/>
  <c r="T187" i="18" a="1"/>
  <c r="T187" i="18" s="1"/>
  <c r="T188" i="18" a="1"/>
  <c r="T188" i="18" s="1"/>
  <c r="T189" i="18" a="1"/>
  <c r="T189" i="18" s="1"/>
  <c r="T190" i="18" a="1"/>
  <c r="T190" i="18" s="1"/>
  <c r="T191" i="18" a="1"/>
  <c r="T191" i="18" s="1"/>
  <c r="T192" i="18" a="1"/>
  <c r="T192" i="18" s="1"/>
  <c r="T193" i="18" a="1"/>
  <c r="T193" i="18" s="1"/>
  <c r="T194" i="18" a="1"/>
  <c r="T194" i="18" s="1"/>
  <c r="T195" i="18" a="1"/>
  <c r="T195" i="18" s="1"/>
  <c r="T196" i="18" a="1"/>
  <c r="T196" i="18" s="1"/>
  <c r="T197" i="18" a="1"/>
  <c r="T197" i="18" s="1"/>
  <c r="T198" i="18" a="1"/>
  <c r="T198" i="18" s="1"/>
  <c r="T199" i="18" a="1"/>
  <c r="T199" i="18" s="1"/>
  <c r="T200" i="18" a="1"/>
  <c r="T200" i="18" s="1"/>
  <c r="T201" i="18" a="1"/>
  <c r="T201" i="18" s="1"/>
  <c r="T202" i="18" a="1"/>
  <c r="T202" i="18" s="1"/>
  <c r="T203" i="18" a="1"/>
  <c r="T203" i="18" s="1"/>
  <c r="T204" i="18" a="1"/>
  <c r="T204" i="18" s="1"/>
  <c r="T205" i="18" a="1"/>
  <c r="T205" i="18" s="1"/>
  <c r="T206" i="18" a="1"/>
  <c r="T206" i="18" s="1"/>
  <c r="T207" i="18" a="1"/>
  <c r="T207" i="18" s="1"/>
  <c r="T208" i="18" a="1"/>
  <c r="T208" i="18" s="1"/>
  <c r="T209" i="18" a="1"/>
  <c r="T209" i="18" s="1"/>
  <c r="T210" i="18" a="1"/>
  <c r="T210" i="18" s="1"/>
  <c r="T211" i="18" a="1"/>
  <c r="T211" i="18" s="1"/>
  <c r="T212" i="18" a="1"/>
  <c r="T212" i="18" s="1"/>
  <c r="T213" i="18" a="1"/>
  <c r="T213" i="18" s="1"/>
  <c r="T214" i="18" a="1"/>
  <c r="T214" i="18" s="1"/>
  <c r="T215" i="18" a="1"/>
  <c r="T215" i="18" s="1"/>
  <c r="T216" i="18" a="1"/>
  <c r="T216" i="18" s="1"/>
  <c r="T217" i="18" a="1"/>
  <c r="T217" i="18" s="1"/>
  <c r="T218" i="18" a="1"/>
  <c r="T218" i="18" s="1"/>
  <c r="T219" i="18" a="1"/>
  <c r="T219" i="18" s="1"/>
  <c r="T220" i="18" a="1"/>
  <c r="T220" i="18" s="1"/>
  <c r="T221" i="18" a="1"/>
  <c r="T221" i="18" s="1"/>
  <c r="T222" i="18" a="1"/>
  <c r="T222" i="18" s="1"/>
  <c r="T223" i="18" a="1"/>
  <c r="T223" i="18" s="1"/>
  <c r="T224" i="18" a="1"/>
  <c r="T224" i="18" s="1"/>
  <c r="T225" i="18" a="1"/>
  <c r="T225" i="18" s="1"/>
  <c r="T226" i="18" a="1"/>
  <c r="T226" i="18" s="1"/>
  <c r="T227" i="18" a="1"/>
  <c r="T227" i="18" s="1"/>
  <c r="T228" i="18" a="1"/>
  <c r="T228" i="18" s="1"/>
  <c r="T229" i="18" a="1"/>
  <c r="T229" i="18" s="1"/>
  <c r="T230" i="18" a="1"/>
  <c r="T230" i="18" s="1"/>
  <c r="T231" i="18" a="1"/>
  <c r="T231" i="18" s="1"/>
  <c r="T232" i="18" a="1"/>
  <c r="T232" i="18" s="1"/>
  <c r="T233" i="18" a="1"/>
  <c r="T233" i="18" s="1"/>
  <c r="T234" i="18" a="1"/>
  <c r="T234" i="18" s="1"/>
  <c r="T235" i="18" a="1"/>
  <c r="T235" i="18" s="1"/>
  <c r="T236" i="18" a="1"/>
  <c r="T236" i="18" s="1"/>
  <c r="T237" i="18" a="1"/>
  <c r="T237" i="18" s="1"/>
  <c r="T238" i="18" a="1"/>
  <c r="T238" i="18" s="1"/>
  <c r="T239" i="18" a="1"/>
  <c r="T239" i="18" s="1"/>
  <c r="T240" i="18" a="1"/>
  <c r="T240" i="18" s="1"/>
  <c r="T241" i="18" a="1"/>
  <c r="T241" i="18" s="1"/>
  <c r="T242" i="18" a="1"/>
  <c r="T242" i="18" s="1"/>
  <c r="T243" i="18" a="1"/>
  <c r="T243" i="18" s="1"/>
  <c r="T244" i="18" a="1"/>
  <c r="T244" i="18" s="1"/>
  <c r="T245" i="18" a="1"/>
  <c r="T245" i="18" s="1"/>
  <c r="T246" i="18" a="1"/>
  <c r="T246" i="18" s="1"/>
  <c r="T247" i="18" a="1"/>
  <c r="T247" i="18" s="1"/>
  <c r="T248" i="18" a="1"/>
  <c r="T248" i="18" s="1"/>
  <c r="T249" i="18" a="1"/>
  <c r="T249" i="18" s="1"/>
  <c r="T250" i="18" a="1"/>
  <c r="T250" i="18" s="1"/>
  <c r="T251" i="18" a="1"/>
  <c r="T251" i="18" s="1"/>
  <c r="T252" i="18" a="1"/>
  <c r="T252" i="18" s="1"/>
  <c r="T253" i="18" a="1"/>
  <c r="T253" i="18" s="1"/>
  <c r="T254" i="18" a="1"/>
  <c r="T254" i="18" s="1"/>
  <c r="T255" i="18" a="1"/>
  <c r="T255" i="18" s="1"/>
  <c r="T256" i="18" a="1"/>
  <c r="T256" i="18" s="1"/>
  <c r="T257" i="18" a="1"/>
  <c r="T257" i="18" s="1"/>
  <c r="T258" i="18" a="1"/>
  <c r="T258" i="18" s="1"/>
  <c r="T259" i="18" a="1"/>
  <c r="T259" i="18" s="1"/>
  <c r="T260" i="18" a="1"/>
  <c r="T260" i="18" s="1"/>
  <c r="T261" i="18" a="1"/>
  <c r="T261" i="18" s="1"/>
  <c r="T262" i="18" a="1"/>
  <c r="T262" i="18" s="1"/>
  <c r="T263" i="18" a="1"/>
  <c r="T263" i="18" s="1"/>
  <c r="T264" i="18" a="1"/>
  <c r="T264" i="18" s="1"/>
  <c r="T265" i="18" a="1"/>
  <c r="T265" i="18" s="1"/>
  <c r="T266" i="18" a="1"/>
  <c r="T266" i="18" s="1"/>
  <c r="T267" i="18" a="1"/>
  <c r="T267" i="18" s="1"/>
  <c r="T268" i="18" a="1"/>
  <c r="T268" i="18" s="1"/>
  <c r="T269" i="18" a="1"/>
  <c r="T269" i="18" s="1"/>
  <c r="T270" i="18" a="1"/>
  <c r="T270" i="18" s="1"/>
  <c r="T271" i="18" a="1"/>
  <c r="T271" i="18" s="1"/>
  <c r="T272" i="18" a="1"/>
  <c r="T272" i="18" s="1"/>
  <c r="T273" i="18" a="1"/>
  <c r="T273" i="18" s="1"/>
  <c r="T274" i="18" a="1"/>
  <c r="T274" i="18" s="1"/>
  <c r="T275" i="18" a="1"/>
  <c r="T275" i="18" s="1"/>
  <c r="T276" i="18" a="1"/>
  <c r="T276" i="18" s="1"/>
  <c r="T277" i="18" a="1"/>
  <c r="T277" i="18" s="1"/>
  <c r="T278" i="18" a="1"/>
  <c r="T278" i="18" s="1"/>
  <c r="T279" i="18" a="1"/>
  <c r="T279" i="18" s="1"/>
  <c r="T280" i="18" a="1"/>
  <c r="T280" i="18" s="1"/>
  <c r="T281" i="18" a="1"/>
  <c r="T281" i="18" s="1"/>
  <c r="T282" i="18" a="1"/>
  <c r="T282" i="18" s="1"/>
  <c r="T283" i="18" a="1"/>
  <c r="T283" i="18" s="1"/>
  <c r="T284" i="18" a="1"/>
  <c r="T284" i="18" s="1"/>
  <c r="T285" i="18" a="1"/>
  <c r="T285" i="18" s="1"/>
  <c r="T286" i="18" a="1"/>
  <c r="T286" i="18" s="1"/>
  <c r="T287" i="18" a="1"/>
  <c r="T287" i="18" s="1"/>
  <c r="T288" i="18" a="1"/>
  <c r="T288" i="18" s="1"/>
  <c r="T289" i="18" a="1"/>
  <c r="T289" i="18" s="1"/>
  <c r="T290" i="18" a="1"/>
  <c r="T290" i="18" s="1"/>
  <c r="T291" i="18" a="1"/>
  <c r="T291" i="18" s="1"/>
  <c r="T292" i="18" a="1"/>
  <c r="T292" i="18" s="1"/>
  <c r="T293" i="18" a="1"/>
  <c r="T293" i="18" s="1"/>
  <c r="T294" i="18" a="1"/>
  <c r="T294" i="18" s="1"/>
  <c r="T295" i="18" a="1"/>
  <c r="T295" i="18" s="1"/>
  <c r="T296" i="18" a="1"/>
  <c r="T296" i="18" s="1"/>
  <c r="T297" i="18" a="1"/>
  <c r="T297" i="18" s="1"/>
  <c r="T298" i="18" a="1"/>
  <c r="T298" i="18" s="1"/>
  <c r="T299" i="18" a="1"/>
  <c r="T299" i="18" s="1"/>
  <c r="T300" i="18" a="1"/>
  <c r="T300" i="18" s="1"/>
  <c r="T301" i="18" a="1"/>
  <c r="T301" i="18" s="1"/>
  <c r="T302" i="18" a="1"/>
  <c r="T302" i="18" s="1"/>
  <c r="T303" i="18" a="1"/>
  <c r="T303" i="18" s="1"/>
  <c r="T304" i="18" a="1"/>
  <c r="T304" i="18" s="1"/>
  <c r="T305" i="18" a="1"/>
  <c r="T305" i="18" s="1"/>
  <c r="T306" i="18" a="1"/>
  <c r="T306" i="18" s="1"/>
  <c r="T307" i="18" a="1"/>
  <c r="T307" i="18" s="1"/>
  <c r="T308" i="18" a="1"/>
  <c r="T308" i="18" s="1"/>
  <c r="T309" i="18" a="1"/>
  <c r="T309" i="18" s="1"/>
  <c r="T310" i="18" a="1"/>
  <c r="T310" i="18" s="1"/>
  <c r="T311" i="18" a="1"/>
  <c r="T311" i="18" s="1"/>
  <c r="T312" i="18" a="1"/>
  <c r="T312" i="18" s="1"/>
  <c r="T313" i="18" a="1"/>
  <c r="T313" i="18" s="1"/>
  <c r="T314" i="18" a="1"/>
  <c r="T314" i="18" s="1"/>
  <c r="T315" i="18" a="1"/>
  <c r="T315" i="18" s="1"/>
  <c r="T316" i="18" a="1"/>
  <c r="T316" i="18" s="1"/>
  <c r="T317" i="18" a="1"/>
  <c r="T317" i="18" s="1"/>
  <c r="T318" i="18" a="1"/>
  <c r="T318" i="18" s="1"/>
  <c r="T319" i="18" a="1"/>
  <c r="T319" i="18" s="1"/>
  <c r="T320" i="18" a="1"/>
  <c r="T320" i="18" s="1"/>
  <c r="T321" i="18" a="1"/>
  <c r="T321" i="18" s="1"/>
  <c r="T322" i="18" a="1"/>
  <c r="T322" i="18" s="1"/>
  <c r="T323" i="18" a="1"/>
  <c r="T323" i="18" s="1"/>
  <c r="T324" i="18" a="1"/>
  <c r="T324" i="18" s="1"/>
  <c r="T325" i="18" a="1"/>
  <c r="T325" i="18" s="1"/>
  <c r="T326" i="18" a="1"/>
  <c r="T326" i="18" s="1"/>
  <c r="T327" i="18" a="1"/>
  <c r="T327" i="18" s="1"/>
  <c r="T328" i="18" a="1"/>
  <c r="T328" i="18" s="1"/>
  <c r="T329" i="18" a="1"/>
  <c r="T329" i="18" s="1"/>
  <c r="T330" i="18" a="1"/>
  <c r="T330" i="18" s="1"/>
  <c r="T331" i="18" a="1"/>
  <c r="T331" i="18" s="1"/>
  <c r="T332" i="18" a="1"/>
  <c r="T332" i="18" s="1"/>
  <c r="T333" i="18" a="1"/>
  <c r="T333" i="18" s="1"/>
  <c r="T334" i="18" a="1"/>
  <c r="T334" i="18" s="1"/>
  <c r="T335" i="18" a="1"/>
  <c r="T335" i="18" s="1"/>
  <c r="T336" i="18" a="1"/>
  <c r="T336" i="18" s="1"/>
  <c r="T337" i="18" a="1"/>
  <c r="T337" i="18" s="1"/>
  <c r="T338" i="18" a="1"/>
  <c r="T338" i="18" s="1"/>
  <c r="T339" i="18" a="1"/>
  <c r="T339" i="18" s="1"/>
  <c r="T340" i="18" a="1"/>
  <c r="T340" i="18" s="1"/>
  <c r="T341" i="18" a="1"/>
  <c r="T341" i="18" s="1"/>
  <c r="T342" i="18" a="1"/>
  <c r="T342" i="18" s="1"/>
  <c r="T343" i="18" a="1"/>
  <c r="T343" i="18" s="1"/>
  <c r="T344" i="18" a="1"/>
  <c r="T344" i="18" s="1"/>
  <c r="T345" i="18" a="1"/>
  <c r="T345" i="18" s="1"/>
  <c r="T346" i="18" a="1"/>
  <c r="T346" i="18" s="1"/>
  <c r="T347" i="18" a="1"/>
  <c r="T347" i="18" s="1"/>
  <c r="T348" i="18" a="1"/>
  <c r="T348" i="18" s="1"/>
  <c r="T349" i="18" a="1"/>
  <c r="T349" i="18" s="1"/>
  <c r="T350" i="18" a="1"/>
  <c r="T350" i="18" s="1"/>
  <c r="T351" i="18" a="1"/>
  <c r="T351" i="18" s="1"/>
  <c r="T352" i="18" a="1"/>
  <c r="T352" i="18" s="1"/>
  <c r="T353" i="18" a="1"/>
  <c r="T353" i="18" s="1"/>
  <c r="T354" i="18" a="1"/>
  <c r="T354" i="18" s="1"/>
  <c r="T355" i="18" a="1"/>
  <c r="T355" i="18" s="1"/>
  <c r="T356" i="18" a="1"/>
  <c r="T356" i="18" s="1"/>
  <c r="T357" i="18" a="1"/>
  <c r="T357" i="18" s="1"/>
  <c r="T358" i="18" a="1"/>
  <c r="T358" i="18" s="1"/>
  <c r="T359" i="18" a="1"/>
  <c r="T359" i="18" s="1"/>
  <c r="T360" i="18" a="1"/>
  <c r="T360" i="18" s="1"/>
  <c r="T361" i="18" a="1"/>
  <c r="T361" i="18" s="1"/>
  <c r="T362" i="18" a="1"/>
  <c r="T362" i="18" s="1"/>
  <c r="T363" i="18" a="1"/>
  <c r="T363" i="18" s="1"/>
  <c r="T364" i="18" a="1"/>
  <c r="T364" i="18" s="1"/>
  <c r="T365" i="18" a="1"/>
  <c r="T365" i="18" s="1"/>
  <c r="T366" i="18" a="1"/>
  <c r="T366" i="18" s="1"/>
  <c r="T367" i="18" a="1"/>
  <c r="T367" i="18" s="1"/>
  <c r="T368" i="18" a="1"/>
  <c r="T368" i="18" s="1"/>
  <c r="T369" i="18" a="1"/>
  <c r="T369" i="18" s="1"/>
  <c r="T370" i="18" a="1"/>
  <c r="T370" i="18" s="1"/>
  <c r="T371" i="18" a="1"/>
  <c r="T371" i="18" s="1"/>
  <c r="T372" i="18" a="1"/>
  <c r="T372" i="18" s="1"/>
  <c r="T373" i="18" a="1"/>
  <c r="T373" i="18" s="1"/>
  <c r="T374" i="18" a="1"/>
  <c r="T374" i="18" s="1"/>
  <c r="T375" i="18" a="1"/>
  <c r="T375" i="18" s="1"/>
  <c r="T376" i="18" a="1"/>
  <c r="T376" i="18" s="1"/>
  <c r="T377" i="18" a="1"/>
  <c r="T377" i="18" s="1"/>
  <c r="T378" i="18" a="1"/>
  <c r="T378" i="18" s="1"/>
  <c r="T379" i="18" a="1"/>
  <c r="T379" i="18" s="1"/>
  <c r="T380" i="18" a="1"/>
  <c r="T380" i="18" s="1"/>
  <c r="T381" i="18" a="1"/>
  <c r="T381" i="18" s="1"/>
  <c r="T382" i="18" a="1"/>
  <c r="T382" i="18" s="1"/>
  <c r="T383" i="18" a="1"/>
  <c r="T383" i="18" s="1"/>
  <c r="T384" i="18" a="1"/>
  <c r="T384" i="18" s="1"/>
  <c r="T385" i="18" a="1"/>
  <c r="T385" i="18" s="1"/>
  <c r="T386" i="18" a="1"/>
  <c r="T386" i="18" s="1"/>
  <c r="T387" i="18" a="1"/>
  <c r="T387" i="18" s="1"/>
  <c r="T388" i="18" a="1"/>
  <c r="T388" i="18" s="1"/>
  <c r="T389" i="18" a="1"/>
  <c r="T389" i="18" s="1"/>
  <c r="T390" i="18" a="1"/>
  <c r="T390" i="18" s="1"/>
  <c r="T391" i="18" a="1"/>
  <c r="T391" i="18" s="1"/>
  <c r="T392" i="18" a="1"/>
  <c r="T392" i="18" s="1"/>
  <c r="T393" i="18" a="1"/>
  <c r="T393" i="18" s="1"/>
  <c r="T394" i="18" a="1"/>
  <c r="T394" i="18" s="1"/>
  <c r="T395" i="18" a="1"/>
  <c r="T395" i="18" s="1"/>
  <c r="T396" i="18" a="1"/>
  <c r="T396" i="18" s="1"/>
  <c r="T397" i="18" a="1"/>
  <c r="T397" i="18" s="1"/>
  <c r="T398" i="18" a="1"/>
  <c r="T398" i="18" s="1"/>
  <c r="T399" i="18" a="1"/>
  <c r="T399" i="18" s="1"/>
  <c r="T400" i="18" a="1"/>
  <c r="T400" i="18" s="1"/>
  <c r="T401" i="18" a="1"/>
  <c r="T401" i="18" s="1"/>
  <c r="T402" i="18" a="1"/>
  <c r="T402" i="18" s="1"/>
  <c r="T403" i="18" a="1"/>
  <c r="T403" i="18" s="1"/>
  <c r="T404" i="18" a="1"/>
  <c r="T404" i="18" s="1"/>
  <c r="T405" i="18" a="1"/>
  <c r="T405" i="18" s="1"/>
  <c r="T406" i="18" a="1"/>
  <c r="T406" i="18" s="1"/>
  <c r="T407" i="18" a="1"/>
  <c r="T407" i="18" s="1"/>
  <c r="T408" i="18" a="1"/>
  <c r="T408" i="18" s="1"/>
  <c r="T409" i="18" a="1"/>
  <c r="T409" i="18" s="1"/>
  <c r="T410" i="18" a="1"/>
  <c r="T410" i="18" s="1"/>
  <c r="T411" i="18" a="1"/>
  <c r="T411" i="18" s="1"/>
  <c r="T412" i="18" a="1"/>
  <c r="T412" i="18" s="1"/>
  <c r="T413" i="18" a="1"/>
  <c r="T413" i="18" s="1"/>
  <c r="T414" i="18" a="1"/>
  <c r="T414" i="18" s="1"/>
  <c r="T415" i="18" a="1"/>
  <c r="T415" i="18" s="1"/>
  <c r="T416" i="18" a="1"/>
  <c r="T416" i="18" s="1"/>
  <c r="T417" i="18" a="1"/>
  <c r="T417" i="18" s="1"/>
  <c r="T418" i="18" a="1"/>
  <c r="T418" i="18" s="1"/>
  <c r="T419" i="18" a="1"/>
  <c r="T419" i="18" s="1"/>
  <c r="T420" i="18" a="1"/>
  <c r="T420" i="18" s="1"/>
  <c r="T421" i="18" a="1"/>
  <c r="T421" i="18" s="1"/>
  <c r="T422" i="18" a="1"/>
  <c r="T422" i="18" s="1"/>
  <c r="T423" i="18" a="1"/>
  <c r="T423" i="18" s="1"/>
  <c r="T424" i="18" a="1"/>
  <c r="T424" i="18" s="1"/>
  <c r="T425" i="18" a="1"/>
  <c r="T425" i="18" s="1"/>
  <c r="T426" i="18" a="1"/>
  <c r="T426" i="18" s="1"/>
  <c r="T427" i="18" a="1"/>
  <c r="T427" i="18" s="1"/>
  <c r="T428" i="18" a="1"/>
  <c r="T428" i="18" s="1"/>
  <c r="T429" i="18" a="1"/>
  <c r="T429" i="18" s="1"/>
  <c r="T430" i="18" a="1"/>
  <c r="T430" i="18" s="1"/>
  <c r="T431" i="18" a="1"/>
  <c r="T431" i="18" s="1"/>
  <c r="T432" i="18" a="1"/>
  <c r="T432" i="18" s="1"/>
  <c r="T433" i="18" a="1"/>
  <c r="T433" i="18" s="1"/>
  <c r="T434" i="18" a="1"/>
  <c r="T434" i="18" s="1"/>
  <c r="T435" i="18" a="1"/>
  <c r="T435" i="18" s="1"/>
  <c r="T436" i="18" a="1"/>
  <c r="T436" i="18" s="1"/>
  <c r="T437" i="18" a="1"/>
  <c r="T437" i="18" s="1"/>
  <c r="T438" i="18" a="1"/>
  <c r="T438" i="18" s="1"/>
  <c r="T439" i="18" a="1"/>
  <c r="T439" i="18" s="1"/>
  <c r="T440" i="18" a="1"/>
  <c r="T440" i="18" s="1"/>
  <c r="T441" i="18" a="1"/>
  <c r="T441" i="18" s="1"/>
  <c r="T442" i="18" a="1"/>
  <c r="T442" i="18" s="1"/>
  <c r="T443" i="18" a="1"/>
  <c r="T443" i="18" s="1"/>
  <c r="T444" i="18" a="1"/>
  <c r="T444" i="18" s="1"/>
  <c r="T445" i="18" a="1"/>
  <c r="T445" i="18" s="1"/>
  <c r="T446" i="18" a="1"/>
  <c r="T446" i="18" s="1"/>
  <c r="T447" i="18" a="1"/>
  <c r="T447" i="18" s="1"/>
  <c r="T448" i="18" a="1"/>
  <c r="T448" i="18" s="1"/>
  <c r="T449" i="18" a="1"/>
  <c r="T449" i="18" s="1"/>
  <c r="T450" i="18" a="1"/>
  <c r="T450" i="18" s="1"/>
  <c r="T451" i="18" a="1"/>
  <c r="T451" i="18" s="1"/>
  <c r="T452" i="18" a="1"/>
  <c r="T452" i="18" s="1"/>
  <c r="T453" i="18" a="1"/>
  <c r="T453" i="18" s="1"/>
  <c r="T454" i="18" a="1"/>
  <c r="T454" i="18" s="1"/>
  <c r="T455" i="18" a="1"/>
  <c r="T455" i="18" s="1"/>
  <c r="T456" i="18" a="1"/>
  <c r="T456" i="18" s="1"/>
  <c r="T457" i="18" a="1"/>
  <c r="T457" i="18" s="1"/>
  <c r="T458" i="18" a="1"/>
  <c r="T458" i="18" s="1"/>
  <c r="T459" i="18" a="1"/>
  <c r="T459" i="18" s="1"/>
  <c r="T460" i="18" a="1"/>
  <c r="T460" i="18" s="1"/>
  <c r="T461" i="18" a="1"/>
  <c r="T461" i="18" s="1"/>
  <c r="T462" i="18" a="1"/>
  <c r="T462" i="18" s="1"/>
  <c r="T463" i="18" a="1"/>
  <c r="T463" i="18" s="1"/>
  <c r="T464" i="18" a="1"/>
  <c r="T464" i="18" s="1"/>
  <c r="T465" i="18" a="1"/>
  <c r="T465" i="18" s="1"/>
  <c r="T466" i="18" a="1"/>
  <c r="T466" i="18" s="1"/>
  <c r="T467" i="18" a="1"/>
  <c r="T467" i="18" s="1"/>
  <c r="T468" i="18" a="1"/>
  <c r="T468" i="18" s="1"/>
  <c r="T469" i="18" a="1"/>
  <c r="T469" i="18" s="1"/>
  <c r="T470" i="18" a="1"/>
  <c r="T470" i="18" s="1"/>
  <c r="T471" i="18" a="1"/>
  <c r="T471" i="18" s="1"/>
  <c r="T472" i="18" a="1"/>
  <c r="T472" i="18" s="1"/>
  <c r="T473" i="18" a="1"/>
  <c r="T473" i="18" s="1"/>
  <c r="T474" i="18" a="1"/>
  <c r="T474" i="18" s="1"/>
  <c r="T475" i="18" a="1"/>
  <c r="T475" i="18" s="1"/>
  <c r="T476" i="18" a="1"/>
  <c r="T476" i="18" s="1"/>
  <c r="T477" i="18" a="1"/>
  <c r="T477" i="18" s="1"/>
  <c r="T478" i="18" a="1"/>
  <c r="T478" i="18" s="1"/>
  <c r="T479" i="18" a="1"/>
  <c r="T479" i="18" s="1"/>
  <c r="T480" i="18" a="1"/>
  <c r="T480" i="18" s="1"/>
  <c r="T481" i="18" a="1"/>
  <c r="T481" i="18" s="1"/>
  <c r="T482" i="18" a="1"/>
  <c r="T482" i="18" s="1"/>
  <c r="T483" i="18" a="1"/>
  <c r="T483" i="18" s="1"/>
  <c r="T484" i="18" a="1"/>
  <c r="T484" i="18" s="1"/>
  <c r="T485" i="18" a="1"/>
  <c r="T485" i="18" s="1"/>
  <c r="T486" i="18" a="1"/>
  <c r="T486" i="18" s="1"/>
  <c r="T487" i="18" a="1"/>
  <c r="T487" i="18" s="1"/>
  <c r="T488" i="18" a="1"/>
  <c r="T488" i="18" s="1"/>
  <c r="T489" i="18" a="1"/>
  <c r="T489" i="18" s="1"/>
  <c r="T490" i="18" a="1"/>
  <c r="T490" i="18" s="1"/>
  <c r="T491" i="18" a="1"/>
  <c r="T491" i="18" s="1"/>
  <c r="T492" i="18" a="1"/>
  <c r="T492" i="18" s="1"/>
  <c r="T493" i="18" a="1"/>
  <c r="T493" i="18" s="1"/>
  <c r="T494" i="18" a="1"/>
  <c r="T494" i="18" s="1"/>
  <c r="T495" i="18" a="1"/>
  <c r="T495" i="18" s="1"/>
  <c r="T496" i="18" a="1"/>
  <c r="T496" i="18" s="1"/>
  <c r="T497" i="18" a="1"/>
  <c r="T497" i="18" s="1"/>
  <c r="T498" i="18" a="1"/>
  <c r="T498" i="18" s="1"/>
  <c r="T499" i="18" a="1"/>
  <c r="T499" i="18" s="1"/>
  <c r="T500" i="18" a="1"/>
  <c r="T500" i="18" s="1"/>
  <c r="T501" i="18" a="1"/>
  <c r="T501" i="18" s="1"/>
  <c r="T502" i="18" a="1"/>
  <c r="T502" i="18" s="1"/>
  <c r="T503" i="18" a="1"/>
  <c r="T503" i="18" s="1"/>
  <c r="T504" i="18" a="1"/>
  <c r="T504" i="18" s="1"/>
  <c r="T505" i="18" a="1"/>
  <c r="T505" i="18" s="1"/>
  <c r="T506" i="18" a="1"/>
  <c r="T506" i="18" s="1"/>
  <c r="T507" i="18" a="1"/>
  <c r="T507" i="18" s="1"/>
  <c r="T508" i="18" a="1"/>
  <c r="T508" i="18" s="1"/>
  <c r="T509" i="18" a="1"/>
  <c r="T509" i="18" s="1"/>
  <c r="T510" i="18" a="1"/>
  <c r="T510" i="18" s="1"/>
  <c r="T511" i="18" a="1"/>
  <c r="T511" i="18" s="1"/>
  <c r="T512" i="18" a="1"/>
  <c r="T512" i="18" s="1"/>
  <c r="T513" i="18" a="1"/>
  <c r="T513" i="18" s="1"/>
  <c r="T514" i="18" a="1"/>
  <c r="T514" i="18" s="1"/>
  <c r="T515" i="18" a="1"/>
  <c r="T515" i="18" s="1"/>
  <c r="T516" i="18" a="1"/>
  <c r="T516" i="18" s="1"/>
  <c r="T517" i="18" a="1"/>
  <c r="T517" i="18" s="1"/>
  <c r="T518" i="18" a="1"/>
  <c r="T518" i="18" s="1"/>
  <c r="T519" i="18" a="1"/>
  <c r="T519" i="18" s="1"/>
  <c r="T520" i="18" a="1"/>
  <c r="T520" i="18" s="1"/>
  <c r="T521" i="18" a="1"/>
  <c r="T521" i="18" s="1"/>
  <c r="T522" i="18" a="1"/>
  <c r="T522" i="18" s="1"/>
  <c r="T523" i="18" a="1"/>
  <c r="T523" i="18" s="1"/>
  <c r="T524" i="18" a="1"/>
  <c r="T524" i="18" s="1"/>
  <c r="T525" i="18" a="1"/>
  <c r="T525" i="18" s="1"/>
  <c r="T526" i="18" a="1"/>
  <c r="T526" i="18" s="1"/>
  <c r="T527" i="18" a="1"/>
  <c r="T527" i="18" s="1"/>
  <c r="T528" i="18" a="1"/>
  <c r="T528" i="18" s="1"/>
  <c r="T529" i="18" a="1"/>
  <c r="T529" i="18" s="1"/>
  <c r="T530" i="18" a="1"/>
  <c r="T530" i="18" s="1"/>
  <c r="T531" i="18" a="1"/>
  <c r="T531" i="18" s="1"/>
  <c r="T532" i="18" a="1"/>
  <c r="T532" i="18" s="1"/>
  <c r="T533" i="18" a="1"/>
  <c r="T533" i="18" s="1"/>
  <c r="T534" i="18" a="1"/>
  <c r="T534" i="18" s="1"/>
  <c r="T535" i="18" a="1"/>
  <c r="T535" i="18" s="1"/>
  <c r="T536" i="18" a="1"/>
  <c r="T536" i="18" s="1"/>
  <c r="T537" i="18" a="1"/>
  <c r="T537" i="18" s="1"/>
  <c r="T538" i="18" a="1"/>
  <c r="T538" i="18" s="1"/>
  <c r="T539" i="18" a="1"/>
  <c r="T539" i="18" s="1"/>
  <c r="T540" i="18" a="1"/>
  <c r="T540" i="18" s="1"/>
  <c r="T541" i="18" a="1"/>
  <c r="T541" i="18" s="1"/>
  <c r="T542" i="18" a="1"/>
  <c r="T542" i="18" s="1"/>
  <c r="T543" i="18" a="1"/>
  <c r="T543" i="18" s="1"/>
  <c r="T544" i="18" a="1"/>
  <c r="T544" i="18" s="1"/>
  <c r="T545" i="18" a="1"/>
  <c r="T545" i="18" s="1"/>
  <c r="T546" i="18" a="1"/>
  <c r="T546" i="18" s="1"/>
  <c r="T547" i="18" a="1"/>
  <c r="T547" i="18" s="1"/>
  <c r="T548" i="18" a="1"/>
  <c r="T548" i="18" s="1"/>
  <c r="T549" i="18" a="1"/>
  <c r="T549" i="18" s="1"/>
  <c r="T550" i="18" a="1"/>
  <c r="T550" i="18" s="1"/>
  <c r="T551" i="18" a="1"/>
  <c r="T551" i="18" s="1"/>
  <c r="T552" i="18" a="1"/>
  <c r="T552" i="18" s="1"/>
  <c r="T553" i="18" a="1"/>
  <c r="T553" i="18" s="1"/>
  <c r="T554" i="18" a="1"/>
  <c r="T554" i="18" s="1"/>
  <c r="T555" i="18" a="1"/>
  <c r="T555" i="18" s="1"/>
  <c r="T556" i="18" a="1"/>
  <c r="T556" i="18" s="1"/>
  <c r="T557" i="18" a="1"/>
  <c r="T557" i="18" s="1"/>
  <c r="T558" i="18" a="1"/>
  <c r="T558" i="18" s="1"/>
  <c r="T559" i="18" a="1"/>
  <c r="T559" i="18" s="1"/>
  <c r="T560" i="18" a="1"/>
  <c r="T560" i="18" s="1"/>
  <c r="T561" i="18" a="1"/>
  <c r="T561" i="18" s="1"/>
  <c r="T562" i="18" a="1"/>
  <c r="T562" i="18" s="1"/>
  <c r="T563" i="18" a="1"/>
  <c r="T563" i="18" s="1"/>
  <c r="T564" i="18" a="1"/>
  <c r="T564" i="18" s="1"/>
  <c r="T565" i="18" a="1"/>
  <c r="T565" i="18" s="1"/>
  <c r="T566" i="18" a="1"/>
  <c r="T566" i="18" s="1"/>
  <c r="T567" i="18" a="1"/>
  <c r="T567" i="18" s="1"/>
  <c r="T568" i="18" a="1"/>
  <c r="T568" i="18" s="1"/>
  <c r="T569" i="18" a="1"/>
  <c r="T569" i="18" s="1"/>
  <c r="T570" i="18" a="1"/>
  <c r="T570" i="18" s="1"/>
  <c r="T571" i="18" a="1"/>
  <c r="T571" i="18" s="1"/>
  <c r="T572" i="18" a="1"/>
  <c r="T572" i="18" s="1"/>
  <c r="T573" i="18" a="1"/>
  <c r="T573" i="18" s="1"/>
  <c r="T574" i="18" a="1"/>
  <c r="T574" i="18" s="1"/>
  <c r="T575" i="18" a="1"/>
  <c r="T575" i="18" s="1"/>
  <c r="T576" i="18" a="1"/>
  <c r="T576" i="18" s="1"/>
  <c r="T577" i="18" a="1"/>
  <c r="T577" i="18" s="1"/>
  <c r="T578" i="18" a="1"/>
  <c r="T578" i="18" s="1"/>
  <c r="T579" i="18" a="1"/>
  <c r="T579" i="18" s="1"/>
  <c r="T580" i="18" a="1"/>
  <c r="T580" i="18" s="1"/>
  <c r="T581" i="18" a="1"/>
  <c r="T581" i="18" s="1"/>
  <c r="T582" i="18" a="1"/>
  <c r="T582" i="18" s="1"/>
  <c r="T583" i="18" a="1"/>
  <c r="T583" i="18" s="1"/>
  <c r="T584" i="18" a="1"/>
  <c r="T584" i="18" s="1"/>
  <c r="T585" i="18" a="1"/>
  <c r="T585" i="18" s="1"/>
  <c r="T586" i="18" a="1"/>
  <c r="T586" i="18" s="1"/>
  <c r="T587" i="18" a="1"/>
  <c r="T587" i="18" s="1"/>
  <c r="T588" i="18" a="1"/>
  <c r="T588" i="18" s="1"/>
  <c r="T589" i="18" a="1"/>
  <c r="T589" i="18" s="1"/>
  <c r="T590" i="18" a="1"/>
  <c r="T590" i="18" s="1"/>
  <c r="T591" i="18" a="1"/>
  <c r="T591" i="18" s="1"/>
  <c r="T592" i="18" a="1"/>
  <c r="T592" i="18" s="1"/>
  <c r="T593" i="18" a="1"/>
  <c r="T593" i="18" s="1"/>
  <c r="T594" i="18" a="1"/>
  <c r="T594" i="18" s="1"/>
  <c r="T595" i="18" a="1"/>
  <c r="T595" i="18" s="1"/>
  <c r="T596" i="18" a="1"/>
  <c r="T596" i="18" s="1"/>
  <c r="T597" i="18" a="1"/>
  <c r="T597" i="18" s="1"/>
  <c r="T598" i="18" a="1"/>
  <c r="T598" i="18" s="1"/>
  <c r="T599" i="18" a="1"/>
  <c r="T599" i="18" s="1"/>
  <c r="T600" i="18" a="1"/>
  <c r="T600" i="18" s="1"/>
  <c r="T601" i="18" a="1"/>
  <c r="T601" i="18" s="1"/>
  <c r="T602" i="18" a="1"/>
  <c r="T602" i="18" s="1"/>
  <c r="T603" i="18" a="1"/>
  <c r="T603" i="18" s="1"/>
  <c r="T604" i="18" a="1"/>
  <c r="T604" i="18" s="1"/>
  <c r="T605" i="18" a="1"/>
  <c r="T605" i="18" s="1"/>
  <c r="T606" i="18" a="1"/>
  <c r="T606" i="18" s="1"/>
  <c r="T607" i="18" a="1"/>
  <c r="T607" i="18" s="1"/>
  <c r="T608" i="18" a="1"/>
  <c r="T608" i="18" s="1"/>
  <c r="T609" i="18" a="1"/>
  <c r="T609" i="18" s="1"/>
  <c r="T610" i="18" a="1"/>
  <c r="T610" i="18" s="1"/>
  <c r="T611" i="18" a="1"/>
  <c r="T611" i="18" s="1"/>
  <c r="T612" i="18" a="1"/>
  <c r="T612" i="18" s="1"/>
  <c r="T613" i="18" a="1"/>
  <c r="T613" i="18" s="1"/>
  <c r="T614" i="18" a="1"/>
  <c r="T614" i="18" s="1"/>
  <c r="T615" i="18" a="1"/>
  <c r="T615" i="18" s="1"/>
  <c r="T616" i="18" a="1"/>
  <c r="T616" i="18" s="1"/>
  <c r="T617" i="18" a="1"/>
  <c r="T617" i="18" s="1"/>
  <c r="T618" i="18" a="1"/>
  <c r="T618" i="18" s="1"/>
  <c r="T619" i="18" a="1"/>
  <c r="T619" i="18" s="1"/>
  <c r="T620" i="18" a="1"/>
  <c r="T620" i="18" s="1"/>
  <c r="T621" i="18" a="1"/>
  <c r="T621" i="18" s="1"/>
  <c r="T622" i="18" a="1"/>
  <c r="T622" i="18" s="1"/>
  <c r="T623" i="18" a="1"/>
  <c r="T623" i="18" s="1"/>
  <c r="T624" i="18" a="1"/>
  <c r="T624" i="18" s="1"/>
  <c r="T625" i="18" a="1"/>
  <c r="T625" i="18" s="1"/>
  <c r="T626" i="18" a="1"/>
  <c r="T626" i="18" s="1"/>
  <c r="T627" i="18" a="1"/>
  <c r="T627" i="18" s="1"/>
  <c r="T628" i="18" a="1"/>
  <c r="T628" i="18" s="1"/>
  <c r="T629" i="18" a="1"/>
  <c r="T629" i="18" s="1"/>
  <c r="T630" i="18" a="1"/>
  <c r="T630" i="18" s="1"/>
  <c r="T631" i="18" a="1"/>
  <c r="T631" i="18" s="1"/>
  <c r="T632" i="18" a="1"/>
  <c r="T632" i="18" s="1"/>
  <c r="T633" i="18" a="1"/>
  <c r="T633" i="18" s="1"/>
  <c r="T634" i="18" a="1"/>
  <c r="T634" i="18" s="1"/>
  <c r="T635" i="18" a="1"/>
  <c r="T635" i="18" s="1"/>
  <c r="T636" i="18" a="1"/>
  <c r="T636" i="18" s="1"/>
  <c r="T637" i="18" a="1"/>
  <c r="T637" i="18" s="1"/>
  <c r="T638" i="18" a="1"/>
  <c r="T638" i="18" s="1"/>
  <c r="T639" i="18" a="1"/>
  <c r="T639" i="18" s="1"/>
  <c r="T640" i="18" a="1"/>
  <c r="T640" i="18" s="1"/>
  <c r="T641" i="18" a="1"/>
  <c r="T641" i="18" s="1"/>
  <c r="T642" i="18" a="1"/>
  <c r="T642" i="18" s="1"/>
  <c r="T643" i="18" a="1"/>
  <c r="T643" i="18" s="1"/>
  <c r="T644" i="18" a="1"/>
  <c r="T644" i="18" s="1"/>
  <c r="T645" i="18" a="1"/>
  <c r="T645" i="18" s="1"/>
  <c r="T646" i="18" a="1"/>
  <c r="T646" i="18" s="1"/>
  <c r="T647" i="18" a="1"/>
  <c r="T647" i="18" s="1"/>
  <c r="T648" i="18" a="1"/>
  <c r="T648" i="18" s="1"/>
  <c r="T649" i="18" a="1"/>
  <c r="T649" i="18" s="1"/>
  <c r="T650" i="18" a="1"/>
  <c r="T650" i="18" s="1"/>
  <c r="T651" i="18" a="1"/>
  <c r="T651" i="18" s="1"/>
  <c r="T652" i="18" a="1"/>
  <c r="T652" i="18" s="1"/>
  <c r="T653" i="18" a="1"/>
  <c r="T653" i="18" s="1"/>
  <c r="T654" i="18" a="1"/>
  <c r="T654" i="18" s="1"/>
  <c r="T655" i="18" a="1"/>
  <c r="T655" i="18" s="1"/>
  <c r="T656" i="18" a="1"/>
  <c r="T656" i="18" s="1"/>
  <c r="T657" i="18" a="1"/>
  <c r="T657" i="18" s="1"/>
  <c r="T658" i="18" a="1"/>
  <c r="T658" i="18" s="1"/>
  <c r="T659" i="18" a="1"/>
  <c r="T659" i="18" s="1"/>
  <c r="T660" i="18" a="1"/>
  <c r="T660" i="18" s="1"/>
  <c r="T661" i="18" a="1"/>
  <c r="T661" i="18" s="1"/>
  <c r="T662" i="18" a="1"/>
  <c r="T662" i="18" s="1"/>
  <c r="T663" i="18" a="1"/>
  <c r="T663" i="18" s="1"/>
  <c r="T664" i="18" a="1"/>
  <c r="T664" i="18" s="1"/>
  <c r="T665" i="18" a="1"/>
  <c r="T665" i="18" s="1"/>
  <c r="T666" i="18" a="1"/>
  <c r="T666" i="18" s="1"/>
  <c r="T667" i="18" a="1"/>
  <c r="T667" i="18" s="1"/>
  <c r="T668" i="18" a="1"/>
  <c r="T668" i="18" s="1"/>
  <c r="T669" i="18" a="1"/>
  <c r="T669" i="18" s="1"/>
  <c r="T670" i="18" a="1"/>
  <c r="T670" i="18" s="1"/>
  <c r="T671" i="18" a="1"/>
  <c r="T671" i="18" s="1"/>
  <c r="T672" i="18" a="1"/>
  <c r="T672" i="18" s="1"/>
  <c r="T673" i="18" a="1"/>
  <c r="T673" i="18" s="1"/>
  <c r="T674" i="18" a="1"/>
  <c r="T674" i="18" s="1"/>
  <c r="T675" i="18" a="1"/>
  <c r="T675" i="18" s="1"/>
  <c r="T676" i="18" a="1"/>
  <c r="T676" i="18" s="1"/>
  <c r="T677" i="18" a="1"/>
  <c r="T677" i="18" s="1"/>
  <c r="T678" i="18" a="1"/>
  <c r="T678" i="18" s="1"/>
  <c r="T679" i="18" a="1"/>
  <c r="T679" i="18" s="1"/>
  <c r="T680" i="18" a="1"/>
  <c r="T680" i="18" s="1"/>
  <c r="T681" i="18" a="1"/>
  <c r="T681" i="18" s="1"/>
  <c r="T682" i="18" a="1"/>
  <c r="T682" i="18" s="1"/>
  <c r="T683" i="18" a="1"/>
  <c r="T683" i="18" s="1"/>
  <c r="T684" i="18" a="1"/>
  <c r="T684" i="18" s="1"/>
  <c r="T685" i="18" a="1"/>
  <c r="T685" i="18" s="1"/>
  <c r="T686" i="18" a="1"/>
  <c r="T686" i="18" s="1"/>
  <c r="T687" i="18" a="1"/>
  <c r="T687" i="18" s="1"/>
  <c r="T688" i="18" a="1"/>
  <c r="T688" i="18" s="1"/>
  <c r="T689" i="18" a="1"/>
  <c r="T689" i="18" s="1"/>
  <c r="T690" i="18" a="1"/>
  <c r="T690" i="18" s="1"/>
  <c r="T691" i="18" a="1"/>
  <c r="T691" i="18" s="1"/>
  <c r="U2" i="18"/>
  <c r="U3" i="18"/>
  <c r="U4" i="18"/>
  <c r="U5" i="18"/>
  <c r="U7" i="18"/>
  <c r="U8" i="18"/>
  <c r="U9" i="18"/>
  <c r="U10" i="18"/>
  <c r="U11" i="18"/>
  <c r="U12" i="18"/>
  <c r="U13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7" i="18"/>
  <c r="U28" i="18"/>
  <c r="U29" i="18"/>
  <c r="U30" i="18"/>
  <c r="U31" i="18"/>
  <c r="U32" i="18"/>
  <c r="U34" i="18"/>
  <c r="U35" i="18"/>
  <c r="U36" i="18"/>
  <c r="U37" i="18"/>
  <c r="U38" i="18"/>
  <c r="U39" i="18"/>
  <c r="U40" i="18"/>
  <c r="U41" i="18"/>
  <c r="U42" i="18"/>
  <c r="U43" i="18"/>
  <c r="U44" i="18"/>
  <c r="U47" i="18"/>
  <c r="U48" i="18"/>
  <c r="U49" i="18"/>
  <c r="U50" i="18"/>
  <c r="U51" i="18"/>
  <c r="U52" i="18"/>
  <c r="U53" i="18"/>
  <c r="U54" i="18"/>
  <c r="U55" i="18"/>
  <c r="U56" i="18"/>
  <c r="U57" i="18"/>
  <c r="U58" i="18"/>
  <c r="U59" i="18"/>
  <c r="U60" i="18"/>
  <c r="U61" i="18"/>
  <c r="U62" i="18"/>
  <c r="U63" i="18"/>
  <c r="U64" i="18"/>
  <c r="U65" i="18"/>
  <c r="U66" i="18"/>
  <c r="U67" i="18"/>
  <c r="U68" i="18"/>
  <c r="U69" i="18"/>
  <c r="U70" i="18"/>
  <c r="U71" i="18"/>
  <c r="U72" i="18"/>
  <c r="U74" i="18"/>
  <c r="U75" i="18"/>
  <c r="U76" i="18"/>
  <c r="U77" i="18"/>
  <c r="U78" i="18"/>
  <c r="U79" i="18"/>
  <c r="U80" i="18"/>
  <c r="U81" i="18"/>
  <c r="U82" i="18"/>
  <c r="U83" i="18"/>
  <c r="U84" i="18"/>
  <c r="U85" i="18"/>
  <c r="U86" i="18"/>
  <c r="U87" i="18"/>
  <c r="U88" i="18"/>
  <c r="U90" i="18"/>
  <c r="U91" i="18"/>
  <c r="U92" i="18"/>
  <c r="U93" i="18"/>
  <c r="U94" i="18"/>
  <c r="U96" i="18"/>
  <c r="U97" i="18"/>
  <c r="U98" i="18"/>
  <c r="U99" i="18"/>
  <c r="U100" i="18"/>
  <c r="U101" i="18"/>
  <c r="U103" i="18"/>
  <c r="U104" i="18"/>
  <c r="U105" i="18"/>
  <c r="U106" i="18"/>
  <c r="U107" i="18"/>
  <c r="U108" i="18"/>
  <c r="U110" i="18"/>
  <c r="U111" i="18"/>
  <c r="U112" i="18"/>
  <c r="U113" i="18"/>
  <c r="U114" i="18"/>
  <c r="U115" i="18"/>
  <c r="U116" i="18"/>
  <c r="U118" i="18"/>
  <c r="U119" i="18"/>
  <c r="U120" i="18"/>
  <c r="U121" i="18"/>
  <c r="U122" i="18"/>
  <c r="U123" i="18"/>
  <c r="U124" i="18"/>
  <c r="U125" i="18"/>
  <c r="U126" i="18"/>
  <c r="U127" i="18"/>
  <c r="U128" i="18"/>
  <c r="U129" i="18"/>
  <c r="U132" i="18"/>
  <c r="U133" i="18"/>
  <c r="U134" i="18"/>
  <c r="U135" i="18"/>
  <c r="U136" i="18"/>
  <c r="U137" i="18"/>
  <c r="U138" i="18"/>
  <c r="U139" i="18"/>
  <c r="U140" i="18"/>
  <c r="U141" i="18"/>
  <c r="U142" i="18"/>
  <c r="U143" i="18"/>
  <c r="U144" i="18"/>
  <c r="U145" i="18"/>
  <c r="U147" i="18"/>
  <c r="U148" i="18"/>
  <c r="U149" i="18"/>
  <c r="U150" i="18"/>
  <c r="U151" i="18"/>
  <c r="U152" i="18"/>
  <c r="U153" i="18"/>
  <c r="U154" i="18"/>
  <c r="U155" i="18"/>
  <c r="U156" i="18"/>
  <c r="U157" i="18"/>
  <c r="U158" i="18"/>
  <c r="U159" i="18"/>
  <c r="U160" i="18"/>
  <c r="U162" i="18"/>
  <c r="U163" i="18"/>
  <c r="U164" i="18"/>
  <c r="U165" i="18"/>
  <c r="U166" i="18"/>
  <c r="U167" i="18"/>
  <c r="U168" i="18"/>
  <c r="U169" i="18"/>
  <c r="U170" i="18"/>
  <c r="U171" i="18"/>
  <c r="U172" i="18"/>
  <c r="U173" i="18"/>
  <c r="U174" i="18"/>
  <c r="U176" i="18"/>
  <c r="U177" i="18"/>
  <c r="U178" i="18"/>
  <c r="U179" i="18"/>
  <c r="U180" i="18"/>
  <c r="U181" i="18"/>
  <c r="U182" i="18"/>
  <c r="U184" i="18"/>
  <c r="U185" i="18"/>
  <c r="U186" i="18"/>
  <c r="U187" i="18"/>
  <c r="U189" i="18"/>
  <c r="U191" i="18"/>
  <c r="U192" i="18"/>
  <c r="U193" i="18"/>
  <c r="U194" i="18"/>
  <c r="U195" i="18"/>
  <c r="U196" i="18"/>
  <c r="U198" i="18"/>
  <c r="U199" i="18"/>
  <c r="U200" i="18"/>
  <c r="U201" i="18"/>
  <c r="U202" i="18"/>
  <c r="U203" i="18"/>
  <c r="U204" i="18"/>
  <c r="U205" i="18"/>
  <c r="U206" i="18"/>
  <c r="U207" i="18"/>
  <c r="U208" i="18"/>
  <c r="U209" i="18"/>
  <c r="U210" i="18"/>
  <c r="U211" i="18"/>
  <c r="U212" i="18"/>
  <c r="U213" i="18"/>
  <c r="U214" i="18"/>
  <c r="U215" i="18"/>
  <c r="U216" i="18"/>
  <c r="U217" i="18"/>
  <c r="U218" i="18"/>
  <c r="U219" i="18"/>
  <c r="U220" i="18"/>
  <c r="U221" i="18"/>
  <c r="U222" i="18"/>
  <c r="U223" i="18"/>
  <c r="U224" i="18"/>
  <c r="U225" i="18"/>
  <c r="U226" i="18"/>
  <c r="U227" i="18"/>
  <c r="U229" i="18"/>
  <c r="U230" i="18"/>
  <c r="U231" i="18"/>
  <c r="U232" i="18"/>
  <c r="U233" i="18"/>
  <c r="U234" i="18"/>
  <c r="U235" i="18"/>
  <c r="U236" i="18"/>
  <c r="U237" i="18"/>
  <c r="U238" i="18"/>
  <c r="U239" i="18"/>
  <c r="U240" i="18"/>
  <c r="U241" i="18"/>
  <c r="U242" i="18"/>
  <c r="U243" i="18"/>
  <c r="U244" i="18"/>
  <c r="U245" i="18"/>
  <c r="U246" i="18"/>
  <c r="U247" i="18"/>
  <c r="U248" i="18"/>
  <c r="U249" i="18"/>
  <c r="U250" i="18"/>
  <c r="U251" i="18"/>
  <c r="U253" i="18"/>
  <c r="U254" i="18"/>
  <c r="U255" i="18"/>
  <c r="U256" i="18"/>
  <c r="U257" i="18"/>
  <c r="U259" i="18"/>
  <c r="U260" i="18"/>
  <c r="U261" i="18"/>
  <c r="U262" i="18"/>
  <c r="U263" i="18"/>
  <c r="U264" i="18"/>
  <c r="U265" i="18"/>
  <c r="U266" i="18"/>
  <c r="U267" i="18"/>
  <c r="U269" i="18"/>
  <c r="U270" i="18"/>
  <c r="U271" i="18"/>
  <c r="U272" i="18"/>
  <c r="U273" i="18"/>
  <c r="U274" i="18"/>
  <c r="U275" i="18"/>
  <c r="U276" i="18"/>
  <c r="U277" i="18"/>
  <c r="U278" i="18"/>
  <c r="U279" i="18"/>
  <c r="U280" i="18"/>
  <c r="U281" i="18"/>
  <c r="U283" i="18"/>
  <c r="U285" i="18"/>
  <c r="U286" i="18"/>
  <c r="U287" i="18"/>
  <c r="U288" i="18"/>
  <c r="U289" i="18"/>
  <c r="U290" i="18"/>
  <c r="U291" i="18"/>
  <c r="U292" i="18"/>
  <c r="U293" i="18"/>
  <c r="U294" i="18"/>
  <c r="U296" i="18"/>
  <c r="U297" i="18"/>
  <c r="U298" i="18"/>
  <c r="U299" i="18"/>
  <c r="U300" i="18"/>
  <c r="U301" i="18"/>
  <c r="U302" i="18"/>
  <c r="U303" i="18"/>
  <c r="U304" i="18"/>
  <c r="U305" i="18"/>
  <c r="U306" i="18"/>
  <c r="U307" i="18"/>
  <c r="U308" i="18"/>
  <c r="U309" i="18"/>
  <c r="U311" i="18"/>
  <c r="U312" i="18"/>
  <c r="U313" i="18"/>
  <c r="U314" i="18"/>
  <c r="U315" i="18"/>
  <c r="U317" i="18"/>
  <c r="U318" i="18"/>
  <c r="U319" i="18"/>
  <c r="U320" i="18"/>
  <c r="U321" i="18"/>
  <c r="U322" i="18"/>
  <c r="U323" i="18"/>
  <c r="U325" i="18"/>
  <c r="U327" i="18"/>
  <c r="U328" i="18"/>
  <c r="U329" i="18"/>
  <c r="U330" i="18"/>
  <c r="U331" i="18"/>
  <c r="U332" i="18"/>
  <c r="U333" i="18"/>
  <c r="U334" i="18"/>
  <c r="U335" i="18"/>
  <c r="U336" i="18"/>
  <c r="U338" i="18"/>
  <c r="U339" i="18"/>
  <c r="U340" i="18"/>
  <c r="U342" i="18"/>
  <c r="U343" i="18"/>
  <c r="U344" i="18"/>
  <c r="U345" i="18"/>
  <c r="U346" i="18"/>
  <c r="U347" i="18"/>
  <c r="U348" i="18"/>
  <c r="U350" i="18"/>
  <c r="U351" i="18"/>
  <c r="U352" i="18"/>
  <c r="U353" i="18"/>
  <c r="U354" i="18"/>
  <c r="U355" i="18"/>
  <c r="U356" i="18"/>
  <c r="U359" i="18"/>
  <c r="U360" i="18"/>
  <c r="U361" i="18"/>
  <c r="U362" i="18"/>
  <c r="U363" i="18"/>
  <c r="U364" i="18"/>
  <c r="U366" i="18"/>
  <c r="U367" i="18"/>
  <c r="U368" i="18"/>
  <c r="U369" i="18"/>
  <c r="U371" i="18"/>
  <c r="U372" i="18"/>
  <c r="U373" i="18"/>
  <c r="U374" i="18"/>
  <c r="U375" i="18"/>
  <c r="U377" i="18"/>
  <c r="U378" i="18"/>
  <c r="U379" i="18"/>
  <c r="U380" i="18"/>
  <c r="U381" i="18"/>
  <c r="U382" i="18"/>
  <c r="U383" i="18"/>
  <c r="U384" i="18"/>
  <c r="U385" i="18"/>
  <c r="U387" i="18"/>
  <c r="U388" i="18"/>
  <c r="U389" i="18"/>
  <c r="U390" i="18"/>
  <c r="U391" i="18"/>
  <c r="U392" i="18"/>
  <c r="U393" i="18"/>
  <c r="U394" i="18"/>
  <c r="U395" i="18"/>
  <c r="U396" i="18"/>
  <c r="U397" i="18"/>
  <c r="U398" i="18"/>
  <c r="U399" i="18"/>
  <c r="U400" i="18"/>
  <c r="U402" i="18"/>
  <c r="U403" i="18"/>
  <c r="U404" i="18"/>
  <c r="U405" i="18"/>
  <c r="U407" i="18"/>
  <c r="U408" i="18"/>
  <c r="U409" i="18"/>
  <c r="U410" i="18"/>
  <c r="U411" i="18"/>
  <c r="U412" i="18"/>
  <c r="U414" i="18"/>
  <c r="U415" i="18"/>
  <c r="U416" i="18"/>
  <c r="U417" i="18"/>
  <c r="U418" i="18"/>
  <c r="U419" i="18"/>
  <c r="U420" i="18"/>
  <c r="U421" i="18"/>
  <c r="U422" i="18"/>
  <c r="U423" i="18"/>
  <c r="U424" i="18"/>
  <c r="U425" i="18"/>
  <c r="U426" i="18"/>
  <c r="U427" i="18"/>
  <c r="U428" i="18"/>
  <c r="U429" i="18"/>
  <c r="U431" i="18"/>
  <c r="U432" i="18"/>
  <c r="U433" i="18"/>
  <c r="U434" i="18"/>
  <c r="U435" i="18"/>
  <c r="U436" i="18"/>
  <c r="U437" i="18"/>
  <c r="U438" i="18"/>
  <c r="U439" i="18"/>
  <c r="U440" i="18"/>
  <c r="U441" i="18"/>
  <c r="U443" i="18"/>
  <c r="U444" i="18"/>
  <c r="U445" i="18"/>
  <c r="U446" i="18"/>
  <c r="U448" i="18"/>
  <c r="U450" i="18"/>
  <c r="U451" i="18"/>
  <c r="U452" i="18"/>
  <c r="U454" i="18"/>
  <c r="U455" i="18"/>
  <c r="U456" i="18"/>
  <c r="U459" i="18"/>
  <c r="U460" i="18"/>
  <c r="U461" i="18"/>
  <c r="U462" i="18"/>
  <c r="U463" i="18"/>
  <c r="U465" i="18"/>
  <c r="U466" i="18"/>
  <c r="U467" i="18"/>
  <c r="U468" i="18"/>
  <c r="U469" i="18"/>
  <c r="U471" i="18"/>
  <c r="U472" i="18"/>
  <c r="U473" i="18"/>
  <c r="U474" i="18"/>
  <c r="U475" i="18"/>
  <c r="U478" i="18"/>
  <c r="U479" i="18"/>
  <c r="U480" i="18"/>
  <c r="U481" i="18"/>
  <c r="U482" i="18"/>
  <c r="U483" i="18"/>
  <c r="U484" i="18"/>
  <c r="U485" i="18"/>
  <c r="U487" i="18"/>
  <c r="U488" i="18"/>
  <c r="U489" i="18"/>
  <c r="U490" i="18"/>
  <c r="U491" i="18"/>
  <c r="U492" i="18"/>
  <c r="U493" i="18"/>
  <c r="U495" i="18"/>
  <c r="U496" i="18"/>
  <c r="U497" i="18"/>
  <c r="U498" i="18"/>
  <c r="U499" i="18"/>
  <c r="U500" i="18"/>
  <c r="U501" i="18"/>
  <c r="U502" i="18"/>
  <c r="U503" i="18"/>
  <c r="U504" i="18"/>
  <c r="U505" i="18"/>
  <c r="U506" i="18"/>
  <c r="U507" i="18"/>
  <c r="U508" i="18"/>
  <c r="U509" i="18"/>
  <c r="U510" i="18"/>
  <c r="U512" i="18"/>
  <c r="U513" i="18"/>
  <c r="U514" i="18"/>
  <c r="U515" i="18"/>
  <c r="U516" i="18"/>
  <c r="U518" i="18"/>
  <c r="U519" i="18"/>
  <c r="U521" i="18"/>
  <c r="U522" i="18"/>
  <c r="U523" i="18"/>
  <c r="U525" i="18"/>
  <c r="U526" i="18"/>
  <c r="U527" i="18"/>
  <c r="U528" i="18"/>
  <c r="U529" i="18"/>
  <c r="U530" i="18"/>
  <c r="U531" i="18"/>
  <c r="U532" i="18"/>
  <c r="U533" i="18"/>
  <c r="U535" i="18"/>
  <c r="U536" i="18"/>
  <c r="U537" i="18"/>
  <c r="U538" i="18"/>
  <c r="U539" i="18"/>
  <c r="U542" i="18"/>
  <c r="U543" i="18"/>
  <c r="U544" i="18"/>
  <c r="U545" i="18"/>
  <c r="U546" i="18"/>
  <c r="U547" i="18"/>
  <c r="U548" i="18"/>
  <c r="U550" i="18"/>
  <c r="U551" i="18"/>
  <c r="U552" i="18"/>
  <c r="U553" i="18"/>
  <c r="U554" i="18"/>
  <c r="U555" i="18"/>
  <c r="U556" i="18"/>
  <c r="U557" i="18"/>
  <c r="U558" i="18"/>
  <c r="U559" i="18"/>
  <c r="U560" i="18"/>
  <c r="U561" i="18"/>
  <c r="U562" i="18"/>
  <c r="U563" i="18"/>
  <c r="U564" i="18"/>
  <c r="U565" i="18"/>
  <c r="U566" i="18"/>
  <c r="U567" i="18"/>
  <c r="U568" i="18"/>
  <c r="U569" i="18"/>
  <c r="U570" i="18"/>
  <c r="U572" i="18"/>
  <c r="U573" i="18"/>
  <c r="U574" i="18"/>
  <c r="U575" i="18"/>
  <c r="U576" i="18"/>
  <c r="U577" i="18"/>
  <c r="U579" i="18"/>
  <c r="U580" i="18"/>
  <c r="U581" i="18"/>
  <c r="U582" i="18"/>
  <c r="U583" i="18"/>
  <c r="U585" i="18"/>
  <c r="U586" i="18"/>
  <c r="U587" i="18"/>
  <c r="U588" i="18"/>
  <c r="U589" i="18"/>
  <c r="U590" i="18"/>
  <c r="U591" i="18"/>
  <c r="U592" i="18"/>
  <c r="U593" i="18"/>
  <c r="U594" i="18"/>
  <c r="U595" i="18"/>
  <c r="U597" i="18"/>
  <c r="U598" i="18"/>
  <c r="U599" i="18"/>
  <c r="U600" i="18"/>
  <c r="U601" i="18"/>
  <c r="U602" i="18"/>
  <c r="U603" i="18"/>
  <c r="U604" i="18"/>
  <c r="U605" i="18"/>
  <c r="U606" i="18"/>
  <c r="U607" i="18"/>
  <c r="U609" i="18"/>
  <c r="U610" i="18"/>
  <c r="U611" i="18"/>
  <c r="U612" i="18"/>
  <c r="U613" i="18"/>
  <c r="U614" i="18"/>
  <c r="U615" i="18"/>
  <c r="U616" i="18"/>
  <c r="U617" i="18"/>
  <c r="U618" i="18"/>
  <c r="U619" i="18"/>
  <c r="U620" i="18"/>
  <c r="U621" i="18"/>
  <c r="U622" i="18"/>
  <c r="U623" i="18"/>
  <c r="U624" i="18"/>
  <c r="U625" i="18"/>
  <c r="U626" i="18"/>
  <c r="U627" i="18"/>
  <c r="U628" i="18"/>
  <c r="U629" i="18"/>
  <c r="U630" i="18"/>
  <c r="U631" i="18"/>
  <c r="U632" i="18"/>
  <c r="U633" i="18"/>
  <c r="U634" i="18"/>
  <c r="U635" i="18"/>
  <c r="U636" i="18"/>
  <c r="U639" i="18"/>
  <c r="U640" i="18"/>
  <c r="U641" i="18"/>
  <c r="U642" i="18"/>
  <c r="U643" i="18"/>
  <c r="U644" i="18"/>
  <c r="U645" i="18"/>
  <c r="U646" i="18"/>
  <c r="U648" i="18"/>
  <c r="U649" i="18"/>
  <c r="U650" i="18"/>
  <c r="U651" i="18"/>
  <c r="U652" i="18"/>
  <c r="U653" i="18"/>
  <c r="U654" i="18"/>
  <c r="U655" i="18"/>
  <c r="U657" i="18"/>
  <c r="U658" i="18"/>
  <c r="U659" i="18"/>
  <c r="U660" i="18"/>
  <c r="U661" i="18"/>
  <c r="U663" i="18"/>
  <c r="U664" i="18"/>
  <c r="U665" i="18"/>
  <c r="U667" i="18"/>
  <c r="U669" i="18"/>
  <c r="U670" i="18"/>
  <c r="U671" i="18"/>
  <c r="U672" i="18"/>
  <c r="U673" i="18"/>
  <c r="U674" i="18"/>
  <c r="U675" i="18"/>
  <c r="U676" i="18"/>
  <c r="U677" i="18"/>
  <c r="U678" i="18"/>
  <c r="U679" i="18"/>
  <c r="U680" i="18"/>
  <c r="U681" i="18"/>
  <c r="U682" i="18"/>
  <c r="U683" i="18"/>
  <c r="U684" i="18"/>
  <c r="U685" i="18"/>
  <c r="U686" i="18"/>
  <c r="U687" i="18"/>
  <c r="U688" i="18"/>
  <c r="U689" i="18"/>
  <c r="U690" i="18"/>
  <c r="U691" i="18"/>
  <c r="G2" i="16"/>
  <c r="N311" i="20" l="1"/>
  <c r="N23" i="20"/>
  <c r="N111" i="20"/>
  <c r="N134" i="20"/>
  <c r="N348" i="20"/>
  <c r="N404" i="20"/>
  <c r="N52" i="20"/>
  <c r="N387" i="20"/>
  <c r="N376" i="20"/>
  <c r="N331" i="20"/>
  <c r="N98" i="20"/>
  <c r="N22" i="20"/>
  <c r="N352" i="20"/>
  <c r="N347" i="20"/>
  <c r="N280" i="20"/>
  <c r="N274" i="20"/>
  <c r="N212" i="20"/>
  <c r="N194" i="20"/>
  <c r="N150" i="20"/>
  <c r="N139" i="20"/>
  <c r="N50" i="20"/>
  <c r="N38" i="20"/>
  <c r="N27" i="20"/>
  <c r="N324" i="20"/>
  <c r="N296" i="20"/>
  <c r="N290" i="20"/>
  <c r="N240" i="20"/>
  <c r="N200" i="20"/>
  <c r="N166" i="20"/>
  <c r="N155" i="20"/>
  <c r="N116" i="20"/>
  <c r="N86" i="20"/>
  <c r="N312" i="20"/>
  <c r="N306" i="20"/>
  <c r="N278" i="20"/>
  <c r="N256" i="20"/>
  <c r="N251" i="20"/>
  <c r="N210" i="20"/>
  <c r="N182" i="20"/>
  <c r="N176" i="20"/>
  <c r="N142" i="20"/>
  <c r="N132" i="20"/>
  <c r="N55" i="20"/>
  <c r="N43" i="20"/>
  <c r="N14" i="20"/>
  <c r="N8" i="20"/>
  <c r="N267" i="20"/>
  <c r="N198" i="20"/>
  <c r="N148" i="20"/>
  <c r="N72" i="20"/>
  <c r="N54" i="20"/>
  <c r="N18" i="20"/>
  <c r="N355" i="20"/>
  <c r="N344" i="20"/>
  <c r="N338" i="20"/>
  <c r="N288" i="20"/>
  <c r="N226" i="20"/>
  <c r="N164" i="20"/>
  <c r="N130" i="20"/>
  <c r="N78" i="20"/>
  <c r="N66" i="20"/>
  <c r="N59" i="20"/>
  <c r="N354" i="20"/>
  <c r="N299" i="20"/>
  <c r="N282" i="20"/>
  <c r="N232" i="20"/>
  <c r="N214" i="20"/>
  <c r="N208" i="20"/>
  <c r="N203" i="20"/>
  <c r="N180" i="20"/>
  <c r="N146" i="20"/>
  <c r="N107" i="20"/>
  <c r="N101" i="20"/>
  <c r="N395" i="20"/>
  <c r="N363" i="20"/>
  <c r="N398" i="20"/>
  <c r="M19" i="19"/>
  <c r="J6" i="19" a="1"/>
  <c r="J6" i="19" s="1"/>
  <c r="M75" i="19"/>
  <c r="M57" i="19"/>
  <c r="M49" i="19"/>
  <c r="M37" i="19"/>
  <c r="M43" i="19"/>
  <c r="M21" i="19"/>
  <c r="M5" i="19"/>
  <c r="M61" i="19"/>
  <c r="M55" i="19"/>
  <c r="M23" i="19"/>
  <c r="M67" i="19"/>
  <c r="M35" i="19"/>
  <c r="M3" i="19"/>
  <c r="M53" i="19"/>
  <c r="M47" i="19"/>
  <c r="M15" i="19"/>
  <c r="M59" i="19"/>
  <c r="M27" i="19"/>
  <c r="M71" i="19"/>
  <c r="M45" i="19"/>
  <c r="M39" i="19"/>
  <c r="M7" i="19"/>
  <c r="M63" i="19"/>
  <c r="M31" i="19"/>
  <c r="R662" i="18"/>
  <c r="U662" i="18" s="1"/>
  <c r="R637" i="18"/>
  <c r="U637" i="18" s="1"/>
  <c r="R578" i="18"/>
  <c r="U578" i="18" s="1"/>
  <c r="R571" i="18"/>
  <c r="U571" i="18" s="1"/>
  <c r="R534" i="18"/>
  <c r="U534" i="18" s="1"/>
  <c r="R517" i="18"/>
  <c r="U517" i="18" s="1"/>
  <c r="R511" i="18"/>
  <c r="U511" i="18" s="1"/>
  <c r="R470" i="18"/>
  <c r="U470" i="18" s="1"/>
  <c r="R453" i="18"/>
  <c r="U453" i="18" s="1"/>
  <c r="R447" i="18"/>
  <c r="U447" i="18" s="1"/>
  <c r="R413" i="18"/>
  <c r="U413" i="18" s="1"/>
  <c r="R406" i="18"/>
  <c r="U406" i="18" s="1"/>
  <c r="R401" i="18"/>
  <c r="U401" i="18" s="1"/>
  <c r="R357" i="18"/>
  <c r="U357" i="18" s="1"/>
  <c r="R295" i="18"/>
  <c r="U295" i="18" s="1"/>
  <c r="R282" i="18"/>
  <c r="U282" i="18" s="1"/>
  <c r="R197" i="18"/>
  <c r="U197" i="18" s="1"/>
  <c r="R190" i="18"/>
  <c r="U190" i="18" s="1"/>
  <c r="R183" i="18"/>
  <c r="U183" i="18" s="1"/>
  <c r="R161" i="18"/>
  <c r="U161" i="18" s="1"/>
  <c r="R131" i="18"/>
  <c r="U131" i="18" s="1"/>
  <c r="R117" i="18"/>
  <c r="U117" i="18" s="1"/>
  <c r="R109" i="18"/>
  <c r="U109" i="18" s="1"/>
  <c r="R102" i="18"/>
  <c r="U102" i="18" s="1"/>
  <c r="R95" i="18"/>
  <c r="U95" i="18" s="1"/>
  <c r="R33" i="18"/>
  <c r="U33" i="18" s="1"/>
  <c r="R26" i="18"/>
  <c r="U26" i="18" s="1"/>
  <c r="R638" i="18"/>
  <c r="U638" i="18" s="1"/>
  <c r="R584" i="18"/>
  <c r="U584" i="18" s="1"/>
  <c r="R520" i="18"/>
  <c r="U520" i="18" s="1"/>
  <c r="R486" i="18"/>
  <c r="U486" i="18" s="1"/>
  <c r="R464" i="18"/>
  <c r="U464" i="18" s="1"/>
  <c r="R442" i="18"/>
  <c r="U442" i="18" s="1"/>
  <c r="R386" i="18"/>
  <c r="U386" i="18" s="1"/>
  <c r="R358" i="18"/>
  <c r="U358" i="18" s="1"/>
  <c r="R258" i="18"/>
  <c r="U258" i="18" s="1"/>
  <c r="R45" i="18"/>
  <c r="U45" i="18" s="1"/>
  <c r="R89" i="18"/>
  <c r="U89" i="18" s="1"/>
  <c r="R326" i="18"/>
  <c r="U326" i="18" s="1"/>
  <c r="R476" i="18"/>
  <c r="U476" i="18" s="1"/>
  <c r="R376" i="18"/>
  <c r="U376" i="18" s="1"/>
  <c r="R370" i="18"/>
  <c r="U370" i="18" s="1"/>
  <c r="R175" i="18"/>
  <c r="U175" i="18" s="1"/>
  <c r="R146" i="18"/>
  <c r="U146" i="18" s="1"/>
  <c r="R46" i="18"/>
  <c r="U46" i="18" s="1"/>
  <c r="R430" i="18"/>
  <c r="U430" i="18" s="1"/>
  <c r="R458" i="18"/>
  <c r="U458" i="18" s="1"/>
  <c r="R73" i="18"/>
  <c r="U73" i="18" s="1"/>
  <c r="R596" i="18"/>
  <c r="U596" i="18" s="1"/>
  <c r="R656" i="18"/>
  <c r="U656" i="18" s="1"/>
  <c r="R540" i="18"/>
  <c r="U540" i="18" s="1"/>
  <c r="R6" i="18"/>
  <c r="U6" i="18" s="1"/>
  <c r="R668" i="18"/>
  <c r="U668" i="18" s="1"/>
  <c r="R608" i="18"/>
  <c r="U608" i="18" s="1"/>
  <c r="R494" i="18"/>
  <c r="U494" i="18" s="1"/>
</calcChain>
</file>

<file path=xl/connections.xml><?xml version="1.0" encoding="utf-8"?>
<connections xmlns="http://schemas.openxmlformats.org/spreadsheetml/2006/main">
  <connection id="1" name="Connection" type="1" refreshedVersion="6" saveData="1">
    <dbPr connection="Driver={SQLite3 ODBC Driver};Database=e:\finaal\rprtbase.xlsm;StepAPI=;SyncPragma=;NoTXN=;Timeout=;ShortNames=;LongNames=;NoCreat=;NoWCHAR=;FKSupport=;JournalMode=;OEMCP=;LoadExt=;BigInt=;JDConv=;" command="select * from FrequencyStatsQuery"/>
  </connection>
  <connection id="2" name="Connection1" type="1" refreshedVersion="6" saveData="1">
    <dbPr connection="Driver={SQLite3 ODBC Driver};Database=e:\finaal\rprtbase.xlsm;StepAPI=;SyncPragma=;NoTXN=;Timeout=;ShortNames=;LongNames=;NoCreat=;NoWCHAR=;FKSupport=;JournalMode=;OEMCP=;LoadExt=;BigInt=;JDConv=;" command="select * from ProjectQuery"/>
  </connection>
  <connection id="3" name="Connection2" type="1" refreshedVersion="6" saveData="1">
    <dbPr connection="Driver={SQLite3 ODBC Driver};Database=e:\finaal\rprtbase.xlsm;StepAPI=;SyncPragma=;NoTXN=;Timeout=;ShortNames=;LongNames=;NoCreat=;NoWCHAR=;FKSupport=;JournalMode=;OEMCP=;LoadExt=;BigInt=;JDConv=;" command="select * from DiscreteTimeStatsQuery"/>
  </connection>
  <connection id="4" name="Connection3" type="1" refreshedVersion="6" saveData="1">
    <dbPr connection="Driver={SQLite3 ODBC Driver};Database=e:\finaal\rprtbase.xlsm;StepAPI=;SyncPragma=;NoTXN=;Timeout=;ShortNames=;LongNames=;NoCreat=;NoWCHAR=;FKSupport=;JournalMode=;OEMCP=;LoadExt=;BigInt=;JDConv=;" command="select * from ContinuousTimeStatsQuery"/>
  </connection>
  <connection id="5" name="Connection4" type="1" refreshedVersion="6" saveData="1">
    <dbPr connection="Driver={SQLite3 ODBC Driver};Database=e:\finaal\rprtbase.xlsm;StepAPI=;SyncPragma=;NoTXN=;Timeout=;ShortNames=;LongNames=;NoCreat=;NoWCHAR=;FKSupport=;JournalMode=;OEMCP=;LoadExt=;BigInt=;JDConv=;" command="select * from CounterStatsQuery"/>
  </connection>
  <connection id="6" name="Connection5" type="1" refreshedVersion="6" saveData="1">
    <dbPr connection="Driver={SQLite3 ODBC Driver};Database=e:\finaal\rprtbase.xlsm;StepAPI=;SyncPragma=;NoTXN=;Timeout=;ShortNames=;LongNames=;NoCreat=;NoWCHAR=;FKSupport=;JournalMode=;OEMCP=;LoadExt=;BigInt=;JDConv=;" command="select * from OutputStatsQuery"/>
  </connection>
</connections>
</file>

<file path=xl/sharedStrings.xml><?xml version="1.0" encoding="utf-8"?>
<sst xmlns="http://schemas.openxmlformats.org/spreadsheetml/2006/main" count="6230" uniqueCount="142">
  <si>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</si>
  <si>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</si>
  <si>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</si>
  <si>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</si>
  <si>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</si>
  <si>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</si>
  <si>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</si>
  <si>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</si>
  <si>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</si>
  <si>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</si>
  <si>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</si>
  <si>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</si>
  <si>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</si>
  <si>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</si>
  <si>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</si>
  <si>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</si>
  <si>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</si>
  <si>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</si>
  <si>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</si>
  <si>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</si>
  <si>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</si>
  <si>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</si>
  <si>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</si>
  <si>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</si>
  <si>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</si>
  <si>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</si>
  <si>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</si>
  <si>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</si>
  <si>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</si>
  <si>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</si>
  <si>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</si>
  <si>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</si>
  <si>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</si>
  <si>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</si>
  <si>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</si>
  <si>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</si>
  <si>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</si>
  <si>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</si>
  <si>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</si>
  <si>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</si>
  <si>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</si>
  <si>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</si>
  <si>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</si>
  <si>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</si>
  <si>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</si>
  <si>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</si>
  <si>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</si>
  <si>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</si>
  <si>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</si>
  <si>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</si>
  <si>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</si>
  <si>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</si>
  <si>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</si>
  <si>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</si>
  <si>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</si>
  <si>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</si>
  <si>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</si>
  <si>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</si>
  <si>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</si>
  <si>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</si>
  <si>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</si>
  <si>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</si>
  <si>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</si>
  <si>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</si>
  <si>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</si>
  <si>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</si>
  <si>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</si>
  <si>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</si>
  <si>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IncludeOption</t>
  </si>
  <si>
    <t>E:\finaal\finaal.p</t>
  </si>
  <si>
    <t>2025-06-09 14:43:37</t>
  </si>
  <si>
    <t>assembler</t>
  </si>
  <si>
    <t>Instantaneous Utilization</t>
  </si>
  <si>
    <t>Resource</t>
  </si>
  <si>
    <t>Number Busy</t>
  </si>
  <si>
    <t>Number Scheduled</t>
  </si>
  <si>
    <t>assemblyqcworker</t>
  </si>
  <si>
    <t>batched_parts</t>
  </si>
  <si>
    <t>WIP</t>
  </si>
  <si>
    <t>Entity</t>
  </si>
  <si>
    <t>cleaner</t>
  </si>
  <si>
    <t>cutter</t>
  </si>
  <si>
    <t>finalqcman</t>
  </si>
  <si>
    <t>inspectorseize.Queue</t>
  </si>
  <si>
    <t>Number Waiting</t>
  </si>
  <si>
    <t>Queue</t>
  </si>
  <si>
    <t>match_truckcombo.Queue1</t>
  </si>
  <si>
    <t>match_truckcombo.Queue2</t>
  </si>
  <si>
    <t>paintingmachine</t>
  </si>
  <si>
    <t>paintingoperator</t>
  </si>
  <si>
    <t>sandblastmachine</t>
  </si>
  <si>
    <t>sandblastoperator</t>
  </si>
  <si>
    <t>seize_assembler.Queue</t>
  </si>
  <si>
    <t>seize_cutter.Queue</t>
  </si>
  <si>
    <t>seizeassemblyqcman.Queue</t>
  </si>
  <si>
    <t>seizecleaner.Queue</t>
  </si>
  <si>
    <t>seizepainter.Queue</t>
  </si>
  <si>
    <t>seizeqcman.Queue</t>
  </si>
  <si>
    <t>seizesandblaster.Queue</t>
  </si>
  <si>
    <t>seizewelder.Queue</t>
  </si>
  <si>
    <t>steelsheet</t>
  </si>
  <si>
    <t>welder</t>
  </si>
  <si>
    <t>weldingqcworker</t>
  </si>
  <si>
    <t>num_cleaned</t>
  </si>
  <si>
    <t>Count</t>
  </si>
  <si>
    <t>User Specified</t>
  </si>
  <si>
    <t>painted</t>
  </si>
  <si>
    <t>qcapproved</t>
  </si>
  <si>
    <t>sandblasted</t>
  </si>
  <si>
    <t>steel_arrivals</t>
  </si>
  <si>
    <t>System.NumberOut</t>
  </si>
  <si>
    <t>Number Out</t>
  </si>
  <si>
    <t>System</t>
  </si>
  <si>
    <t>assembler.NumberSeized</t>
  </si>
  <si>
    <t>Total Number Seized</t>
  </si>
  <si>
    <t>assembler.ScheduledUtilization</t>
  </si>
  <si>
    <t>Scheduled Utilization</t>
  </si>
  <si>
    <t>assemblyqcworker.NumberSeized</t>
  </si>
  <si>
    <t>assemblyqcworker.ScheduledUtilization</t>
  </si>
  <si>
    <t>batched_parts.NumberIn</t>
  </si>
  <si>
    <t>Number In</t>
  </si>
  <si>
    <t>batched_parts.NumberOut</t>
  </si>
  <si>
    <t>cleaner.NumberSeized</t>
  </si>
  <si>
    <t>cleaner.ScheduledUtilization</t>
  </si>
  <si>
    <t>cutter.NumberSeized</t>
  </si>
  <si>
    <t>cutter.ScheduledUtilization</t>
  </si>
  <si>
    <t>finalqcman.NumberSeized</t>
  </si>
  <si>
    <t>finalqcman.ScheduledUtilization</t>
  </si>
  <si>
    <t>paintingmachine.NumberSeized</t>
  </si>
  <si>
    <t>paintingmachine.ScheduledUtilization</t>
  </si>
  <si>
    <t>paintingoperator.NumberSeized</t>
  </si>
  <si>
    <t>paintingoperator.ScheduledUtilization</t>
  </si>
  <si>
    <t>sandblastmachine.NumberSeized</t>
  </si>
  <si>
    <t>sandblastmachine.ScheduledUtilization</t>
  </si>
  <si>
    <t>sandblastoperator.NumberSeized</t>
  </si>
  <si>
    <t>sandblastoperator.ScheduledUtilization</t>
  </si>
  <si>
    <t>steelsheet.NumberIn</t>
  </si>
  <si>
    <t>steelsheet.NumberOut</t>
  </si>
  <si>
    <t>welder.NumberSeized</t>
  </si>
  <si>
    <t>welder.ScheduledUtilization</t>
  </si>
  <si>
    <t>weldingqcworker.NumberSeized</t>
  </si>
  <si>
    <t>weldingqcworker.ScheduledUtilization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</si>
</sst>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0">
    <dxf>
      <numFmt numFmtId="0" formatCode="General"/>
    </dxf>
    <dxf>
      <numFmt numFmtId="0" formatCode="General"/>
    </dxf>
    <dxf>
      <numFmt numFmtId="0" formatCode="General"/>
    </dxf>
    <dxf>
      <numFmt numFmtId="164" formatCode="[=400000000000000000000]&quot;Null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4" formatCode="0.00%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Pack by Diakov" refreshedDate="46305.776890162037" createdVersion="7" refreshedVersion="6" minRefreshableVersion="3" recordCount="690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5"/>
    </cacheField>
    <cacheField name="Name" numFmtId="0">
      <sharedItems containsBlank="1" count="148">
        <s v="assembler"/>
        <s v="assemblyqcworker"/>
        <s v="batched_parts"/>
        <s v="cleaner"/>
        <s v="cutter"/>
        <s v="finalqcman"/>
        <s v="inspectorseize.Queue"/>
        <s v="match_truckcombo.Queue1"/>
        <s v="match_truckcombo.Queue2"/>
        <s v="paintingmachine"/>
        <s v="paintingoperator"/>
        <s v="sandblastmachine"/>
        <s v="sandblastoperator"/>
        <s v="seize_assembler.Queue"/>
        <s v="seize_cutter.Queue"/>
        <s v="seizeassemblyqcman.Queue"/>
        <s v="seizecleaner.Queue"/>
        <s v="seizepainter.Queue"/>
        <s v="seizeqcman.Queue"/>
        <s v="seizesandblaster.Queue"/>
        <s v="seizewelder.Queue"/>
        <s v="steelsheet"/>
        <s v="welder"/>
        <s v="weldingqcworker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WIP"/>
        <s v="Number Waiting"/>
        <m u="1"/>
        <s v="Levels" u="1"/>
      </sharedItems>
    </cacheField>
    <cacheField name="Source" numFmtId="0">
      <sharedItems containsBlank="1" count="5">
        <s v="Resource"/>
        <s v="Entity"/>
        <s v="Queue"/>
        <m u="1"/>
        <s v="User Specified" u="1"/>
      </sharedItems>
    </cacheField>
    <cacheField name="Average" numFmtId="0">
      <sharedItems containsSemiMixedTypes="0" containsString="0" containsNumber="1" minValue="0" maxValue="16"/>
    </cacheField>
    <cacheField name="BatchMeansHalfWidth" numFmtId="0">
      <sharedItems containsSemiMixedTypes="0" containsString="0" containsNumber="1" containsInteger="1" minValue="2E+20" maxValue="3E+20"/>
    </cacheField>
    <cacheField name="Minimum" numFmtId="0">
      <sharedItems containsSemiMixedTypes="0" containsString="0" containsNumber="1" containsInteger="1" minValue="0" maxValue="16"/>
    </cacheField>
    <cacheField name="Maximum" numFmtId="0">
      <sharedItems containsSemiMixedTypes="0" containsString="0" containsNumber="1" containsInteger="1" minValue="0" maxValue="16"/>
    </cacheField>
    <cacheField name="LastRecordedValue" numFmtId="0">
      <sharedItems containsSemiMixedTypes="0" containsString="0" containsNumber="1" containsInteger="1" minValue="0" maxValue="16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5" maxValue="15"/>
    </cacheField>
    <cacheField name="AverageOfAverage" numFmtId="0">
      <sharedItems containsSemiMixedTypes="0" containsString="0" containsNumber="1" minValue="0" maxValue="6.1333333333333337"/>
    </cacheField>
    <cacheField name="StDevOfAverage" numFmtId="0">
      <sharedItems containsSemiMixedTypes="0" containsString="0" containsNumber="1" minValue="0" maxValue="5.3166405433005028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2.944257396015229"/>
    </cacheField>
    <cacheField name="MinimumAverage" numFmtId="0">
      <sharedItems containsSemiMixedTypes="0" containsString="0" containsNumber="1" containsInteger="1" minValue="0" maxValue="1"/>
    </cacheField>
    <cacheField name="MaximumAverage" numFmtId="0">
      <sharedItems containsSemiMixedTypes="0" containsString="0" containsNumber="1" containsInteger="1" minValue="0" maxValue="16"/>
    </cacheField>
    <cacheField name="SummaryHalfWidth" numFmtId="0">
      <sharedItems containsSemiMixedTypes="0" containsString="0" containsNumber="1" minValue="0" maxValue="2.9442573960152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RePack by Diakov" refreshedDate="46305.776890393521" createdVersion="7" refreshedVersion="6" minRefreshableVersion="3" recordCount="1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RePack by Diakov" refreshedDate="46305.776890624998" createdVersion="7" refreshedVersion="6" minRefreshableVersion="3" recordCount="1">
  <cacheSource type="worksheet">
    <worksheetSource name="DiscreteStatsTable"/>
  </cacheSource>
  <cacheFields count="25">
    <cacheField name="ProjectName" numFmtId="0">
      <sharedItems containsNonDate="0" containsBlank="1" count="4">
        <m/>
        <s v="Assembly Line" u="1"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99">
        <m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NonDate="0" containsBlank="1" count="12">
        <m/>
        <s v="Total Time Per Entity" u="1"/>
        <s v="NVA Time" u="1"/>
        <s v="VA Time Per Entity" u="1"/>
        <s v="Other Time" u="1"/>
        <s v="Wait Time Per Entity" u="1"/>
        <s v="Total Time" u="1"/>
        <s v="Transfer Time" u="1"/>
        <s v="Wait Time" u="1"/>
        <s v="VA Time" u="1"/>
        <s v="Interval" u="1"/>
        <s v="Waiting Time" u="1"/>
      </sharedItems>
    </cacheField>
    <cacheField name="Source" numFmtId="0">
      <sharedItems containsNonDate="0" containsBlank="1" count="5">
        <m/>
        <s v="Queue" u="1"/>
        <s v="Process" u="1"/>
        <s v="Entity" u="1"/>
        <s v="User Specified" u="1"/>
      </sharedItems>
    </cacheField>
    <cacheField name="Average" numFmtId="0">
      <sharedItems containsNonDate="0" containsString="0" containsBlank="1"/>
    </cacheField>
    <cacheField name="BatchMeans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  <cacheField name="NumberObservations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OfAverage" numFmtId="0">
      <sharedItems containsNonDate="0" containsString="0" containsBlank="1"/>
    </cacheField>
    <cacheField name="StDevOfAverage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Average" numFmtId="0">
      <sharedItems containsNonDate="0" containsString="0" containsBlank="1"/>
    </cacheField>
    <cacheField name="MaximumAverage" numFmtId="0">
      <sharedItems containsNonDate="0" containsString="0" containsBlank="1"/>
    </cacheField>
    <cacheField name="OverallMinimum" numFmtId="0">
      <sharedItems containsNonDate="0" containsString="0" containsBlank="1"/>
    </cacheField>
    <cacheField name="OverallMaximum" numFmtId="0">
      <sharedItems containsNonDate="0" containsString="0" containsBlank="1"/>
    </cacheField>
    <cacheField name="AverageNumberObservations" numFmtId="0">
      <sharedItems containsNonDate="0" containsString="0" containsBlank="1"/>
    </cacheField>
    <cacheField name="SummaryHalfWidth" numFmtId="0">
      <sharedItems containsNonDate="0" containsString="0" containsBlank="1"/>
    </cacheField>
    <cacheField name="RepsWithStatObserved" numFmtId="0">
      <sharedItems containsNonDate="0" containsString="0" containsBlank="1"/>
    </cacheField>
    <cacheField name="Observed=Requested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RePack by Diakov" refreshedDate="46305.776890972222" createdVersion="7" refreshedVersion="6" minRefreshableVersion="3" recordCount="405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5"/>
    </cacheField>
    <cacheField name="Name" numFmtId="0">
      <sharedItems containsBlank="1" count="105">
        <s v="System.NumberOut"/>
        <s v="assembler.NumberSeized"/>
        <s v="assembler.ScheduledUtilization"/>
        <s v="assemblyqcworker.NumberSeized"/>
        <s v="assemblyqcworker.ScheduledUtilization"/>
        <s v="batched_parts.NumberIn"/>
        <s v="batched_parts.NumberOut"/>
        <s v="cleaner.NumberSeized"/>
        <s v="cleaner.ScheduledUtilization"/>
        <s v="cutter.NumberSeized"/>
        <s v="cutter.ScheduledUtilization"/>
        <s v="finalqcman.NumberSeized"/>
        <s v="finalqcman.ScheduledUtilization"/>
        <s v="paintingmachine.NumberSeized"/>
        <s v="paintingmachine.ScheduledUtilization"/>
        <s v="paintingoperator.NumberSeized"/>
        <s v="paintingoperator.ScheduledUtilization"/>
        <s v="sandblastmachine.NumberSeized"/>
        <s v="sandblastmachine.ScheduledUtilization"/>
        <s v="sandblastoperator.NumberSeized"/>
        <s v="sandblastoperator.ScheduledUtilization"/>
        <s v="steelsheet.NumberIn"/>
        <s v="steelsheet.NumberOut"/>
        <s v="welder.NumberSeized"/>
        <s v="welder.ScheduledUtilization"/>
        <s v="weldingqcworker.NumberSeized"/>
        <s v="weldingqcworker.ScheduledUtilization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Out"/>
        <s v="Total Number Seized"/>
        <s v="Scheduled Utilization"/>
        <s v="Number In"/>
        <m u="1"/>
        <s v="Accum VA Time" u="1"/>
        <s v="Accum Wait Time" u="1"/>
      </sharedItems>
    </cacheField>
    <cacheField name="Source" numFmtId="0">
      <sharedItems containsBlank="1" count="5">
        <s v="System"/>
        <s v="Resource"/>
        <s v="Entity"/>
        <m u="1"/>
        <s v="Process" u="1"/>
      </sharedItems>
    </cacheField>
    <cacheField name="RecordedValue" numFmtId="0">
      <sharedItems containsSemiMixedTypes="0" containsString="0" containsNumber="1" containsInteger="1" minValue="0" maxValue="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5" maxValue="15"/>
    </cacheField>
    <cacheField name="Average" numFmtId="0">
      <sharedItems containsSemiMixedTypes="0" containsString="0" containsNumber="1" containsInteger="1" minValue="0" maxValue="0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0" maxValue="0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RePack by Diakov" refreshedDate="46305.776891203706" createdVersion="7" refreshedVersion="6" minRefreshableVersion="3" recordCount="75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5"/>
    </cacheField>
    <cacheField name="Name" numFmtId="0">
      <sharedItems containsBlank="1" count="9">
        <s v="num_cleaned"/>
        <s v="painted"/>
        <s v="qcapproved"/>
        <s v="sandblasted"/>
        <s v="steel_arrivals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5" maxValue="15"/>
    </cacheField>
    <cacheField name="Average" numFmtId="0">
      <sharedItems containsSemiMixedTypes="0" containsString="0" containsNumber="1" containsInteger="1" minValue="0" maxValue="0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0" maxValue="0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0">
  <r>
    <x v="0"/>
    <s v="2025-06-09 14:43:37"/>
    <n v="1"/>
    <x v="0"/>
    <x v="0"/>
    <x v="0"/>
    <n v="0"/>
    <n v="2E+20"/>
    <n v="0"/>
    <n v="0"/>
    <n v="0"/>
    <n v="0"/>
    <s v="Unnamed ProjectassemblerInstantaneous UtilizationResource"/>
    <n v="15"/>
    <n v="0"/>
    <n v="0"/>
    <n v="0.95"/>
    <n v="0"/>
    <n v="0"/>
    <n v="0"/>
    <n v="0"/>
  </r>
  <r>
    <x v="0"/>
    <s v="2025-06-09 14:43:37"/>
    <n v="1"/>
    <x v="0"/>
    <x v="1"/>
    <x v="0"/>
    <n v="0"/>
    <n v="2E+20"/>
    <n v="0"/>
    <n v="0"/>
    <n v="0"/>
    <n v="0"/>
    <s v="Unnamed ProjectassemblerNumber BusyResource"/>
    <n v="15"/>
    <n v="0"/>
    <n v="0"/>
    <n v="0.95"/>
    <n v="0"/>
    <n v="0"/>
    <n v="0"/>
    <n v="0"/>
  </r>
  <r>
    <x v="0"/>
    <s v="2025-06-09 14:43:37"/>
    <n v="1"/>
    <x v="0"/>
    <x v="2"/>
    <x v="0"/>
    <n v="1.5832376650409301"/>
    <n v="3E+20"/>
    <n v="1"/>
    <n v="2"/>
    <n v="1"/>
    <n v="0"/>
    <s v="Unnamed ProjectassemblerNumber ScheduledResource"/>
    <n v="15"/>
    <n v="1.5333142680768803"/>
    <n v="0.24151891999367611"/>
    <n v="0.95"/>
    <n v="0.13374871983117992"/>
    <n v="1"/>
    <n v="2"/>
    <n v="0.13374871983117992"/>
  </r>
  <r>
    <x v="0"/>
    <s v="2025-06-09 14:43:37"/>
    <n v="1"/>
    <x v="1"/>
    <x v="0"/>
    <x v="0"/>
    <n v="0"/>
    <n v="2E+20"/>
    <n v="0"/>
    <n v="0"/>
    <n v="0"/>
    <n v="0"/>
    <s v="Unnamed ProjectassemblyqcworkerInstantaneous UtilizationResource"/>
    <n v="15"/>
    <n v="0"/>
    <n v="0"/>
    <n v="0.95"/>
    <n v="0"/>
    <n v="0"/>
    <n v="0"/>
    <n v="0"/>
  </r>
  <r>
    <x v="0"/>
    <s v="2025-06-09 14:43:37"/>
    <n v="1"/>
    <x v="1"/>
    <x v="1"/>
    <x v="0"/>
    <n v="0"/>
    <n v="2E+20"/>
    <n v="0"/>
    <n v="0"/>
    <n v="0"/>
    <n v="0"/>
    <s v="Unnamed ProjectassemblyqcworkerNumber BusyResource"/>
    <n v="15"/>
    <n v="0"/>
    <n v="0"/>
    <n v="0.95"/>
    <n v="0"/>
    <n v="0"/>
    <n v="0"/>
    <n v="0"/>
  </r>
  <r>
    <x v="0"/>
    <s v="2025-06-09 14:43:37"/>
    <n v="1"/>
    <x v="1"/>
    <x v="2"/>
    <x v="0"/>
    <n v="1.5834999999999999"/>
    <n v="3E+20"/>
    <n v="1"/>
    <n v="2"/>
    <n v="2"/>
    <n v="0"/>
    <s v="Unnamed Projectassemblyqcworke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1"/>
    <x v="2"/>
    <x v="3"/>
    <x v="1"/>
    <n v="0"/>
    <n v="2E+20"/>
    <n v="0"/>
    <n v="0"/>
    <n v="0"/>
    <n v="0"/>
    <s v="Unnamed Projectbatched_partsWIPEntity"/>
    <n v="15"/>
    <n v="0"/>
    <n v="0"/>
    <n v="0.95"/>
    <n v="0"/>
    <n v="0"/>
    <n v="0"/>
    <n v="0"/>
  </r>
  <r>
    <x v="0"/>
    <s v="2025-06-09 14:43:37"/>
    <n v="1"/>
    <x v="3"/>
    <x v="0"/>
    <x v="0"/>
    <n v="0"/>
    <n v="2E+20"/>
    <n v="0"/>
    <n v="0"/>
    <n v="0"/>
    <n v="0"/>
    <s v="Unnamed ProjectcleanerInstantaneous UtilizationResource"/>
    <n v="15"/>
    <n v="0"/>
    <n v="0"/>
    <n v="0.95"/>
    <n v="0"/>
    <n v="0"/>
    <n v="0"/>
    <n v="0"/>
  </r>
  <r>
    <x v="0"/>
    <s v="2025-06-09 14:43:37"/>
    <n v="1"/>
    <x v="3"/>
    <x v="1"/>
    <x v="0"/>
    <n v="0"/>
    <n v="2E+20"/>
    <n v="0"/>
    <n v="0"/>
    <n v="0"/>
    <n v="0"/>
    <s v="Unnamed ProjectcleanerNumber BusyResource"/>
    <n v="15"/>
    <n v="0"/>
    <n v="0"/>
    <n v="0.95"/>
    <n v="0"/>
    <n v="0"/>
    <n v="0"/>
    <n v="0"/>
  </r>
  <r>
    <x v="0"/>
    <s v="2025-06-09 14:43:37"/>
    <n v="1"/>
    <x v="3"/>
    <x v="2"/>
    <x v="0"/>
    <n v="1.5834999999999999"/>
    <n v="3E+20"/>
    <n v="1"/>
    <n v="2"/>
    <n v="2"/>
    <n v="0"/>
    <s v="Unnamed ProjectcleanerNumber ScheduledResource"/>
    <n v="15"/>
    <n v="1.5334471868881776"/>
    <n v="0.24154821158553658"/>
    <n v="0.95"/>
    <n v="0.13376494097407529"/>
    <n v="1"/>
    <n v="2"/>
    <n v="0.13376494097407529"/>
  </r>
  <r>
    <x v="0"/>
    <s v="2025-06-09 14:43:37"/>
    <n v="1"/>
    <x v="4"/>
    <x v="0"/>
    <x v="0"/>
    <n v="0"/>
    <n v="2E+20"/>
    <n v="0"/>
    <n v="0"/>
    <n v="0"/>
    <n v="0"/>
    <s v="Unnamed ProjectcutterInstantaneous UtilizationResource"/>
    <n v="15"/>
    <n v="0"/>
    <n v="0"/>
    <n v="0.95"/>
    <n v="0"/>
    <n v="0"/>
    <n v="0"/>
    <n v="0"/>
  </r>
  <r>
    <x v="0"/>
    <s v="2025-06-09 14:43:37"/>
    <n v="1"/>
    <x v="4"/>
    <x v="1"/>
    <x v="0"/>
    <n v="0"/>
    <n v="2E+20"/>
    <n v="0"/>
    <n v="0"/>
    <n v="0"/>
    <n v="0"/>
    <s v="Unnamed ProjectcutterNumber BusyResource"/>
    <n v="15"/>
    <n v="0"/>
    <n v="0"/>
    <n v="0.95"/>
    <n v="0"/>
    <n v="0"/>
    <n v="0"/>
    <n v="0"/>
  </r>
  <r>
    <x v="0"/>
    <s v="2025-06-09 14:43:37"/>
    <n v="1"/>
    <x v="4"/>
    <x v="2"/>
    <x v="0"/>
    <n v="1.58325"/>
    <n v="3E+20"/>
    <n v="1"/>
    <n v="2"/>
    <n v="2"/>
    <n v="0"/>
    <s v="Unnamed ProjectcutterNumber ScheduledResource"/>
    <n v="15"/>
    <n v="1.5332999999999999"/>
    <n v="0.24151556349584294"/>
    <n v="0.95"/>
    <n v="0.1337468610646356"/>
    <n v="1"/>
    <n v="2"/>
    <n v="0.1337468610646356"/>
  </r>
  <r>
    <x v="0"/>
    <s v="2025-06-09 14:43:37"/>
    <n v="1"/>
    <x v="5"/>
    <x v="0"/>
    <x v="0"/>
    <n v="0"/>
    <n v="2E+20"/>
    <n v="0"/>
    <n v="0"/>
    <n v="0"/>
    <n v="0"/>
    <s v="Unnamed ProjectfinalqcmanInstantaneous UtilizationResource"/>
    <n v="15"/>
    <n v="0"/>
    <n v="0"/>
    <n v="0.95"/>
    <n v="0"/>
    <n v="0"/>
    <n v="0"/>
    <n v="0"/>
  </r>
  <r>
    <x v="0"/>
    <s v="2025-06-09 14:43:37"/>
    <n v="1"/>
    <x v="5"/>
    <x v="1"/>
    <x v="0"/>
    <n v="0"/>
    <n v="2E+20"/>
    <n v="0"/>
    <n v="0"/>
    <n v="0"/>
    <n v="0"/>
    <s v="Unnamed ProjectfinalqcmanNumber BusyResource"/>
    <n v="15"/>
    <n v="0"/>
    <n v="0"/>
    <n v="0.95"/>
    <n v="0"/>
    <n v="0"/>
    <n v="0"/>
    <n v="0"/>
  </r>
  <r>
    <x v="0"/>
    <s v="2025-06-09 14:43:37"/>
    <n v="1"/>
    <x v="5"/>
    <x v="2"/>
    <x v="0"/>
    <n v="1.5834434519429701"/>
    <n v="3E+20"/>
    <n v="1"/>
    <n v="2"/>
    <n v="2"/>
    <n v="0"/>
    <s v="Unnamed ProjectfinalqcmanNumber ScheduledResource"/>
    <n v="15"/>
    <n v="1.5334510661643974"/>
    <n v="0.24154906725932371"/>
    <n v="0.95"/>
    <n v="0.13376541483042423"/>
    <n v="1"/>
    <n v="2"/>
    <n v="0.13376541483042423"/>
  </r>
  <r>
    <x v="0"/>
    <s v="2025-06-09 14:43:37"/>
    <n v="1"/>
    <x v="6"/>
    <x v="4"/>
    <x v="2"/>
    <n v="0"/>
    <n v="2E+20"/>
    <n v="0"/>
    <n v="0"/>
    <n v="0"/>
    <n v="0"/>
    <s v="Unnamed Projectinspectorseize.QueueNumber WaitingQueue"/>
    <n v="15"/>
    <n v="0"/>
    <n v="0"/>
    <n v="0.95"/>
    <n v="0"/>
    <n v="0"/>
    <n v="0"/>
    <n v="0"/>
  </r>
  <r>
    <x v="0"/>
    <s v="2025-06-09 14:43:37"/>
    <n v="1"/>
    <x v="7"/>
    <x v="4"/>
    <x v="2"/>
    <n v="2"/>
    <n v="2E+20"/>
    <n v="2"/>
    <n v="2"/>
    <n v="2"/>
    <n v="0"/>
    <s v="Unnamed Projectmatch_truckcombo.Queue1Number WaitingQueue"/>
    <n v="15"/>
    <n v="3.3333333333333335"/>
    <n v="4.577377082170635"/>
    <n v="0.95"/>
    <n v="2.5348669368881507"/>
    <n v="0"/>
    <n v="12"/>
    <n v="2.5348669368881507"/>
  </r>
  <r>
    <x v="0"/>
    <s v="2025-06-09 14:43:37"/>
    <n v="1"/>
    <x v="8"/>
    <x v="4"/>
    <x v="2"/>
    <n v="0"/>
    <n v="2E+20"/>
    <n v="0"/>
    <n v="0"/>
    <n v="0"/>
    <n v="0"/>
    <s v="Unnamed Projectmatch_truckcombo.Queue2Number WaitingQueue"/>
    <n v="15"/>
    <n v="2.8"/>
    <n v="5.226307081896902"/>
    <n v="0.95"/>
    <n v="2.8942323925042523"/>
    <n v="0"/>
    <n v="16"/>
    <n v="2.8942323925042523"/>
  </r>
  <r>
    <x v="0"/>
    <s v="2025-06-09 14:43:37"/>
    <n v="1"/>
    <x v="9"/>
    <x v="0"/>
    <x v="0"/>
    <n v="0"/>
    <n v="2E+20"/>
    <n v="0"/>
    <n v="0"/>
    <n v="0"/>
    <n v="0"/>
    <s v="Unnamed ProjectpaintingmachineInstantaneous UtilizationResource"/>
    <n v="15"/>
    <n v="0"/>
    <n v="0"/>
    <n v="0.95"/>
    <n v="0"/>
    <n v="0"/>
    <n v="0"/>
    <n v="0"/>
  </r>
  <r>
    <x v="0"/>
    <s v="2025-06-09 14:43:37"/>
    <n v="1"/>
    <x v="9"/>
    <x v="1"/>
    <x v="0"/>
    <n v="0"/>
    <n v="2E+20"/>
    <n v="0"/>
    <n v="0"/>
    <n v="0"/>
    <n v="0"/>
    <s v="Unnamed ProjectpaintingmachineNumber BusyResource"/>
    <n v="15"/>
    <n v="0"/>
    <n v="0"/>
    <n v="0.95"/>
    <n v="0"/>
    <n v="0"/>
    <n v="0"/>
    <n v="0"/>
  </r>
  <r>
    <x v="0"/>
    <s v="2025-06-09 14:43:37"/>
    <n v="1"/>
    <x v="9"/>
    <x v="2"/>
    <x v="0"/>
    <n v="1"/>
    <n v="2E+20"/>
    <n v="1"/>
    <n v="1"/>
    <n v="1"/>
    <n v="0"/>
    <s v="Unnamed ProjectpaintingmachineNumber ScheduledResource"/>
    <n v="15"/>
    <n v="1"/>
    <n v="0"/>
    <n v="0.95"/>
    <n v="0"/>
    <n v="1"/>
    <n v="1"/>
    <n v="0"/>
  </r>
  <r>
    <x v="0"/>
    <s v="2025-06-09 14:43:37"/>
    <n v="1"/>
    <x v="10"/>
    <x v="0"/>
    <x v="0"/>
    <n v="0"/>
    <n v="2E+20"/>
    <n v="0"/>
    <n v="0"/>
    <n v="0"/>
    <n v="0"/>
    <s v="Unnamed ProjectpaintingoperatorInstantaneous UtilizationResource"/>
    <n v="15"/>
    <n v="0"/>
    <n v="0"/>
    <n v="0.95"/>
    <n v="0"/>
    <n v="0"/>
    <n v="0"/>
    <n v="0"/>
  </r>
  <r>
    <x v="0"/>
    <s v="2025-06-09 14:43:37"/>
    <n v="1"/>
    <x v="10"/>
    <x v="1"/>
    <x v="0"/>
    <n v="0"/>
    <n v="2E+20"/>
    <n v="0"/>
    <n v="0"/>
    <n v="0"/>
    <n v="0"/>
    <s v="Unnamed ProjectpaintingoperatorNumber BusyResource"/>
    <n v="15"/>
    <n v="0"/>
    <n v="0"/>
    <n v="0.95"/>
    <n v="0"/>
    <n v="0"/>
    <n v="0"/>
    <n v="0"/>
  </r>
  <r>
    <x v="0"/>
    <s v="2025-06-09 14:43:37"/>
    <n v="1"/>
    <x v="10"/>
    <x v="2"/>
    <x v="0"/>
    <n v="1.5834999999999999"/>
    <n v="3E+20"/>
    <n v="1"/>
    <n v="2"/>
    <n v="2"/>
    <n v="0"/>
    <s v="Unnamed Projectpaintingoperato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1"/>
    <x v="11"/>
    <x v="0"/>
    <x v="0"/>
    <n v="0"/>
    <n v="2E+20"/>
    <n v="0"/>
    <n v="0"/>
    <n v="0"/>
    <n v="0"/>
    <s v="Unnamed ProjectsandblastmachineInstantaneous UtilizationResource"/>
    <n v="15"/>
    <n v="0"/>
    <n v="0"/>
    <n v="0.95"/>
    <n v="0"/>
    <n v="0"/>
    <n v="0"/>
    <n v="0"/>
  </r>
  <r>
    <x v="0"/>
    <s v="2025-06-09 14:43:37"/>
    <n v="1"/>
    <x v="11"/>
    <x v="1"/>
    <x v="0"/>
    <n v="0"/>
    <n v="2E+20"/>
    <n v="0"/>
    <n v="0"/>
    <n v="0"/>
    <n v="0"/>
    <s v="Unnamed ProjectsandblastmachineNumber BusyResource"/>
    <n v="15"/>
    <n v="0"/>
    <n v="0"/>
    <n v="0.95"/>
    <n v="0"/>
    <n v="0"/>
    <n v="0"/>
    <n v="0"/>
  </r>
  <r>
    <x v="0"/>
    <s v="2025-06-09 14:43:37"/>
    <n v="1"/>
    <x v="11"/>
    <x v="2"/>
    <x v="0"/>
    <n v="1"/>
    <n v="2E+20"/>
    <n v="1"/>
    <n v="1"/>
    <n v="1"/>
    <n v="0"/>
    <s v="Unnamed ProjectsandblastmachineNumber ScheduledResource"/>
    <n v="15"/>
    <n v="1"/>
    <n v="0"/>
    <n v="0.95"/>
    <n v="0"/>
    <n v="1"/>
    <n v="1"/>
    <n v="0"/>
  </r>
  <r>
    <x v="0"/>
    <s v="2025-06-09 14:43:37"/>
    <n v="1"/>
    <x v="12"/>
    <x v="0"/>
    <x v="0"/>
    <n v="0"/>
    <n v="2E+20"/>
    <n v="0"/>
    <n v="0"/>
    <n v="0"/>
    <n v="0"/>
    <s v="Unnamed ProjectsandblastoperatorInstantaneous UtilizationResource"/>
    <n v="15"/>
    <n v="0"/>
    <n v="0"/>
    <n v="0.95"/>
    <n v="0"/>
    <n v="0"/>
    <n v="0"/>
    <n v="0"/>
  </r>
  <r>
    <x v="0"/>
    <s v="2025-06-09 14:43:37"/>
    <n v="1"/>
    <x v="12"/>
    <x v="1"/>
    <x v="0"/>
    <n v="0"/>
    <n v="2E+20"/>
    <n v="0"/>
    <n v="0"/>
    <n v="0"/>
    <n v="0"/>
    <s v="Unnamed ProjectsandblastoperatorNumber BusyResource"/>
    <n v="15"/>
    <n v="0"/>
    <n v="0"/>
    <n v="0.95"/>
    <n v="0"/>
    <n v="0"/>
    <n v="0"/>
    <n v="0"/>
  </r>
  <r>
    <x v="0"/>
    <s v="2025-06-09 14:43:37"/>
    <n v="1"/>
    <x v="12"/>
    <x v="2"/>
    <x v="0"/>
    <n v="1.5834999999999999"/>
    <n v="3E+20"/>
    <n v="1"/>
    <n v="2"/>
    <n v="2"/>
    <n v="0"/>
    <s v="Unnamed Projectsandblastoperato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1"/>
    <x v="13"/>
    <x v="4"/>
    <x v="2"/>
    <n v="0"/>
    <n v="2E+20"/>
    <n v="0"/>
    <n v="0"/>
    <n v="0"/>
    <n v="0"/>
    <s v="Unnamed Projectseize_assembler.QueueNumber WaitingQueue"/>
    <n v="15"/>
    <n v="0"/>
    <n v="0"/>
    <n v="0.95"/>
    <n v="0"/>
    <n v="0"/>
    <n v="0"/>
    <n v="0"/>
  </r>
  <r>
    <x v="0"/>
    <s v="2025-06-09 14:43:37"/>
    <n v="1"/>
    <x v="14"/>
    <x v="4"/>
    <x v="2"/>
    <n v="0"/>
    <n v="2E+20"/>
    <n v="0"/>
    <n v="0"/>
    <n v="0"/>
    <n v="0"/>
    <s v="Unnamed Projectseize_cutter.QueueNumber WaitingQueue"/>
    <n v="15"/>
    <n v="0"/>
    <n v="0"/>
    <n v="0.95"/>
    <n v="0"/>
    <n v="0"/>
    <n v="0"/>
    <n v="0"/>
  </r>
  <r>
    <x v="0"/>
    <s v="2025-06-09 14:43:37"/>
    <n v="1"/>
    <x v="15"/>
    <x v="4"/>
    <x v="2"/>
    <n v="0"/>
    <n v="2E+20"/>
    <n v="0"/>
    <n v="0"/>
    <n v="0"/>
    <n v="0"/>
    <s v="Unnamed Projectseizeassemblyqcman.QueueNumber WaitingQueue"/>
    <n v="15"/>
    <n v="0"/>
    <n v="0"/>
    <n v="0.95"/>
    <n v="0"/>
    <n v="0"/>
    <n v="0"/>
    <n v="0"/>
  </r>
  <r>
    <x v="0"/>
    <s v="2025-06-09 14:43:37"/>
    <n v="1"/>
    <x v="16"/>
    <x v="4"/>
    <x v="2"/>
    <n v="0"/>
    <n v="2E+20"/>
    <n v="0"/>
    <n v="0"/>
    <n v="0"/>
    <n v="0"/>
    <s v="Unnamed Projectseizecleaner.QueueNumber WaitingQueue"/>
    <n v="15"/>
    <n v="0"/>
    <n v="0"/>
    <n v="0.95"/>
    <n v="0"/>
    <n v="0"/>
    <n v="0"/>
    <n v="0"/>
  </r>
  <r>
    <x v="0"/>
    <s v="2025-06-09 14:43:37"/>
    <n v="1"/>
    <x v="17"/>
    <x v="4"/>
    <x v="2"/>
    <n v="0"/>
    <n v="2E+20"/>
    <n v="0"/>
    <n v="0"/>
    <n v="0"/>
    <n v="0"/>
    <s v="Unnamed Projectseizepainter.QueueNumber WaitingQueue"/>
    <n v="15"/>
    <n v="0"/>
    <n v="0"/>
    <n v="0.95"/>
    <n v="0"/>
    <n v="0"/>
    <n v="0"/>
    <n v="0"/>
  </r>
  <r>
    <x v="0"/>
    <s v="2025-06-09 14:43:37"/>
    <n v="1"/>
    <x v="18"/>
    <x v="4"/>
    <x v="2"/>
    <n v="0"/>
    <n v="2E+20"/>
    <n v="0"/>
    <n v="0"/>
    <n v="0"/>
    <n v="0"/>
    <s v="Unnamed Projectseizeqcman.QueueNumber WaitingQueue"/>
    <n v="15"/>
    <n v="0"/>
    <n v="0"/>
    <n v="0.95"/>
    <n v="0"/>
    <n v="0"/>
    <n v="0"/>
    <n v="0"/>
  </r>
  <r>
    <x v="0"/>
    <s v="2025-06-09 14:43:37"/>
    <n v="1"/>
    <x v="19"/>
    <x v="4"/>
    <x v="2"/>
    <n v="0"/>
    <n v="2E+20"/>
    <n v="0"/>
    <n v="0"/>
    <n v="0"/>
    <n v="0"/>
    <s v="Unnamed Projectseizesandblaster.QueueNumber WaitingQueue"/>
    <n v="15"/>
    <n v="0"/>
    <n v="0"/>
    <n v="0.95"/>
    <n v="0"/>
    <n v="0"/>
    <n v="0"/>
    <n v="0"/>
  </r>
  <r>
    <x v="0"/>
    <s v="2025-06-09 14:43:37"/>
    <n v="1"/>
    <x v="20"/>
    <x v="4"/>
    <x v="2"/>
    <n v="0"/>
    <n v="2E+20"/>
    <n v="0"/>
    <n v="0"/>
    <n v="0"/>
    <n v="0"/>
    <s v="Unnamed Projectseizewelder.QueueNumber WaitingQueue"/>
    <n v="15"/>
    <n v="0"/>
    <n v="0"/>
    <n v="0.95"/>
    <n v="0"/>
    <n v="0"/>
    <n v="0"/>
    <n v="0"/>
  </r>
  <r>
    <x v="0"/>
    <s v="2025-06-09 14:43:37"/>
    <n v="1"/>
    <x v="21"/>
    <x v="3"/>
    <x v="1"/>
    <n v="2"/>
    <n v="2E+20"/>
    <n v="2"/>
    <n v="2"/>
    <n v="2"/>
    <n v="0"/>
    <s v="Unnamed ProjectsteelsheetWIPEntity"/>
    <n v="15"/>
    <n v="6.1333333333333337"/>
    <n v="5.3166405433005028"/>
    <n v="0.95"/>
    <n v="2.944257396015229"/>
    <n v="0"/>
    <n v="16"/>
    <n v="2.944257396015229"/>
  </r>
  <r>
    <x v="0"/>
    <s v="2025-06-09 14:43:37"/>
    <n v="1"/>
    <x v="22"/>
    <x v="0"/>
    <x v="0"/>
    <n v="0"/>
    <n v="2E+20"/>
    <n v="0"/>
    <n v="0"/>
    <n v="0"/>
    <n v="0"/>
    <s v="Unnamed ProjectwelderInstantaneous UtilizationResource"/>
    <n v="15"/>
    <n v="0"/>
    <n v="0"/>
    <n v="0.95"/>
    <n v="0"/>
    <n v="0"/>
    <n v="0"/>
    <n v="0"/>
  </r>
  <r>
    <x v="0"/>
    <s v="2025-06-09 14:43:37"/>
    <n v="1"/>
    <x v="22"/>
    <x v="1"/>
    <x v="0"/>
    <n v="0"/>
    <n v="2E+20"/>
    <n v="0"/>
    <n v="0"/>
    <n v="0"/>
    <n v="0"/>
    <s v="Unnamed ProjectwelderNumber BusyResource"/>
    <n v="15"/>
    <n v="0"/>
    <n v="0"/>
    <n v="0.95"/>
    <n v="0"/>
    <n v="0"/>
    <n v="0"/>
    <n v="0"/>
  </r>
  <r>
    <x v="0"/>
    <s v="2025-06-09 14:43:37"/>
    <n v="1"/>
    <x v="22"/>
    <x v="2"/>
    <x v="0"/>
    <n v="1.5833567339252701"/>
    <n v="3E+20"/>
    <n v="1"/>
    <n v="2"/>
    <n v="2"/>
    <n v="0"/>
    <s v="Unnamed ProjectwelderNumber ScheduledResource"/>
    <n v="15"/>
    <n v="1.5334531146777051"/>
    <n v="0.24154952363702747"/>
    <n v="0.95"/>
    <n v="0.13376566756397254"/>
    <n v="1"/>
    <n v="2"/>
    <n v="0.13376566756397254"/>
  </r>
  <r>
    <x v="0"/>
    <s v="2025-06-09 14:43:37"/>
    <n v="1"/>
    <x v="23"/>
    <x v="0"/>
    <x v="0"/>
    <n v="0"/>
    <n v="2E+20"/>
    <n v="0"/>
    <n v="0"/>
    <n v="0"/>
    <n v="0"/>
    <s v="Unnamed ProjectweldingqcworkerInstantaneous UtilizationResource"/>
    <n v="15"/>
    <n v="0"/>
    <n v="0"/>
    <n v="0.95"/>
    <n v="0"/>
    <n v="0"/>
    <n v="0"/>
    <n v="0"/>
  </r>
  <r>
    <x v="0"/>
    <s v="2025-06-09 14:43:37"/>
    <n v="1"/>
    <x v="23"/>
    <x v="1"/>
    <x v="0"/>
    <n v="0"/>
    <n v="2E+20"/>
    <n v="0"/>
    <n v="0"/>
    <n v="0"/>
    <n v="0"/>
    <s v="Unnamed ProjectweldingqcworkerNumber BusyResource"/>
    <n v="15"/>
    <n v="0"/>
    <n v="0"/>
    <n v="0.95"/>
    <n v="0"/>
    <n v="0"/>
    <n v="0"/>
    <n v="0"/>
  </r>
  <r>
    <x v="0"/>
    <s v="2025-06-09 14:43:37"/>
    <n v="1"/>
    <x v="23"/>
    <x v="2"/>
    <x v="0"/>
    <n v="1.58345435893204"/>
    <n v="3E+20"/>
    <n v="1"/>
    <n v="2"/>
    <n v="2"/>
    <n v="0"/>
    <s v="Unnamed ProjectweldingqcworkerNumber ScheduledResource"/>
    <n v="15"/>
    <n v="1.5334635492504263"/>
    <n v="0.24155183649982462"/>
    <n v="0.95"/>
    <n v="0.1337669483846978"/>
    <n v="1"/>
    <n v="2"/>
    <n v="0.1337669483846978"/>
  </r>
  <r>
    <x v="0"/>
    <s v="2025-06-09 14:43:37"/>
    <n v="2"/>
    <x v="0"/>
    <x v="0"/>
    <x v="0"/>
    <n v="0"/>
    <n v="2E+20"/>
    <n v="0"/>
    <n v="0"/>
    <n v="0"/>
    <n v="0"/>
    <s v="Unnamed ProjectassemblerInstantaneous UtilizationResource"/>
    <n v="15"/>
    <n v="0"/>
    <n v="0"/>
    <n v="0.95"/>
    <n v="0"/>
    <n v="0"/>
    <n v="0"/>
    <n v="0"/>
  </r>
  <r>
    <x v="0"/>
    <s v="2025-06-09 14:43:37"/>
    <n v="2"/>
    <x v="0"/>
    <x v="1"/>
    <x v="0"/>
    <n v="0"/>
    <n v="2E+20"/>
    <n v="0"/>
    <n v="0"/>
    <n v="0"/>
    <n v="0"/>
    <s v="Unnamed ProjectassemblerNumber BusyResource"/>
    <n v="15"/>
    <n v="0"/>
    <n v="0"/>
    <n v="0.95"/>
    <n v="0"/>
    <n v="0"/>
    <n v="0"/>
    <n v="0"/>
  </r>
  <r>
    <x v="0"/>
    <s v="2025-06-09 14:43:37"/>
    <n v="2"/>
    <x v="0"/>
    <x v="2"/>
    <x v="0"/>
    <n v="1.5827500000000001"/>
    <n v="3E+20"/>
    <n v="1"/>
    <n v="2"/>
    <n v="1"/>
    <n v="0"/>
    <s v="Unnamed ProjectassemblerNumber ScheduledResource"/>
    <n v="15"/>
    <n v="1.5333142680768803"/>
    <n v="0.24151891999367611"/>
    <n v="0.95"/>
    <n v="0.13374871983117992"/>
    <n v="1"/>
    <n v="2"/>
    <n v="0.13374871983117992"/>
  </r>
  <r>
    <x v="0"/>
    <s v="2025-06-09 14:43:37"/>
    <n v="2"/>
    <x v="1"/>
    <x v="0"/>
    <x v="0"/>
    <n v="0"/>
    <n v="2E+20"/>
    <n v="0"/>
    <n v="0"/>
    <n v="0"/>
    <n v="0"/>
    <s v="Unnamed ProjectassemblyqcworkerInstantaneous UtilizationResource"/>
    <n v="15"/>
    <n v="0"/>
    <n v="0"/>
    <n v="0.95"/>
    <n v="0"/>
    <n v="0"/>
    <n v="0"/>
    <n v="0"/>
  </r>
  <r>
    <x v="0"/>
    <s v="2025-06-09 14:43:37"/>
    <n v="2"/>
    <x v="1"/>
    <x v="1"/>
    <x v="0"/>
    <n v="0"/>
    <n v="2E+20"/>
    <n v="0"/>
    <n v="0"/>
    <n v="0"/>
    <n v="0"/>
    <s v="Unnamed ProjectassemblyqcworkerNumber BusyResource"/>
    <n v="15"/>
    <n v="0"/>
    <n v="0"/>
    <n v="0.95"/>
    <n v="0"/>
    <n v="0"/>
    <n v="0"/>
    <n v="0"/>
  </r>
  <r>
    <x v="0"/>
    <s v="2025-06-09 14:43:37"/>
    <n v="2"/>
    <x v="1"/>
    <x v="2"/>
    <x v="0"/>
    <n v="1.5834999999999999"/>
    <n v="3E+20"/>
    <n v="1"/>
    <n v="2"/>
    <n v="2"/>
    <n v="0"/>
    <s v="Unnamed Projectassemblyqcworke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2"/>
    <x v="2"/>
    <x v="3"/>
    <x v="1"/>
    <n v="0"/>
    <n v="2E+20"/>
    <n v="0"/>
    <n v="0"/>
    <n v="0"/>
    <n v="0"/>
    <s v="Unnamed Projectbatched_partsWIPEntity"/>
    <n v="15"/>
    <n v="0"/>
    <n v="0"/>
    <n v="0.95"/>
    <n v="0"/>
    <n v="0"/>
    <n v="0"/>
    <n v="0"/>
  </r>
  <r>
    <x v="0"/>
    <s v="2025-06-09 14:43:37"/>
    <n v="2"/>
    <x v="3"/>
    <x v="0"/>
    <x v="0"/>
    <n v="0"/>
    <n v="2E+20"/>
    <n v="0"/>
    <n v="0"/>
    <n v="0"/>
    <n v="0"/>
    <s v="Unnamed ProjectcleanerInstantaneous UtilizationResource"/>
    <n v="15"/>
    <n v="0"/>
    <n v="0"/>
    <n v="0.95"/>
    <n v="0"/>
    <n v="0"/>
    <n v="0"/>
    <n v="0"/>
  </r>
  <r>
    <x v="0"/>
    <s v="2025-06-09 14:43:37"/>
    <n v="2"/>
    <x v="3"/>
    <x v="1"/>
    <x v="0"/>
    <n v="0"/>
    <n v="2E+20"/>
    <n v="0"/>
    <n v="0"/>
    <n v="0"/>
    <n v="0"/>
    <s v="Unnamed ProjectcleanerNumber BusyResource"/>
    <n v="15"/>
    <n v="0"/>
    <n v="0"/>
    <n v="0.95"/>
    <n v="0"/>
    <n v="0"/>
    <n v="0"/>
    <n v="0"/>
  </r>
  <r>
    <x v="0"/>
    <s v="2025-06-09 14:43:37"/>
    <n v="2"/>
    <x v="3"/>
    <x v="2"/>
    <x v="0"/>
    <n v="1.5834999999999999"/>
    <n v="3E+20"/>
    <n v="1"/>
    <n v="2"/>
    <n v="2"/>
    <n v="0"/>
    <s v="Unnamed ProjectcleanerNumber ScheduledResource"/>
    <n v="15"/>
    <n v="1.5334471868881776"/>
    <n v="0.24154821158553658"/>
    <n v="0.95"/>
    <n v="0.13376494097407529"/>
    <n v="1"/>
    <n v="2"/>
    <n v="0.13376494097407529"/>
  </r>
  <r>
    <x v="0"/>
    <s v="2025-06-09 14:43:37"/>
    <n v="2"/>
    <x v="4"/>
    <x v="0"/>
    <x v="0"/>
    <n v="0"/>
    <n v="2E+20"/>
    <n v="0"/>
    <n v="0"/>
    <n v="0"/>
    <n v="0"/>
    <s v="Unnamed ProjectcutterInstantaneous UtilizationResource"/>
    <n v="15"/>
    <n v="0"/>
    <n v="0"/>
    <n v="0.95"/>
    <n v="0"/>
    <n v="0"/>
    <n v="0"/>
    <n v="0"/>
  </r>
  <r>
    <x v="0"/>
    <s v="2025-06-09 14:43:37"/>
    <n v="2"/>
    <x v="4"/>
    <x v="1"/>
    <x v="0"/>
    <n v="0"/>
    <n v="2E+20"/>
    <n v="0"/>
    <n v="0"/>
    <n v="0"/>
    <n v="0"/>
    <s v="Unnamed ProjectcutterNumber BusyResource"/>
    <n v="15"/>
    <n v="0"/>
    <n v="0"/>
    <n v="0.95"/>
    <n v="0"/>
    <n v="0"/>
    <n v="0"/>
    <n v="0"/>
  </r>
  <r>
    <x v="0"/>
    <s v="2025-06-09 14:43:37"/>
    <n v="2"/>
    <x v="4"/>
    <x v="2"/>
    <x v="0"/>
    <n v="1.58325"/>
    <n v="3E+20"/>
    <n v="1"/>
    <n v="2"/>
    <n v="2"/>
    <n v="0"/>
    <s v="Unnamed ProjectcutterNumber ScheduledResource"/>
    <n v="15"/>
    <n v="1.5332999999999999"/>
    <n v="0.24151556349584294"/>
    <n v="0.95"/>
    <n v="0.1337468610646356"/>
    <n v="1"/>
    <n v="2"/>
    <n v="0.1337468610646356"/>
  </r>
  <r>
    <x v="0"/>
    <s v="2025-06-09 14:43:37"/>
    <n v="2"/>
    <x v="5"/>
    <x v="0"/>
    <x v="0"/>
    <n v="0"/>
    <n v="2E+20"/>
    <n v="0"/>
    <n v="0"/>
    <n v="0"/>
    <n v="0"/>
    <s v="Unnamed ProjectfinalqcmanInstantaneous UtilizationResource"/>
    <n v="15"/>
    <n v="0"/>
    <n v="0"/>
    <n v="0.95"/>
    <n v="0"/>
    <n v="0"/>
    <n v="0"/>
    <n v="0"/>
  </r>
  <r>
    <x v="0"/>
    <s v="2025-06-09 14:43:37"/>
    <n v="2"/>
    <x v="5"/>
    <x v="1"/>
    <x v="0"/>
    <n v="0"/>
    <n v="2E+20"/>
    <n v="0"/>
    <n v="0"/>
    <n v="0"/>
    <n v="0"/>
    <s v="Unnamed ProjectfinalqcmanNumber BusyResource"/>
    <n v="15"/>
    <n v="0"/>
    <n v="0"/>
    <n v="0.95"/>
    <n v="0"/>
    <n v="0"/>
    <n v="0"/>
    <n v="0"/>
  </r>
  <r>
    <x v="0"/>
    <s v="2025-06-09 14:43:37"/>
    <n v="2"/>
    <x v="5"/>
    <x v="2"/>
    <x v="0"/>
    <n v="1.5834999999999999"/>
    <n v="3E+20"/>
    <n v="1"/>
    <n v="2"/>
    <n v="2"/>
    <n v="0"/>
    <s v="Unnamed ProjectfinalqcmanNumber ScheduledResource"/>
    <n v="15"/>
    <n v="1.5334510661643974"/>
    <n v="0.24154906725932371"/>
    <n v="0.95"/>
    <n v="0.13376541483042423"/>
    <n v="1"/>
    <n v="2"/>
    <n v="0.13376541483042423"/>
  </r>
  <r>
    <x v="0"/>
    <s v="2025-06-09 14:43:37"/>
    <n v="2"/>
    <x v="6"/>
    <x v="4"/>
    <x v="2"/>
    <n v="0"/>
    <n v="2E+20"/>
    <n v="0"/>
    <n v="0"/>
    <n v="0"/>
    <n v="0"/>
    <s v="Unnamed Projectinspectorseize.QueueNumber WaitingQueue"/>
    <n v="15"/>
    <n v="0"/>
    <n v="0"/>
    <n v="0.95"/>
    <n v="0"/>
    <n v="0"/>
    <n v="0"/>
    <n v="0"/>
  </r>
  <r>
    <x v="0"/>
    <s v="2025-06-09 14:43:37"/>
    <n v="2"/>
    <x v="7"/>
    <x v="4"/>
    <x v="2"/>
    <n v="12"/>
    <n v="2E+20"/>
    <n v="12"/>
    <n v="12"/>
    <n v="12"/>
    <n v="0"/>
    <s v="Unnamed Projectmatch_truckcombo.Queue1Number WaitingQueue"/>
    <n v="15"/>
    <n v="3.3333333333333335"/>
    <n v="4.577377082170635"/>
    <n v="0.95"/>
    <n v="2.5348669368881507"/>
    <n v="0"/>
    <n v="12"/>
    <n v="2.5348669368881507"/>
  </r>
  <r>
    <x v="0"/>
    <s v="2025-06-09 14:43:37"/>
    <n v="2"/>
    <x v="8"/>
    <x v="4"/>
    <x v="2"/>
    <n v="0"/>
    <n v="2E+20"/>
    <n v="0"/>
    <n v="0"/>
    <n v="0"/>
    <n v="0"/>
    <s v="Unnamed Projectmatch_truckcombo.Queue2Number WaitingQueue"/>
    <n v="15"/>
    <n v="2.8"/>
    <n v="5.226307081896902"/>
    <n v="0.95"/>
    <n v="2.8942323925042523"/>
    <n v="0"/>
    <n v="16"/>
    <n v="2.8942323925042523"/>
  </r>
  <r>
    <x v="0"/>
    <s v="2025-06-09 14:43:37"/>
    <n v="2"/>
    <x v="9"/>
    <x v="0"/>
    <x v="0"/>
    <n v="0"/>
    <n v="2E+20"/>
    <n v="0"/>
    <n v="0"/>
    <n v="0"/>
    <n v="0"/>
    <s v="Unnamed ProjectpaintingmachineInstantaneous UtilizationResource"/>
    <n v="15"/>
    <n v="0"/>
    <n v="0"/>
    <n v="0.95"/>
    <n v="0"/>
    <n v="0"/>
    <n v="0"/>
    <n v="0"/>
  </r>
  <r>
    <x v="0"/>
    <s v="2025-06-09 14:43:37"/>
    <n v="2"/>
    <x v="9"/>
    <x v="1"/>
    <x v="0"/>
    <n v="0"/>
    <n v="2E+20"/>
    <n v="0"/>
    <n v="0"/>
    <n v="0"/>
    <n v="0"/>
    <s v="Unnamed ProjectpaintingmachineNumber BusyResource"/>
    <n v="15"/>
    <n v="0"/>
    <n v="0"/>
    <n v="0.95"/>
    <n v="0"/>
    <n v="0"/>
    <n v="0"/>
    <n v="0"/>
  </r>
  <r>
    <x v="0"/>
    <s v="2025-06-09 14:43:37"/>
    <n v="2"/>
    <x v="9"/>
    <x v="2"/>
    <x v="0"/>
    <n v="1"/>
    <n v="2E+20"/>
    <n v="1"/>
    <n v="1"/>
    <n v="1"/>
    <n v="0"/>
    <s v="Unnamed ProjectpaintingmachineNumber ScheduledResource"/>
    <n v="15"/>
    <n v="1"/>
    <n v="0"/>
    <n v="0.95"/>
    <n v="0"/>
    <n v="1"/>
    <n v="1"/>
    <n v="0"/>
  </r>
  <r>
    <x v="0"/>
    <s v="2025-06-09 14:43:37"/>
    <n v="2"/>
    <x v="10"/>
    <x v="0"/>
    <x v="0"/>
    <n v="0"/>
    <n v="2E+20"/>
    <n v="0"/>
    <n v="0"/>
    <n v="0"/>
    <n v="0"/>
    <s v="Unnamed ProjectpaintingoperatorInstantaneous UtilizationResource"/>
    <n v="15"/>
    <n v="0"/>
    <n v="0"/>
    <n v="0.95"/>
    <n v="0"/>
    <n v="0"/>
    <n v="0"/>
    <n v="0"/>
  </r>
  <r>
    <x v="0"/>
    <s v="2025-06-09 14:43:37"/>
    <n v="2"/>
    <x v="10"/>
    <x v="1"/>
    <x v="0"/>
    <n v="0"/>
    <n v="2E+20"/>
    <n v="0"/>
    <n v="0"/>
    <n v="0"/>
    <n v="0"/>
    <s v="Unnamed ProjectpaintingoperatorNumber BusyResource"/>
    <n v="15"/>
    <n v="0"/>
    <n v="0"/>
    <n v="0.95"/>
    <n v="0"/>
    <n v="0"/>
    <n v="0"/>
    <n v="0"/>
  </r>
  <r>
    <x v="0"/>
    <s v="2025-06-09 14:43:37"/>
    <n v="2"/>
    <x v="10"/>
    <x v="2"/>
    <x v="0"/>
    <n v="1.5834999999999999"/>
    <n v="3E+20"/>
    <n v="1"/>
    <n v="2"/>
    <n v="2"/>
    <n v="0"/>
    <s v="Unnamed Projectpaintingoperato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2"/>
    <x v="11"/>
    <x v="0"/>
    <x v="0"/>
    <n v="0"/>
    <n v="2E+20"/>
    <n v="0"/>
    <n v="0"/>
    <n v="0"/>
    <n v="0"/>
    <s v="Unnamed ProjectsandblastmachineInstantaneous UtilizationResource"/>
    <n v="15"/>
    <n v="0"/>
    <n v="0"/>
    <n v="0.95"/>
    <n v="0"/>
    <n v="0"/>
    <n v="0"/>
    <n v="0"/>
  </r>
  <r>
    <x v="0"/>
    <s v="2025-06-09 14:43:37"/>
    <n v="2"/>
    <x v="11"/>
    <x v="1"/>
    <x v="0"/>
    <n v="0"/>
    <n v="2E+20"/>
    <n v="0"/>
    <n v="0"/>
    <n v="0"/>
    <n v="0"/>
    <s v="Unnamed ProjectsandblastmachineNumber BusyResource"/>
    <n v="15"/>
    <n v="0"/>
    <n v="0"/>
    <n v="0.95"/>
    <n v="0"/>
    <n v="0"/>
    <n v="0"/>
    <n v="0"/>
  </r>
  <r>
    <x v="0"/>
    <s v="2025-06-09 14:43:37"/>
    <n v="2"/>
    <x v="11"/>
    <x v="2"/>
    <x v="0"/>
    <n v="1"/>
    <n v="2E+20"/>
    <n v="1"/>
    <n v="1"/>
    <n v="1"/>
    <n v="0"/>
    <s v="Unnamed ProjectsandblastmachineNumber ScheduledResource"/>
    <n v="15"/>
    <n v="1"/>
    <n v="0"/>
    <n v="0.95"/>
    <n v="0"/>
    <n v="1"/>
    <n v="1"/>
    <n v="0"/>
  </r>
  <r>
    <x v="0"/>
    <s v="2025-06-09 14:43:37"/>
    <n v="2"/>
    <x v="12"/>
    <x v="0"/>
    <x v="0"/>
    <n v="0"/>
    <n v="2E+20"/>
    <n v="0"/>
    <n v="0"/>
    <n v="0"/>
    <n v="0"/>
    <s v="Unnamed ProjectsandblastoperatorInstantaneous UtilizationResource"/>
    <n v="15"/>
    <n v="0"/>
    <n v="0"/>
    <n v="0.95"/>
    <n v="0"/>
    <n v="0"/>
    <n v="0"/>
    <n v="0"/>
  </r>
  <r>
    <x v="0"/>
    <s v="2025-06-09 14:43:37"/>
    <n v="2"/>
    <x v="12"/>
    <x v="1"/>
    <x v="0"/>
    <n v="0"/>
    <n v="2E+20"/>
    <n v="0"/>
    <n v="0"/>
    <n v="0"/>
    <n v="0"/>
    <s v="Unnamed ProjectsandblastoperatorNumber BusyResource"/>
    <n v="15"/>
    <n v="0"/>
    <n v="0"/>
    <n v="0.95"/>
    <n v="0"/>
    <n v="0"/>
    <n v="0"/>
    <n v="0"/>
  </r>
  <r>
    <x v="0"/>
    <s v="2025-06-09 14:43:37"/>
    <n v="2"/>
    <x v="12"/>
    <x v="2"/>
    <x v="0"/>
    <n v="1.5834999999999999"/>
    <n v="3E+20"/>
    <n v="1"/>
    <n v="2"/>
    <n v="2"/>
    <n v="0"/>
    <s v="Unnamed Projectsandblastoperato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2"/>
    <x v="13"/>
    <x v="4"/>
    <x v="2"/>
    <n v="0"/>
    <n v="2E+20"/>
    <n v="0"/>
    <n v="0"/>
    <n v="0"/>
    <n v="0"/>
    <s v="Unnamed Projectseize_assembler.QueueNumber WaitingQueue"/>
    <n v="15"/>
    <n v="0"/>
    <n v="0"/>
    <n v="0.95"/>
    <n v="0"/>
    <n v="0"/>
    <n v="0"/>
    <n v="0"/>
  </r>
  <r>
    <x v="0"/>
    <s v="2025-06-09 14:43:37"/>
    <n v="2"/>
    <x v="14"/>
    <x v="4"/>
    <x v="2"/>
    <n v="0"/>
    <n v="2E+20"/>
    <n v="0"/>
    <n v="0"/>
    <n v="0"/>
    <n v="0"/>
    <s v="Unnamed Projectseize_cutter.QueueNumber WaitingQueue"/>
    <n v="15"/>
    <n v="0"/>
    <n v="0"/>
    <n v="0.95"/>
    <n v="0"/>
    <n v="0"/>
    <n v="0"/>
    <n v="0"/>
  </r>
  <r>
    <x v="0"/>
    <s v="2025-06-09 14:43:37"/>
    <n v="2"/>
    <x v="15"/>
    <x v="4"/>
    <x v="2"/>
    <n v="0"/>
    <n v="2E+20"/>
    <n v="0"/>
    <n v="0"/>
    <n v="0"/>
    <n v="0"/>
    <s v="Unnamed Projectseizeassemblyqcman.QueueNumber WaitingQueue"/>
    <n v="15"/>
    <n v="0"/>
    <n v="0"/>
    <n v="0.95"/>
    <n v="0"/>
    <n v="0"/>
    <n v="0"/>
    <n v="0"/>
  </r>
  <r>
    <x v="0"/>
    <s v="2025-06-09 14:43:37"/>
    <n v="2"/>
    <x v="16"/>
    <x v="4"/>
    <x v="2"/>
    <n v="0"/>
    <n v="2E+20"/>
    <n v="0"/>
    <n v="0"/>
    <n v="0"/>
    <n v="0"/>
    <s v="Unnamed Projectseizecleaner.QueueNumber WaitingQueue"/>
    <n v="15"/>
    <n v="0"/>
    <n v="0"/>
    <n v="0.95"/>
    <n v="0"/>
    <n v="0"/>
    <n v="0"/>
    <n v="0"/>
  </r>
  <r>
    <x v="0"/>
    <s v="2025-06-09 14:43:37"/>
    <n v="2"/>
    <x v="17"/>
    <x v="4"/>
    <x v="2"/>
    <n v="0"/>
    <n v="2E+20"/>
    <n v="0"/>
    <n v="0"/>
    <n v="0"/>
    <n v="0"/>
    <s v="Unnamed Projectseizepainter.QueueNumber WaitingQueue"/>
    <n v="15"/>
    <n v="0"/>
    <n v="0"/>
    <n v="0.95"/>
    <n v="0"/>
    <n v="0"/>
    <n v="0"/>
    <n v="0"/>
  </r>
  <r>
    <x v="0"/>
    <s v="2025-06-09 14:43:37"/>
    <n v="2"/>
    <x v="18"/>
    <x v="4"/>
    <x v="2"/>
    <n v="0"/>
    <n v="2E+20"/>
    <n v="0"/>
    <n v="0"/>
    <n v="0"/>
    <n v="0"/>
    <s v="Unnamed Projectseizeqcman.QueueNumber WaitingQueue"/>
    <n v="15"/>
    <n v="0"/>
    <n v="0"/>
    <n v="0.95"/>
    <n v="0"/>
    <n v="0"/>
    <n v="0"/>
    <n v="0"/>
  </r>
  <r>
    <x v="0"/>
    <s v="2025-06-09 14:43:37"/>
    <n v="2"/>
    <x v="19"/>
    <x v="4"/>
    <x v="2"/>
    <n v="0"/>
    <n v="2E+20"/>
    <n v="0"/>
    <n v="0"/>
    <n v="0"/>
    <n v="0"/>
    <s v="Unnamed Projectseizesandblaster.QueueNumber WaitingQueue"/>
    <n v="15"/>
    <n v="0"/>
    <n v="0"/>
    <n v="0.95"/>
    <n v="0"/>
    <n v="0"/>
    <n v="0"/>
    <n v="0"/>
  </r>
  <r>
    <x v="0"/>
    <s v="2025-06-09 14:43:37"/>
    <n v="2"/>
    <x v="20"/>
    <x v="4"/>
    <x v="2"/>
    <n v="0"/>
    <n v="2E+20"/>
    <n v="0"/>
    <n v="0"/>
    <n v="0"/>
    <n v="0"/>
    <s v="Unnamed Projectseizewelder.QueueNumber WaitingQueue"/>
    <n v="15"/>
    <n v="0"/>
    <n v="0"/>
    <n v="0.95"/>
    <n v="0"/>
    <n v="0"/>
    <n v="0"/>
    <n v="0"/>
  </r>
  <r>
    <x v="0"/>
    <s v="2025-06-09 14:43:37"/>
    <n v="2"/>
    <x v="21"/>
    <x v="3"/>
    <x v="1"/>
    <n v="12"/>
    <n v="2E+20"/>
    <n v="12"/>
    <n v="12"/>
    <n v="12"/>
    <n v="0"/>
    <s v="Unnamed ProjectsteelsheetWIPEntity"/>
    <n v="15"/>
    <n v="6.1333333333333337"/>
    <n v="5.3166405433005028"/>
    <n v="0.95"/>
    <n v="2.944257396015229"/>
    <n v="0"/>
    <n v="16"/>
    <n v="2.944257396015229"/>
  </r>
  <r>
    <x v="0"/>
    <s v="2025-06-09 14:43:37"/>
    <n v="2"/>
    <x v="22"/>
    <x v="0"/>
    <x v="0"/>
    <n v="0"/>
    <n v="2E+20"/>
    <n v="0"/>
    <n v="0"/>
    <n v="0"/>
    <n v="0"/>
    <s v="Unnamed ProjectwelderInstantaneous UtilizationResource"/>
    <n v="15"/>
    <n v="0"/>
    <n v="0"/>
    <n v="0.95"/>
    <n v="0"/>
    <n v="0"/>
    <n v="0"/>
    <n v="0"/>
  </r>
  <r>
    <x v="0"/>
    <s v="2025-06-09 14:43:37"/>
    <n v="2"/>
    <x v="22"/>
    <x v="1"/>
    <x v="0"/>
    <n v="0"/>
    <n v="2E+20"/>
    <n v="0"/>
    <n v="0"/>
    <n v="0"/>
    <n v="0"/>
    <s v="Unnamed ProjectwelderNumber BusyResource"/>
    <n v="15"/>
    <n v="0"/>
    <n v="0"/>
    <n v="0.95"/>
    <n v="0"/>
    <n v="0"/>
    <n v="0"/>
    <n v="0"/>
  </r>
  <r>
    <x v="0"/>
    <s v="2025-06-09 14:43:37"/>
    <n v="2"/>
    <x v="22"/>
    <x v="2"/>
    <x v="0"/>
    <n v="1.5834399862402999"/>
    <n v="3E+20"/>
    <n v="1"/>
    <n v="2"/>
    <n v="2"/>
    <n v="0"/>
    <s v="Unnamed ProjectwelderNumber ScheduledResource"/>
    <n v="15"/>
    <n v="1.5334531146777051"/>
    <n v="0.24154952363702747"/>
    <n v="0.95"/>
    <n v="0.13376566756397254"/>
    <n v="1"/>
    <n v="2"/>
    <n v="0.13376566756397254"/>
  </r>
  <r>
    <x v="0"/>
    <s v="2025-06-09 14:43:37"/>
    <n v="2"/>
    <x v="23"/>
    <x v="0"/>
    <x v="0"/>
    <n v="0"/>
    <n v="2E+20"/>
    <n v="0"/>
    <n v="0"/>
    <n v="0"/>
    <n v="0"/>
    <s v="Unnamed ProjectweldingqcworkerInstantaneous UtilizationResource"/>
    <n v="15"/>
    <n v="0"/>
    <n v="0"/>
    <n v="0.95"/>
    <n v="0"/>
    <n v="0"/>
    <n v="0"/>
    <n v="0"/>
  </r>
  <r>
    <x v="0"/>
    <s v="2025-06-09 14:43:37"/>
    <n v="2"/>
    <x v="23"/>
    <x v="1"/>
    <x v="0"/>
    <n v="0"/>
    <n v="2E+20"/>
    <n v="0"/>
    <n v="0"/>
    <n v="0"/>
    <n v="0"/>
    <s v="Unnamed ProjectweldingqcworkerNumber BusyResource"/>
    <n v="15"/>
    <n v="0"/>
    <n v="0"/>
    <n v="0.95"/>
    <n v="0"/>
    <n v="0"/>
    <n v="0"/>
    <n v="0"/>
  </r>
  <r>
    <x v="0"/>
    <s v="2025-06-09 14:43:37"/>
    <n v="2"/>
    <x v="23"/>
    <x v="2"/>
    <x v="0"/>
    <n v="1.5834999999999999"/>
    <n v="3E+20"/>
    <n v="1"/>
    <n v="2"/>
    <n v="2"/>
    <n v="0"/>
    <s v="Unnamed ProjectweldingqcworkerNumber ScheduledResource"/>
    <n v="15"/>
    <n v="1.5334635492504263"/>
    <n v="0.24155183649982462"/>
    <n v="0.95"/>
    <n v="0.1337669483846978"/>
    <n v="1"/>
    <n v="2"/>
    <n v="0.1337669483846978"/>
  </r>
  <r>
    <x v="0"/>
    <s v="2025-06-09 14:43:37"/>
    <n v="3"/>
    <x v="0"/>
    <x v="0"/>
    <x v="0"/>
    <n v="0"/>
    <n v="2E+20"/>
    <n v="0"/>
    <n v="0"/>
    <n v="0"/>
    <n v="0"/>
    <s v="Unnamed ProjectassemblerInstantaneous UtilizationResource"/>
    <n v="15"/>
    <n v="0"/>
    <n v="0"/>
    <n v="0.95"/>
    <n v="0"/>
    <n v="0"/>
    <n v="0"/>
    <n v="0"/>
  </r>
  <r>
    <x v="0"/>
    <s v="2025-06-09 14:43:37"/>
    <n v="3"/>
    <x v="0"/>
    <x v="1"/>
    <x v="0"/>
    <n v="0"/>
    <n v="2E+20"/>
    <n v="0"/>
    <n v="0"/>
    <n v="0"/>
    <n v="0"/>
    <s v="Unnamed ProjectassemblerNumber BusyResource"/>
    <n v="15"/>
    <n v="0"/>
    <n v="0"/>
    <n v="0.95"/>
    <n v="0"/>
    <n v="0"/>
    <n v="0"/>
    <n v="0"/>
  </r>
  <r>
    <x v="0"/>
    <s v="2025-06-09 14:43:37"/>
    <n v="3"/>
    <x v="0"/>
    <x v="2"/>
    <x v="0"/>
    <n v="1.58375"/>
    <n v="3E+20"/>
    <n v="1"/>
    <n v="2"/>
    <n v="2"/>
    <n v="0"/>
    <s v="Unnamed ProjectassemblerNumber ScheduledResource"/>
    <n v="15"/>
    <n v="1.5333142680768803"/>
    <n v="0.24151891999367611"/>
    <n v="0.95"/>
    <n v="0.13374871983117992"/>
    <n v="1"/>
    <n v="2"/>
    <n v="0.13374871983117992"/>
  </r>
  <r>
    <x v="0"/>
    <s v="2025-06-09 14:43:37"/>
    <n v="3"/>
    <x v="1"/>
    <x v="0"/>
    <x v="0"/>
    <n v="0"/>
    <n v="2E+20"/>
    <n v="0"/>
    <n v="0"/>
    <n v="0"/>
    <n v="0"/>
    <s v="Unnamed ProjectassemblyqcworkerInstantaneous UtilizationResource"/>
    <n v="15"/>
    <n v="0"/>
    <n v="0"/>
    <n v="0.95"/>
    <n v="0"/>
    <n v="0"/>
    <n v="0"/>
    <n v="0"/>
  </r>
  <r>
    <x v="0"/>
    <s v="2025-06-09 14:43:37"/>
    <n v="3"/>
    <x v="1"/>
    <x v="1"/>
    <x v="0"/>
    <n v="0"/>
    <n v="2E+20"/>
    <n v="0"/>
    <n v="0"/>
    <n v="0"/>
    <n v="0"/>
    <s v="Unnamed ProjectassemblyqcworkerNumber BusyResource"/>
    <n v="15"/>
    <n v="0"/>
    <n v="0"/>
    <n v="0.95"/>
    <n v="0"/>
    <n v="0"/>
    <n v="0"/>
    <n v="0"/>
  </r>
  <r>
    <x v="0"/>
    <s v="2025-06-09 14:43:37"/>
    <n v="3"/>
    <x v="1"/>
    <x v="2"/>
    <x v="0"/>
    <n v="1.5834999999999999"/>
    <n v="3E+20"/>
    <n v="1"/>
    <n v="2"/>
    <n v="2"/>
    <n v="0"/>
    <s v="Unnamed Projectassemblyqcworke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3"/>
    <x v="2"/>
    <x v="3"/>
    <x v="1"/>
    <n v="0"/>
    <n v="2E+20"/>
    <n v="0"/>
    <n v="0"/>
    <n v="0"/>
    <n v="0"/>
    <s v="Unnamed Projectbatched_partsWIPEntity"/>
    <n v="15"/>
    <n v="0"/>
    <n v="0"/>
    <n v="0.95"/>
    <n v="0"/>
    <n v="0"/>
    <n v="0"/>
    <n v="0"/>
  </r>
  <r>
    <x v="0"/>
    <s v="2025-06-09 14:43:37"/>
    <n v="3"/>
    <x v="3"/>
    <x v="0"/>
    <x v="0"/>
    <n v="0"/>
    <n v="2E+20"/>
    <n v="0"/>
    <n v="0"/>
    <n v="0"/>
    <n v="0"/>
    <s v="Unnamed ProjectcleanerInstantaneous UtilizationResource"/>
    <n v="15"/>
    <n v="0"/>
    <n v="0"/>
    <n v="0.95"/>
    <n v="0"/>
    <n v="0"/>
    <n v="0"/>
    <n v="0"/>
  </r>
  <r>
    <x v="0"/>
    <s v="2025-06-09 14:43:37"/>
    <n v="3"/>
    <x v="3"/>
    <x v="1"/>
    <x v="0"/>
    <n v="0"/>
    <n v="2E+20"/>
    <n v="0"/>
    <n v="0"/>
    <n v="0"/>
    <n v="0"/>
    <s v="Unnamed ProjectcleanerNumber BusyResource"/>
    <n v="15"/>
    <n v="0"/>
    <n v="0"/>
    <n v="0.95"/>
    <n v="0"/>
    <n v="0"/>
    <n v="0"/>
    <n v="0"/>
  </r>
  <r>
    <x v="0"/>
    <s v="2025-06-09 14:43:37"/>
    <n v="3"/>
    <x v="3"/>
    <x v="2"/>
    <x v="0"/>
    <n v="1.5834999999999999"/>
    <n v="3E+20"/>
    <n v="1"/>
    <n v="2"/>
    <n v="2"/>
    <n v="0"/>
    <s v="Unnamed ProjectcleanerNumber ScheduledResource"/>
    <n v="15"/>
    <n v="1.5334471868881776"/>
    <n v="0.24154821158553658"/>
    <n v="0.95"/>
    <n v="0.13376494097407529"/>
    <n v="1"/>
    <n v="2"/>
    <n v="0.13376494097407529"/>
  </r>
  <r>
    <x v="0"/>
    <s v="2025-06-09 14:43:37"/>
    <n v="3"/>
    <x v="4"/>
    <x v="0"/>
    <x v="0"/>
    <n v="0"/>
    <n v="2E+20"/>
    <n v="0"/>
    <n v="0"/>
    <n v="0"/>
    <n v="0"/>
    <s v="Unnamed ProjectcutterInstantaneous UtilizationResource"/>
    <n v="15"/>
    <n v="0"/>
    <n v="0"/>
    <n v="0.95"/>
    <n v="0"/>
    <n v="0"/>
    <n v="0"/>
    <n v="0"/>
  </r>
  <r>
    <x v="0"/>
    <s v="2025-06-09 14:43:37"/>
    <n v="3"/>
    <x v="4"/>
    <x v="1"/>
    <x v="0"/>
    <n v="0"/>
    <n v="2E+20"/>
    <n v="0"/>
    <n v="0"/>
    <n v="0"/>
    <n v="0"/>
    <s v="Unnamed ProjectcutterNumber BusyResource"/>
    <n v="15"/>
    <n v="0"/>
    <n v="0"/>
    <n v="0.95"/>
    <n v="0"/>
    <n v="0"/>
    <n v="0"/>
    <n v="0"/>
  </r>
  <r>
    <x v="0"/>
    <s v="2025-06-09 14:43:37"/>
    <n v="3"/>
    <x v="4"/>
    <x v="2"/>
    <x v="0"/>
    <n v="1.583375"/>
    <n v="3E+20"/>
    <n v="1"/>
    <n v="2"/>
    <n v="2"/>
    <n v="0"/>
    <s v="Unnamed ProjectcutterNumber ScheduledResource"/>
    <n v="15"/>
    <n v="1.5332999999999999"/>
    <n v="0.24151556349584294"/>
    <n v="0.95"/>
    <n v="0.1337468610646356"/>
    <n v="1"/>
    <n v="2"/>
    <n v="0.1337468610646356"/>
  </r>
  <r>
    <x v="0"/>
    <s v="2025-06-09 14:43:37"/>
    <n v="3"/>
    <x v="5"/>
    <x v="0"/>
    <x v="0"/>
    <n v="0"/>
    <n v="2E+20"/>
    <n v="0"/>
    <n v="0"/>
    <n v="0"/>
    <n v="0"/>
    <s v="Unnamed ProjectfinalqcmanInstantaneous UtilizationResource"/>
    <n v="15"/>
    <n v="0"/>
    <n v="0"/>
    <n v="0.95"/>
    <n v="0"/>
    <n v="0"/>
    <n v="0"/>
    <n v="0"/>
  </r>
  <r>
    <x v="0"/>
    <s v="2025-06-09 14:43:37"/>
    <n v="3"/>
    <x v="5"/>
    <x v="1"/>
    <x v="0"/>
    <n v="0"/>
    <n v="2E+20"/>
    <n v="0"/>
    <n v="0"/>
    <n v="0"/>
    <n v="0"/>
    <s v="Unnamed ProjectfinalqcmanNumber BusyResource"/>
    <n v="15"/>
    <n v="0"/>
    <n v="0"/>
    <n v="0.95"/>
    <n v="0"/>
    <n v="0"/>
    <n v="0"/>
    <n v="0"/>
  </r>
  <r>
    <x v="0"/>
    <s v="2025-06-09 14:43:37"/>
    <n v="3"/>
    <x v="5"/>
    <x v="2"/>
    <x v="0"/>
    <n v="1.58342975055735"/>
    <n v="3E+20"/>
    <n v="1"/>
    <n v="2"/>
    <n v="2"/>
    <n v="0"/>
    <s v="Unnamed ProjectfinalqcmanNumber ScheduledResource"/>
    <n v="15"/>
    <n v="1.5334510661643974"/>
    <n v="0.24154906725932371"/>
    <n v="0.95"/>
    <n v="0.13376541483042423"/>
    <n v="1"/>
    <n v="2"/>
    <n v="0.13376541483042423"/>
  </r>
  <r>
    <x v="0"/>
    <s v="2025-06-09 14:43:37"/>
    <n v="3"/>
    <x v="6"/>
    <x v="4"/>
    <x v="2"/>
    <n v="0"/>
    <n v="2E+20"/>
    <n v="0"/>
    <n v="0"/>
    <n v="0"/>
    <n v="0"/>
    <s v="Unnamed Projectinspectorseize.QueueNumber WaitingQueue"/>
    <n v="15"/>
    <n v="0"/>
    <n v="0"/>
    <n v="0.95"/>
    <n v="0"/>
    <n v="0"/>
    <n v="0"/>
    <n v="0"/>
  </r>
  <r>
    <x v="0"/>
    <s v="2025-06-09 14:43:37"/>
    <n v="3"/>
    <x v="7"/>
    <x v="4"/>
    <x v="2"/>
    <n v="12"/>
    <n v="2E+20"/>
    <n v="12"/>
    <n v="12"/>
    <n v="12"/>
    <n v="0"/>
    <s v="Unnamed Projectmatch_truckcombo.Queue1Number WaitingQueue"/>
    <n v="15"/>
    <n v="3.3333333333333335"/>
    <n v="4.577377082170635"/>
    <n v="0.95"/>
    <n v="2.5348669368881507"/>
    <n v="0"/>
    <n v="12"/>
    <n v="2.5348669368881507"/>
  </r>
  <r>
    <x v="0"/>
    <s v="2025-06-09 14:43:37"/>
    <n v="3"/>
    <x v="8"/>
    <x v="4"/>
    <x v="2"/>
    <n v="0"/>
    <n v="2E+20"/>
    <n v="0"/>
    <n v="0"/>
    <n v="0"/>
    <n v="0"/>
    <s v="Unnamed Projectmatch_truckcombo.Queue2Number WaitingQueue"/>
    <n v="15"/>
    <n v="2.8"/>
    <n v="5.226307081896902"/>
    <n v="0.95"/>
    <n v="2.8942323925042523"/>
    <n v="0"/>
    <n v="16"/>
    <n v="2.8942323925042523"/>
  </r>
  <r>
    <x v="0"/>
    <s v="2025-06-09 14:43:37"/>
    <n v="3"/>
    <x v="9"/>
    <x v="0"/>
    <x v="0"/>
    <n v="0"/>
    <n v="2E+20"/>
    <n v="0"/>
    <n v="0"/>
    <n v="0"/>
    <n v="0"/>
    <s v="Unnamed ProjectpaintingmachineInstantaneous UtilizationResource"/>
    <n v="15"/>
    <n v="0"/>
    <n v="0"/>
    <n v="0.95"/>
    <n v="0"/>
    <n v="0"/>
    <n v="0"/>
    <n v="0"/>
  </r>
  <r>
    <x v="0"/>
    <s v="2025-06-09 14:43:37"/>
    <n v="3"/>
    <x v="9"/>
    <x v="1"/>
    <x v="0"/>
    <n v="0"/>
    <n v="2E+20"/>
    <n v="0"/>
    <n v="0"/>
    <n v="0"/>
    <n v="0"/>
    <s v="Unnamed ProjectpaintingmachineNumber BusyResource"/>
    <n v="15"/>
    <n v="0"/>
    <n v="0"/>
    <n v="0.95"/>
    <n v="0"/>
    <n v="0"/>
    <n v="0"/>
    <n v="0"/>
  </r>
  <r>
    <x v="0"/>
    <s v="2025-06-09 14:43:37"/>
    <n v="3"/>
    <x v="9"/>
    <x v="2"/>
    <x v="0"/>
    <n v="1"/>
    <n v="2E+20"/>
    <n v="1"/>
    <n v="1"/>
    <n v="1"/>
    <n v="0"/>
    <s v="Unnamed ProjectpaintingmachineNumber ScheduledResource"/>
    <n v="15"/>
    <n v="1"/>
    <n v="0"/>
    <n v="0.95"/>
    <n v="0"/>
    <n v="1"/>
    <n v="1"/>
    <n v="0"/>
  </r>
  <r>
    <x v="0"/>
    <s v="2025-06-09 14:43:37"/>
    <n v="3"/>
    <x v="10"/>
    <x v="0"/>
    <x v="0"/>
    <n v="0"/>
    <n v="2E+20"/>
    <n v="0"/>
    <n v="0"/>
    <n v="0"/>
    <n v="0"/>
    <s v="Unnamed ProjectpaintingoperatorInstantaneous UtilizationResource"/>
    <n v="15"/>
    <n v="0"/>
    <n v="0"/>
    <n v="0.95"/>
    <n v="0"/>
    <n v="0"/>
    <n v="0"/>
    <n v="0"/>
  </r>
  <r>
    <x v="0"/>
    <s v="2025-06-09 14:43:37"/>
    <n v="3"/>
    <x v="10"/>
    <x v="1"/>
    <x v="0"/>
    <n v="0"/>
    <n v="2E+20"/>
    <n v="0"/>
    <n v="0"/>
    <n v="0"/>
    <n v="0"/>
    <s v="Unnamed ProjectpaintingoperatorNumber BusyResource"/>
    <n v="15"/>
    <n v="0"/>
    <n v="0"/>
    <n v="0.95"/>
    <n v="0"/>
    <n v="0"/>
    <n v="0"/>
    <n v="0"/>
  </r>
  <r>
    <x v="0"/>
    <s v="2025-06-09 14:43:37"/>
    <n v="3"/>
    <x v="10"/>
    <x v="2"/>
    <x v="0"/>
    <n v="1.5834999999999999"/>
    <n v="3E+20"/>
    <n v="1"/>
    <n v="2"/>
    <n v="2"/>
    <n v="0"/>
    <s v="Unnamed Projectpaintingoperato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3"/>
    <x v="11"/>
    <x v="0"/>
    <x v="0"/>
    <n v="0"/>
    <n v="2E+20"/>
    <n v="0"/>
    <n v="0"/>
    <n v="0"/>
    <n v="0"/>
    <s v="Unnamed ProjectsandblastmachineInstantaneous UtilizationResource"/>
    <n v="15"/>
    <n v="0"/>
    <n v="0"/>
    <n v="0.95"/>
    <n v="0"/>
    <n v="0"/>
    <n v="0"/>
    <n v="0"/>
  </r>
  <r>
    <x v="0"/>
    <s v="2025-06-09 14:43:37"/>
    <n v="3"/>
    <x v="11"/>
    <x v="1"/>
    <x v="0"/>
    <n v="0"/>
    <n v="2E+20"/>
    <n v="0"/>
    <n v="0"/>
    <n v="0"/>
    <n v="0"/>
    <s v="Unnamed ProjectsandblastmachineNumber BusyResource"/>
    <n v="15"/>
    <n v="0"/>
    <n v="0"/>
    <n v="0.95"/>
    <n v="0"/>
    <n v="0"/>
    <n v="0"/>
    <n v="0"/>
  </r>
  <r>
    <x v="0"/>
    <s v="2025-06-09 14:43:37"/>
    <n v="3"/>
    <x v="11"/>
    <x v="2"/>
    <x v="0"/>
    <n v="1"/>
    <n v="2E+20"/>
    <n v="1"/>
    <n v="1"/>
    <n v="1"/>
    <n v="0"/>
    <s v="Unnamed ProjectsandblastmachineNumber ScheduledResource"/>
    <n v="15"/>
    <n v="1"/>
    <n v="0"/>
    <n v="0.95"/>
    <n v="0"/>
    <n v="1"/>
    <n v="1"/>
    <n v="0"/>
  </r>
  <r>
    <x v="0"/>
    <s v="2025-06-09 14:43:37"/>
    <n v="3"/>
    <x v="12"/>
    <x v="0"/>
    <x v="0"/>
    <n v="0"/>
    <n v="2E+20"/>
    <n v="0"/>
    <n v="0"/>
    <n v="0"/>
    <n v="0"/>
    <s v="Unnamed ProjectsandblastoperatorInstantaneous UtilizationResource"/>
    <n v="15"/>
    <n v="0"/>
    <n v="0"/>
    <n v="0.95"/>
    <n v="0"/>
    <n v="0"/>
    <n v="0"/>
    <n v="0"/>
  </r>
  <r>
    <x v="0"/>
    <s v="2025-06-09 14:43:37"/>
    <n v="3"/>
    <x v="12"/>
    <x v="1"/>
    <x v="0"/>
    <n v="0"/>
    <n v="2E+20"/>
    <n v="0"/>
    <n v="0"/>
    <n v="0"/>
    <n v="0"/>
    <s v="Unnamed ProjectsandblastoperatorNumber BusyResource"/>
    <n v="15"/>
    <n v="0"/>
    <n v="0"/>
    <n v="0.95"/>
    <n v="0"/>
    <n v="0"/>
    <n v="0"/>
    <n v="0"/>
  </r>
  <r>
    <x v="0"/>
    <s v="2025-06-09 14:43:37"/>
    <n v="3"/>
    <x v="12"/>
    <x v="2"/>
    <x v="0"/>
    <n v="1.5834999999999999"/>
    <n v="3E+20"/>
    <n v="1"/>
    <n v="2"/>
    <n v="2"/>
    <n v="0"/>
    <s v="Unnamed Projectsandblastoperato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3"/>
    <x v="13"/>
    <x v="4"/>
    <x v="2"/>
    <n v="0"/>
    <n v="2E+20"/>
    <n v="0"/>
    <n v="0"/>
    <n v="0"/>
    <n v="0"/>
    <s v="Unnamed Projectseize_assembler.QueueNumber WaitingQueue"/>
    <n v="15"/>
    <n v="0"/>
    <n v="0"/>
    <n v="0.95"/>
    <n v="0"/>
    <n v="0"/>
    <n v="0"/>
    <n v="0"/>
  </r>
  <r>
    <x v="0"/>
    <s v="2025-06-09 14:43:37"/>
    <n v="3"/>
    <x v="14"/>
    <x v="4"/>
    <x v="2"/>
    <n v="0"/>
    <n v="2E+20"/>
    <n v="0"/>
    <n v="0"/>
    <n v="0"/>
    <n v="0"/>
    <s v="Unnamed Projectseize_cutter.QueueNumber WaitingQueue"/>
    <n v="15"/>
    <n v="0"/>
    <n v="0"/>
    <n v="0.95"/>
    <n v="0"/>
    <n v="0"/>
    <n v="0"/>
    <n v="0"/>
  </r>
  <r>
    <x v="0"/>
    <s v="2025-06-09 14:43:37"/>
    <n v="3"/>
    <x v="15"/>
    <x v="4"/>
    <x v="2"/>
    <n v="0"/>
    <n v="2E+20"/>
    <n v="0"/>
    <n v="0"/>
    <n v="0"/>
    <n v="0"/>
    <s v="Unnamed Projectseizeassemblyqcman.QueueNumber WaitingQueue"/>
    <n v="15"/>
    <n v="0"/>
    <n v="0"/>
    <n v="0.95"/>
    <n v="0"/>
    <n v="0"/>
    <n v="0"/>
    <n v="0"/>
  </r>
  <r>
    <x v="0"/>
    <s v="2025-06-09 14:43:37"/>
    <n v="3"/>
    <x v="16"/>
    <x v="4"/>
    <x v="2"/>
    <n v="0"/>
    <n v="2E+20"/>
    <n v="0"/>
    <n v="0"/>
    <n v="0"/>
    <n v="0"/>
    <s v="Unnamed Projectseizecleaner.QueueNumber WaitingQueue"/>
    <n v="15"/>
    <n v="0"/>
    <n v="0"/>
    <n v="0.95"/>
    <n v="0"/>
    <n v="0"/>
    <n v="0"/>
    <n v="0"/>
  </r>
  <r>
    <x v="0"/>
    <s v="2025-06-09 14:43:37"/>
    <n v="3"/>
    <x v="17"/>
    <x v="4"/>
    <x v="2"/>
    <n v="0"/>
    <n v="2E+20"/>
    <n v="0"/>
    <n v="0"/>
    <n v="0"/>
    <n v="0"/>
    <s v="Unnamed Projectseizepainter.QueueNumber WaitingQueue"/>
    <n v="15"/>
    <n v="0"/>
    <n v="0"/>
    <n v="0.95"/>
    <n v="0"/>
    <n v="0"/>
    <n v="0"/>
    <n v="0"/>
  </r>
  <r>
    <x v="0"/>
    <s v="2025-06-09 14:43:37"/>
    <n v="3"/>
    <x v="18"/>
    <x v="4"/>
    <x v="2"/>
    <n v="0"/>
    <n v="2E+20"/>
    <n v="0"/>
    <n v="0"/>
    <n v="0"/>
    <n v="0"/>
    <s v="Unnamed Projectseizeqcman.QueueNumber WaitingQueue"/>
    <n v="15"/>
    <n v="0"/>
    <n v="0"/>
    <n v="0.95"/>
    <n v="0"/>
    <n v="0"/>
    <n v="0"/>
    <n v="0"/>
  </r>
  <r>
    <x v="0"/>
    <s v="2025-06-09 14:43:37"/>
    <n v="3"/>
    <x v="19"/>
    <x v="4"/>
    <x v="2"/>
    <n v="0"/>
    <n v="2E+20"/>
    <n v="0"/>
    <n v="0"/>
    <n v="0"/>
    <n v="0"/>
    <s v="Unnamed Projectseizesandblaster.QueueNumber WaitingQueue"/>
    <n v="15"/>
    <n v="0"/>
    <n v="0"/>
    <n v="0.95"/>
    <n v="0"/>
    <n v="0"/>
    <n v="0"/>
    <n v="0"/>
  </r>
  <r>
    <x v="0"/>
    <s v="2025-06-09 14:43:37"/>
    <n v="3"/>
    <x v="20"/>
    <x v="4"/>
    <x v="2"/>
    <n v="0"/>
    <n v="2E+20"/>
    <n v="0"/>
    <n v="0"/>
    <n v="0"/>
    <n v="0"/>
    <s v="Unnamed Projectseizewelder.QueueNumber WaitingQueue"/>
    <n v="15"/>
    <n v="0"/>
    <n v="0"/>
    <n v="0.95"/>
    <n v="0"/>
    <n v="0"/>
    <n v="0"/>
    <n v="0"/>
  </r>
  <r>
    <x v="0"/>
    <s v="2025-06-09 14:43:37"/>
    <n v="3"/>
    <x v="21"/>
    <x v="3"/>
    <x v="1"/>
    <n v="12"/>
    <n v="2E+20"/>
    <n v="12"/>
    <n v="12"/>
    <n v="12"/>
    <n v="0"/>
    <s v="Unnamed ProjectsteelsheetWIPEntity"/>
    <n v="15"/>
    <n v="6.1333333333333337"/>
    <n v="5.3166405433005028"/>
    <n v="0.95"/>
    <n v="2.944257396015229"/>
    <n v="0"/>
    <n v="16"/>
    <n v="2.944257396015229"/>
  </r>
  <r>
    <x v="0"/>
    <s v="2025-06-09 14:43:37"/>
    <n v="3"/>
    <x v="22"/>
    <x v="0"/>
    <x v="0"/>
    <n v="0"/>
    <n v="2E+20"/>
    <n v="0"/>
    <n v="0"/>
    <n v="0"/>
    <n v="0"/>
    <s v="Unnamed ProjectwelderInstantaneous UtilizationResource"/>
    <n v="15"/>
    <n v="0"/>
    <n v="0"/>
    <n v="0.95"/>
    <n v="0"/>
    <n v="0"/>
    <n v="0"/>
    <n v="0"/>
  </r>
  <r>
    <x v="0"/>
    <s v="2025-06-09 14:43:37"/>
    <n v="3"/>
    <x v="22"/>
    <x v="1"/>
    <x v="0"/>
    <n v="0"/>
    <n v="2E+20"/>
    <n v="0"/>
    <n v="0"/>
    <n v="0"/>
    <n v="0"/>
    <s v="Unnamed ProjectwelderNumber BusyResource"/>
    <n v="15"/>
    <n v="0"/>
    <n v="0"/>
    <n v="0.95"/>
    <n v="0"/>
    <n v="0"/>
    <n v="0"/>
    <n v="0"/>
  </r>
  <r>
    <x v="0"/>
    <s v="2025-06-09 14:43:37"/>
    <n v="3"/>
    <x v="22"/>
    <x v="2"/>
    <x v="0"/>
    <n v="1.5834999999999999"/>
    <n v="3E+20"/>
    <n v="1"/>
    <n v="2"/>
    <n v="2"/>
    <n v="0"/>
    <s v="Unnamed ProjectwelderNumber ScheduledResource"/>
    <n v="15"/>
    <n v="1.5334531146777051"/>
    <n v="0.24154952363702747"/>
    <n v="0.95"/>
    <n v="0.13376566756397254"/>
    <n v="1"/>
    <n v="2"/>
    <n v="0.13376566756397254"/>
  </r>
  <r>
    <x v="0"/>
    <s v="2025-06-09 14:43:37"/>
    <n v="3"/>
    <x v="23"/>
    <x v="0"/>
    <x v="0"/>
    <n v="0"/>
    <n v="2E+20"/>
    <n v="0"/>
    <n v="0"/>
    <n v="0"/>
    <n v="0"/>
    <s v="Unnamed ProjectweldingqcworkerInstantaneous UtilizationResource"/>
    <n v="15"/>
    <n v="0"/>
    <n v="0"/>
    <n v="0.95"/>
    <n v="0"/>
    <n v="0"/>
    <n v="0"/>
    <n v="0"/>
  </r>
  <r>
    <x v="0"/>
    <s v="2025-06-09 14:43:37"/>
    <n v="3"/>
    <x v="23"/>
    <x v="1"/>
    <x v="0"/>
    <n v="0"/>
    <n v="2E+20"/>
    <n v="0"/>
    <n v="0"/>
    <n v="0"/>
    <n v="0"/>
    <s v="Unnamed ProjectweldingqcworkerNumber BusyResource"/>
    <n v="15"/>
    <n v="0"/>
    <n v="0"/>
    <n v="0.95"/>
    <n v="0"/>
    <n v="0"/>
    <n v="0"/>
    <n v="0"/>
  </r>
  <r>
    <x v="0"/>
    <s v="2025-06-09 14:43:37"/>
    <n v="3"/>
    <x v="23"/>
    <x v="2"/>
    <x v="0"/>
    <n v="1.5834999999999999"/>
    <n v="3E+20"/>
    <n v="1"/>
    <n v="2"/>
    <n v="2"/>
    <n v="0"/>
    <s v="Unnamed ProjectweldingqcworkerNumber ScheduledResource"/>
    <n v="15"/>
    <n v="1.5334635492504263"/>
    <n v="0.24155183649982462"/>
    <n v="0.95"/>
    <n v="0.1337669483846978"/>
    <n v="1"/>
    <n v="2"/>
    <n v="0.1337669483846978"/>
  </r>
  <r>
    <x v="0"/>
    <s v="2025-06-09 14:43:37"/>
    <n v="4"/>
    <x v="0"/>
    <x v="0"/>
    <x v="0"/>
    <n v="0"/>
    <n v="2E+20"/>
    <n v="0"/>
    <n v="0"/>
    <n v="0"/>
    <n v="0"/>
    <s v="Unnamed ProjectassemblerInstantaneous UtilizationResource"/>
    <n v="15"/>
    <n v="0"/>
    <n v="0"/>
    <n v="0.95"/>
    <n v="0"/>
    <n v="0"/>
    <n v="0"/>
    <n v="0"/>
  </r>
  <r>
    <x v="0"/>
    <s v="2025-06-09 14:43:37"/>
    <n v="4"/>
    <x v="0"/>
    <x v="1"/>
    <x v="0"/>
    <n v="0"/>
    <n v="2E+20"/>
    <n v="0"/>
    <n v="0"/>
    <n v="0"/>
    <n v="0"/>
    <s v="Unnamed ProjectassemblerNumber BusyResource"/>
    <n v="15"/>
    <n v="0"/>
    <n v="0"/>
    <n v="0.95"/>
    <n v="0"/>
    <n v="0"/>
    <n v="0"/>
    <n v="0"/>
  </r>
  <r>
    <x v="0"/>
    <s v="2025-06-09 14:43:37"/>
    <n v="4"/>
    <x v="0"/>
    <x v="2"/>
    <x v="0"/>
    <n v="1.58341855297856"/>
    <n v="3E+20"/>
    <n v="1"/>
    <n v="2"/>
    <n v="1"/>
    <n v="0"/>
    <s v="Unnamed ProjectassemblerNumber ScheduledResource"/>
    <n v="15"/>
    <n v="1.5333142680768803"/>
    <n v="0.24151891999367611"/>
    <n v="0.95"/>
    <n v="0.13374871983117992"/>
    <n v="1"/>
    <n v="2"/>
    <n v="0.13374871983117992"/>
  </r>
  <r>
    <x v="0"/>
    <s v="2025-06-09 14:43:37"/>
    <n v="4"/>
    <x v="1"/>
    <x v="0"/>
    <x v="0"/>
    <n v="0"/>
    <n v="2E+20"/>
    <n v="0"/>
    <n v="0"/>
    <n v="0"/>
    <n v="0"/>
    <s v="Unnamed ProjectassemblyqcworkerInstantaneous UtilizationResource"/>
    <n v="15"/>
    <n v="0"/>
    <n v="0"/>
    <n v="0.95"/>
    <n v="0"/>
    <n v="0"/>
    <n v="0"/>
    <n v="0"/>
  </r>
  <r>
    <x v="0"/>
    <s v="2025-06-09 14:43:37"/>
    <n v="4"/>
    <x v="1"/>
    <x v="1"/>
    <x v="0"/>
    <n v="0"/>
    <n v="2E+20"/>
    <n v="0"/>
    <n v="0"/>
    <n v="0"/>
    <n v="0"/>
    <s v="Unnamed ProjectassemblyqcworkerNumber BusyResource"/>
    <n v="15"/>
    <n v="0"/>
    <n v="0"/>
    <n v="0.95"/>
    <n v="0"/>
    <n v="0"/>
    <n v="0"/>
    <n v="0"/>
  </r>
  <r>
    <x v="0"/>
    <s v="2025-06-09 14:43:37"/>
    <n v="4"/>
    <x v="1"/>
    <x v="2"/>
    <x v="0"/>
    <n v="1.5834999999999999"/>
    <n v="3E+20"/>
    <n v="1"/>
    <n v="2"/>
    <n v="2"/>
    <n v="0"/>
    <s v="Unnamed Projectassemblyqcworke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4"/>
    <x v="2"/>
    <x v="3"/>
    <x v="1"/>
    <n v="0"/>
    <n v="2E+20"/>
    <n v="0"/>
    <n v="0"/>
    <n v="0"/>
    <n v="0"/>
    <s v="Unnamed Projectbatched_partsWIPEntity"/>
    <n v="15"/>
    <n v="0"/>
    <n v="0"/>
    <n v="0.95"/>
    <n v="0"/>
    <n v="0"/>
    <n v="0"/>
    <n v="0"/>
  </r>
  <r>
    <x v="0"/>
    <s v="2025-06-09 14:43:37"/>
    <n v="4"/>
    <x v="3"/>
    <x v="0"/>
    <x v="0"/>
    <n v="0"/>
    <n v="2E+20"/>
    <n v="0"/>
    <n v="0"/>
    <n v="0"/>
    <n v="0"/>
    <s v="Unnamed ProjectcleanerInstantaneous UtilizationResource"/>
    <n v="15"/>
    <n v="0"/>
    <n v="0"/>
    <n v="0.95"/>
    <n v="0"/>
    <n v="0"/>
    <n v="0"/>
    <n v="0"/>
  </r>
  <r>
    <x v="0"/>
    <s v="2025-06-09 14:43:37"/>
    <n v="4"/>
    <x v="3"/>
    <x v="1"/>
    <x v="0"/>
    <n v="0"/>
    <n v="2E+20"/>
    <n v="0"/>
    <n v="0"/>
    <n v="0"/>
    <n v="0"/>
    <s v="Unnamed ProjectcleanerNumber BusyResource"/>
    <n v="15"/>
    <n v="0"/>
    <n v="0"/>
    <n v="0.95"/>
    <n v="0"/>
    <n v="0"/>
    <n v="0"/>
    <n v="0"/>
  </r>
  <r>
    <x v="0"/>
    <s v="2025-06-09 14:43:37"/>
    <n v="4"/>
    <x v="3"/>
    <x v="2"/>
    <x v="0"/>
    <n v="1.58347112525611"/>
    <n v="3E+20"/>
    <n v="1"/>
    <n v="2"/>
    <n v="2"/>
    <n v="0"/>
    <s v="Unnamed ProjectcleanerNumber ScheduledResource"/>
    <n v="15"/>
    <n v="1.5334471868881776"/>
    <n v="0.24154821158553658"/>
    <n v="0.95"/>
    <n v="0.13376494097407529"/>
    <n v="1"/>
    <n v="2"/>
    <n v="0.13376494097407529"/>
  </r>
  <r>
    <x v="0"/>
    <s v="2025-06-09 14:43:37"/>
    <n v="4"/>
    <x v="4"/>
    <x v="0"/>
    <x v="0"/>
    <n v="0"/>
    <n v="2E+20"/>
    <n v="0"/>
    <n v="0"/>
    <n v="0"/>
    <n v="0"/>
    <s v="Unnamed ProjectcutterInstantaneous UtilizationResource"/>
    <n v="15"/>
    <n v="0"/>
    <n v="0"/>
    <n v="0.95"/>
    <n v="0"/>
    <n v="0"/>
    <n v="0"/>
    <n v="0"/>
  </r>
  <r>
    <x v="0"/>
    <s v="2025-06-09 14:43:37"/>
    <n v="4"/>
    <x v="4"/>
    <x v="1"/>
    <x v="0"/>
    <n v="0"/>
    <n v="2E+20"/>
    <n v="0"/>
    <n v="0"/>
    <n v="0"/>
    <n v="0"/>
    <s v="Unnamed ProjectcutterNumber BusyResource"/>
    <n v="15"/>
    <n v="0"/>
    <n v="0"/>
    <n v="0.95"/>
    <n v="0"/>
    <n v="0"/>
    <n v="0"/>
    <n v="0"/>
  </r>
  <r>
    <x v="0"/>
    <s v="2025-06-09 14:43:37"/>
    <n v="4"/>
    <x v="4"/>
    <x v="2"/>
    <x v="0"/>
    <n v="1.583375"/>
    <n v="3E+20"/>
    <n v="1"/>
    <n v="2"/>
    <n v="2"/>
    <n v="0"/>
    <s v="Unnamed ProjectcutterNumber ScheduledResource"/>
    <n v="15"/>
    <n v="1.5332999999999999"/>
    <n v="0.24151556349584294"/>
    <n v="0.95"/>
    <n v="0.1337468610646356"/>
    <n v="1"/>
    <n v="2"/>
    <n v="0.1337468610646356"/>
  </r>
  <r>
    <x v="0"/>
    <s v="2025-06-09 14:43:37"/>
    <n v="4"/>
    <x v="5"/>
    <x v="0"/>
    <x v="0"/>
    <n v="0"/>
    <n v="2E+20"/>
    <n v="0"/>
    <n v="0"/>
    <n v="0"/>
    <n v="0"/>
    <s v="Unnamed ProjectfinalqcmanInstantaneous UtilizationResource"/>
    <n v="15"/>
    <n v="0"/>
    <n v="0"/>
    <n v="0.95"/>
    <n v="0"/>
    <n v="0"/>
    <n v="0"/>
    <n v="0"/>
  </r>
  <r>
    <x v="0"/>
    <s v="2025-06-09 14:43:37"/>
    <n v="4"/>
    <x v="5"/>
    <x v="1"/>
    <x v="0"/>
    <n v="0"/>
    <n v="2E+20"/>
    <n v="0"/>
    <n v="0"/>
    <n v="0"/>
    <n v="0"/>
    <s v="Unnamed ProjectfinalqcmanNumber BusyResource"/>
    <n v="15"/>
    <n v="0"/>
    <n v="0"/>
    <n v="0.95"/>
    <n v="0"/>
    <n v="0"/>
    <n v="0"/>
    <n v="0"/>
  </r>
  <r>
    <x v="0"/>
    <s v="2025-06-09 14:43:37"/>
    <n v="4"/>
    <x v="5"/>
    <x v="2"/>
    <x v="0"/>
    <n v="1.5834999999999999"/>
    <n v="3E+20"/>
    <n v="1"/>
    <n v="2"/>
    <n v="2"/>
    <n v="0"/>
    <s v="Unnamed ProjectfinalqcmanNumber ScheduledResource"/>
    <n v="15"/>
    <n v="1.5334510661643974"/>
    <n v="0.24154906725932371"/>
    <n v="0.95"/>
    <n v="0.13376541483042423"/>
    <n v="1"/>
    <n v="2"/>
    <n v="0.13376541483042423"/>
  </r>
  <r>
    <x v="0"/>
    <s v="2025-06-09 14:43:37"/>
    <n v="4"/>
    <x v="6"/>
    <x v="4"/>
    <x v="2"/>
    <n v="0"/>
    <n v="2E+20"/>
    <n v="0"/>
    <n v="0"/>
    <n v="0"/>
    <n v="0"/>
    <s v="Unnamed Projectinspectorseize.QueueNumber WaitingQueue"/>
    <n v="15"/>
    <n v="0"/>
    <n v="0"/>
    <n v="0.95"/>
    <n v="0"/>
    <n v="0"/>
    <n v="0"/>
    <n v="0"/>
  </r>
  <r>
    <x v="0"/>
    <s v="2025-06-09 14:43:37"/>
    <n v="4"/>
    <x v="7"/>
    <x v="4"/>
    <x v="2"/>
    <n v="10"/>
    <n v="2E+20"/>
    <n v="10"/>
    <n v="10"/>
    <n v="10"/>
    <n v="0"/>
    <s v="Unnamed Projectmatch_truckcombo.Queue1Number WaitingQueue"/>
    <n v="15"/>
    <n v="3.3333333333333335"/>
    <n v="4.577377082170635"/>
    <n v="0.95"/>
    <n v="2.5348669368881507"/>
    <n v="0"/>
    <n v="12"/>
    <n v="2.5348669368881507"/>
  </r>
  <r>
    <x v="0"/>
    <s v="2025-06-09 14:43:37"/>
    <n v="4"/>
    <x v="8"/>
    <x v="4"/>
    <x v="2"/>
    <n v="0"/>
    <n v="2E+20"/>
    <n v="0"/>
    <n v="0"/>
    <n v="0"/>
    <n v="0"/>
    <s v="Unnamed Projectmatch_truckcombo.Queue2Number WaitingQueue"/>
    <n v="15"/>
    <n v="2.8"/>
    <n v="5.226307081896902"/>
    <n v="0.95"/>
    <n v="2.8942323925042523"/>
    <n v="0"/>
    <n v="16"/>
    <n v="2.8942323925042523"/>
  </r>
  <r>
    <x v="0"/>
    <s v="2025-06-09 14:43:37"/>
    <n v="4"/>
    <x v="9"/>
    <x v="0"/>
    <x v="0"/>
    <n v="0"/>
    <n v="2E+20"/>
    <n v="0"/>
    <n v="0"/>
    <n v="0"/>
    <n v="0"/>
    <s v="Unnamed ProjectpaintingmachineInstantaneous UtilizationResource"/>
    <n v="15"/>
    <n v="0"/>
    <n v="0"/>
    <n v="0.95"/>
    <n v="0"/>
    <n v="0"/>
    <n v="0"/>
    <n v="0"/>
  </r>
  <r>
    <x v="0"/>
    <s v="2025-06-09 14:43:37"/>
    <n v="4"/>
    <x v="9"/>
    <x v="1"/>
    <x v="0"/>
    <n v="0"/>
    <n v="2E+20"/>
    <n v="0"/>
    <n v="0"/>
    <n v="0"/>
    <n v="0"/>
    <s v="Unnamed ProjectpaintingmachineNumber BusyResource"/>
    <n v="15"/>
    <n v="0"/>
    <n v="0"/>
    <n v="0.95"/>
    <n v="0"/>
    <n v="0"/>
    <n v="0"/>
    <n v="0"/>
  </r>
  <r>
    <x v="0"/>
    <s v="2025-06-09 14:43:37"/>
    <n v="4"/>
    <x v="9"/>
    <x v="2"/>
    <x v="0"/>
    <n v="1"/>
    <n v="2E+20"/>
    <n v="1"/>
    <n v="1"/>
    <n v="1"/>
    <n v="0"/>
    <s v="Unnamed ProjectpaintingmachineNumber ScheduledResource"/>
    <n v="15"/>
    <n v="1"/>
    <n v="0"/>
    <n v="0.95"/>
    <n v="0"/>
    <n v="1"/>
    <n v="1"/>
    <n v="0"/>
  </r>
  <r>
    <x v="0"/>
    <s v="2025-06-09 14:43:37"/>
    <n v="4"/>
    <x v="10"/>
    <x v="0"/>
    <x v="0"/>
    <n v="0"/>
    <n v="2E+20"/>
    <n v="0"/>
    <n v="0"/>
    <n v="0"/>
    <n v="0"/>
    <s v="Unnamed ProjectpaintingoperatorInstantaneous UtilizationResource"/>
    <n v="15"/>
    <n v="0"/>
    <n v="0"/>
    <n v="0.95"/>
    <n v="0"/>
    <n v="0"/>
    <n v="0"/>
    <n v="0"/>
  </r>
  <r>
    <x v="0"/>
    <s v="2025-06-09 14:43:37"/>
    <n v="4"/>
    <x v="10"/>
    <x v="1"/>
    <x v="0"/>
    <n v="0"/>
    <n v="2E+20"/>
    <n v="0"/>
    <n v="0"/>
    <n v="0"/>
    <n v="0"/>
    <s v="Unnamed ProjectpaintingoperatorNumber BusyResource"/>
    <n v="15"/>
    <n v="0"/>
    <n v="0"/>
    <n v="0.95"/>
    <n v="0"/>
    <n v="0"/>
    <n v="0"/>
    <n v="0"/>
  </r>
  <r>
    <x v="0"/>
    <s v="2025-06-09 14:43:37"/>
    <n v="4"/>
    <x v="10"/>
    <x v="2"/>
    <x v="0"/>
    <n v="1.5834999999999999"/>
    <n v="3E+20"/>
    <n v="1"/>
    <n v="2"/>
    <n v="2"/>
    <n v="0"/>
    <s v="Unnamed Projectpaintingoperato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4"/>
    <x v="11"/>
    <x v="0"/>
    <x v="0"/>
    <n v="0"/>
    <n v="2E+20"/>
    <n v="0"/>
    <n v="0"/>
    <n v="0"/>
    <n v="0"/>
    <s v="Unnamed ProjectsandblastmachineInstantaneous UtilizationResource"/>
    <n v="15"/>
    <n v="0"/>
    <n v="0"/>
    <n v="0.95"/>
    <n v="0"/>
    <n v="0"/>
    <n v="0"/>
    <n v="0"/>
  </r>
  <r>
    <x v="0"/>
    <s v="2025-06-09 14:43:37"/>
    <n v="4"/>
    <x v="11"/>
    <x v="1"/>
    <x v="0"/>
    <n v="0"/>
    <n v="2E+20"/>
    <n v="0"/>
    <n v="0"/>
    <n v="0"/>
    <n v="0"/>
    <s v="Unnamed ProjectsandblastmachineNumber BusyResource"/>
    <n v="15"/>
    <n v="0"/>
    <n v="0"/>
    <n v="0.95"/>
    <n v="0"/>
    <n v="0"/>
    <n v="0"/>
    <n v="0"/>
  </r>
  <r>
    <x v="0"/>
    <s v="2025-06-09 14:43:37"/>
    <n v="4"/>
    <x v="11"/>
    <x v="2"/>
    <x v="0"/>
    <n v="1"/>
    <n v="2E+20"/>
    <n v="1"/>
    <n v="1"/>
    <n v="1"/>
    <n v="0"/>
    <s v="Unnamed ProjectsandblastmachineNumber ScheduledResource"/>
    <n v="15"/>
    <n v="1"/>
    <n v="0"/>
    <n v="0.95"/>
    <n v="0"/>
    <n v="1"/>
    <n v="1"/>
    <n v="0"/>
  </r>
  <r>
    <x v="0"/>
    <s v="2025-06-09 14:43:37"/>
    <n v="4"/>
    <x v="12"/>
    <x v="0"/>
    <x v="0"/>
    <n v="0"/>
    <n v="2E+20"/>
    <n v="0"/>
    <n v="0"/>
    <n v="0"/>
    <n v="0"/>
    <s v="Unnamed ProjectsandblastoperatorInstantaneous UtilizationResource"/>
    <n v="15"/>
    <n v="0"/>
    <n v="0"/>
    <n v="0.95"/>
    <n v="0"/>
    <n v="0"/>
    <n v="0"/>
    <n v="0"/>
  </r>
  <r>
    <x v="0"/>
    <s v="2025-06-09 14:43:37"/>
    <n v="4"/>
    <x v="12"/>
    <x v="1"/>
    <x v="0"/>
    <n v="0"/>
    <n v="2E+20"/>
    <n v="0"/>
    <n v="0"/>
    <n v="0"/>
    <n v="0"/>
    <s v="Unnamed ProjectsandblastoperatorNumber BusyResource"/>
    <n v="15"/>
    <n v="0"/>
    <n v="0"/>
    <n v="0.95"/>
    <n v="0"/>
    <n v="0"/>
    <n v="0"/>
    <n v="0"/>
  </r>
  <r>
    <x v="0"/>
    <s v="2025-06-09 14:43:37"/>
    <n v="4"/>
    <x v="12"/>
    <x v="2"/>
    <x v="0"/>
    <n v="1.5834999999999999"/>
    <n v="3E+20"/>
    <n v="1"/>
    <n v="2"/>
    <n v="2"/>
    <n v="0"/>
    <s v="Unnamed Projectsandblastoperato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4"/>
    <x v="13"/>
    <x v="4"/>
    <x v="2"/>
    <n v="0"/>
    <n v="2E+20"/>
    <n v="0"/>
    <n v="0"/>
    <n v="0"/>
    <n v="0"/>
    <s v="Unnamed Projectseize_assembler.QueueNumber WaitingQueue"/>
    <n v="15"/>
    <n v="0"/>
    <n v="0"/>
    <n v="0.95"/>
    <n v="0"/>
    <n v="0"/>
    <n v="0"/>
    <n v="0"/>
  </r>
  <r>
    <x v="0"/>
    <s v="2025-06-09 14:43:37"/>
    <n v="4"/>
    <x v="14"/>
    <x v="4"/>
    <x v="2"/>
    <n v="0"/>
    <n v="2E+20"/>
    <n v="0"/>
    <n v="0"/>
    <n v="0"/>
    <n v="0"/>
    <s v="Unnamed Projectseize_cutter.QueueNumber WaitingQueue"/>
    <n v="15"/>
    <n v="0"/>
    <n v="0"/>
    <n v="0.95"/>
    <n v="0"/>
    <n v="0"/>
    <n v="0"/>
    <n v="0"/>
  </r>
  <r>
    <x v="0"/>
    <s v="2025-06-09 14:43:37"/>
    <n v="4"/>
    <x v="15"/>
    <x v="4"/>
    <x v="2"/>
    <n v="0"/>
    <n v="2E+20"/>
    <n v="0"/>
    <n v="0"/>
    <n v="0"/>
    <n v="0"/>
    <s v="Unnamed Projectseizeassemblyqcman.QueueNumber WaitingQueue"/>
    <n v="15"/>
    <n v="0"/>
    <n v="0"/>
    <n v="0.95"/>
    <n v="0"/>
    <n v="0"/>
    <n v="0"/>
    <n v="0"/>
  </r>
  <r>
    <x v="0"/>
    <s v="2025-06-09 14:43:37"/>
    <n v="4"/>
    <x v="16"/>
    <x v="4"/>
    <x v="2"/>
    <n v="0"/>
    <n v="2E+20"/>
    <n v="0"/>
    <n v="0"/>
    <n v="0"/>
    <n v="0"/>
    <s v="Unnamed Projectseizecleaner.QueueNumber WaitingQueue"/>
    <n v="15"/>
    <n v="0"/>
    <n v="0"/>
    <n v="0.95"/>
    <n v="0"/>
    <n v="0"/>
    <n v="0"/>
    <n v="0"/>
  </r>
  <r>
    <x v="0"/>
    <s v="2025-06-09 14:43:37"/>
    <n v="4"/>
    <x v="17"/>
    <x v="4"/>
    <x v="2"/>
    <n v="0"/>
    <n v="2E+20"/>
    <n v="0"/>
    <n v="0"/>
    <n v="0"/>
    <n v="0"/>
    <s v="Unnamed Projectseizepainter.QueueNumber WaitingQueue"/>
    <n v="15"/>
    <n v="0"/>
    <n v="0"/>
    <n v="0.95"/>
    <n v="0"/>
    <n v="0"/>
    <n v="0"/>
    <n v="0"/>
  </r>
  <r>
    <x v="0"/>
    <s v="2025-06-09 14:43:37"/>
    <n v="4"/>
    <x v="18"/>
    <x v="4"/>
    <x v="2"/>
    <n v="0"/>
    <n v="2E+20"/>
    <n v="0"/>
    <n v="0"/>
    <n v="0"/>
    <n v="0"/>
    <s v="Unnamed Projectseizeqcman.QueueNumber WaitingQueue"/>
    <n v="15"/>
    <n v="0"/>
    <n v="0"/>
    <n v="0.95"/>
    <n v="0"/>
    <n v="0"/>
    <n v="0"/>
    <n v="0"/>
  </r>
  <r>
    <x v="0"/>
    <s v="2025-06-09 14:43:37"/>
    <n v="4"/>
    <x v="19"/>
    <x v="4"/>
    <x v="2"/>
    <n v="0"/>
    <n v="2E+20"/>
    <n v="0"/>
    <n v="0"/>
    <n v="0"/>
    <n v="0"/>
    <s v="Unnamed Projectseizesandblaster.QueueNumber WaitingQueue"/>
    <n v="15"/>
    <n v="0"/>
    <n v="0"/>
    <n v="0.95"/>
    <n v="0"/>
    <n v="0"/>
    <n v="0"/>
    <n v="0"/>
  </r>
  <r>
    <x v="0"/>
    <s v="2025-06-09 14:43:37"/>
    <n v="4"/>
    <x v="20"/>
    <x v="4"/>
    <x v="2"/>
    <n v="0"/>
    <n v="2E+20"/>
    <n v="0"/>
    <n v="0"/>
    <n v="0"/>
    <n v="0"/>
    <s v="Unnamed Projectseizewelder.QueueNumber WaitingQueue"/>
    <n v="15"/>
    <n v="0"/>
    <n v="0"/>
    <n v="0.95"/>
    <n v="0"/>
    <n v="0"/>
    <n v="0"/>
    <n v="0"/>
  </r>
  <r>
    <x v="0"/>
    <s v="2025-06-09 14:43:37"/>
    <n v="4"/>
    <x v="21"/>
    <x v="3"/>
    <x v="1"/>
    <n v="10"/>
    <n v="2E+20"/>
    <n v="10"/>
    <n v="10"/>
    <n v="10"/>
    <n v="0"/>
    <s v="Unnamed ProjectsteelsheetWIPEntity"/>
    <n v="15"/>
    <n v="6.1333333333333337"/>
    <n v="5.3166405433005028"/>
    <n v="0.95"/>
    <n v="2.944257396015229"/>
    <n v="0"/>
    <n v="16"/>
    <n v="2.944257396015229"/>
  </r>
  <r>
    <x v="0"/>
    <s v="2025-06-09 14:43:37"/>
    <n v="4"/>
    <x v="22"/>
    <x v="0"/>
    <x v="0"/>
    <n v="0"/>
    <n v="2E+20"/>
    <n v="0"/>
    <n v="0"/>
    <n v="0"/>
    <n v="0"/>
    <s v="Unnamed ProjectwelderInstantaneous UtilizationResource"/>
    <n v="15"/>
    <n v="0"/>
    <n v="0"/>
    <n v="0.95"/>
    <n v="0"/>
    <n v="0"/>
    <n v="0"/>
    <n v="0"/>
  </r>
  <r>
    <x v="0"/>
    <s v="2025-06-09 14:43:37"/>
    <n v="4"/>
    <x v="22"/>
    <x v="1"/>
    <x v="0"/>
    <n v="0"/>
    <n v="2E+20"/>
    <n v="0"/>
    <n v="0"/>
    <n v="0"/>
    <n v="0"/>
    <s v="Unnamed ProjectwelderNumber BusyResource"/>
    <n v="15"/>
    <n v="0"/>
    <n v="0"/>
    <n v="0.95"/>
    <n v="0"/>
    <n v="0"/>
    <n v="0"/>
    <n v="0"/>
  </r>
  <r>
    <x v="0"/>
    <s v="2025-06-09 14:43:37"/>
    <n v="4"/>
    <x v="22"/>
    <x v="2"/>
    <x v="0"/>
    <n v="1.5834999999999999"/>
    <n v="3E+20"/>
    <n v="1"/>
    <n v="2"/>
    <n v="2"/>
    <n v="0"/>
    <s v="Unnamed ProjectwelderNumber ScheduledResource"/>
    <n v="15"/>
    <n v="1.5334531146777051"/>
    <n v="0.24154952363702747"/>
    <n v="0.95"/>
    <n v="0.13376566756397254"/>
    <n v="1"/>
    <n v="2"/>
    <n v="0.13376566756397254"/>
  </r>
  <r>
    <x v="0"/>
    <s v="2025-06-09 14:43:37"/>
    <n v="4"/>
    <x v="23"/>
    <x v="0"/>
    <x v="0"/>
    <n v="0"/>
    <n v="2E+20"/>
    <n v="0"/>
    <n v="0"/>
    <n v="0"/>
    <n v="0"/>
    <s v="Unnamed ProjectweldingqcworkerInstantaneous UtilizationResource"/>
    <n v="15"/>
    <n v="0"/>
    <n v="0"/>
    <n v="0.95"/>
    <n v="0"/>
    <n v="0"/>
    <n v="0"/>
    <n v="0"/>
  </r>
  <r>
    <x v="0"/>
    <s v="2025-06-09 14:43:37"/>
    <n v="4"/>
    <x v="23"/>
    <x v="1"/>
    <x v="0"/>
    <n v="0"/>
    <n v="2E+20"/>
    <n v="0"/>
    <n v="0"/>
    <n v="0"/>
    <n v="0"/>
    <s v="Unnamed ProjectweldingqcworkerNumber BusyResource"/>
    <n v="15"/>
    <n v="0"/>
    <n v="0"/>
    <n v="0.95"/>
    <n v="0"/>
    <n v="0"/>
    <n v="0"/>
    <n v="0"/>
  </r>
  <r>
    <x v="0"/>
    <s v="2025-06-09 14:43:37"/>
    <n v="4"/>
    <x v="23"/>
    <x v="2"/>
    <x v="0"/>
    <n v="1.5834999999999999"/>
    <n v="3E+20"/>
    <n v="1"/>
    <n v="2"/>
    <n v="2"/>
    <n v="0"/>
    <s v="Unnamed ProjectweldingqcworkerNumber ScheduledResource"/>
    <n v="15"/>
    <n v="1.5334635492504263"/>
    <n v="0.24155183649982462"/>
    <n v="0.95"/>
    <n v="0.1337669483846978"/>
    <n v="1"/>
    <n v="2"/>
    <n v="0.1337669483846978"/>
  </r>
  <r>
    <x v="0"/>
    <s v="2025-06-09 14:43:37"/>
    <n v="5"/>
    <x v="0"/>
    <x v="0"/>
    <x v="0"/>
    <n v="0"/>
    <n v="2E+20"/>
    <n v="0"/>
    <n v="0"/>
    <n v="0"/>
    <n v="0"/>
    <s v="Unnamed ProjectassemblerInstantaneous UtilizationResource"/>
    <n v="15"/>
    <n v="0"/>
    <n v="0"/>
    <n v="0.95"/>
    <n v="0"/>
    <n v="0"/>
    <n v="0"/>
    <n v="0"/>
  </r>
  <r>
    <x v="0"/>
    <s v="2025-06-09 14:43:37"/>
    <n v="5"/>
    <x v="0"/>
    <x v="1"/>
    <x v="0"/>
    <n v="0"/>
    <n v="2E+20"/>
    <n v="0"/>
    <n v="0"/>
    <n v="0"/>
    <n v="0"/>
    <s v="Unnamed ProjectassemblerNumber BusyResource"/>
    <n v="15"/>
    <n v="0"/>
    <n v="0"/>
    <n v="0.95"/>
    <n v="0"/>
    <n v="0"/>
    <n v="0"/>
    <n v="0"/>
  </r>
  <r>
    <x v="0"/>
    <s v="2025-06-09 14:43:37"/>
    <n v="5"/>
    <x v="0"/>
    <x v="2"/>
    <x v="0"/>
    <n v="1.58282619651346"/>
    <n v="3E+20"/>
    <n v="1"/>
    <n v="2"/>
    <n v="1"/>
    <n v="0"/>
    <s v="Unnamed ProjectassemblerNumber ScheduledResource"/>
    <n v="15"/>
    <n v="1.5333142680768803"/>
    <n v="0.24151891999367611"/>
    <n v="0.95"/>
    <n v="0.13374871983117992"/>
    <n v="1"/>
    <n v="2"/>
    <n v="0.13374871983117992"/>
  </r>
  <r>
    <x v="0"/>
    <s v="2025-06-09 14:43:37"/>
    <n v="5"/>
    <x v="1"/>
    <x v="0"/>
    <x v="0"/>
    <n v="0"/>
    <n v="2E+20"/>
    <n v="0"/>
    <n v="0"/>
    <n v="0"/>
    <n v="0"/>
    <s v="Unnamed ProjectassemblyqcworkerInstantaneous UtilizationResource"/>
    <n v="15"/>
    <n v="0"/>
    <n v="0"/>
    <n v="0.95"/>
    <n v="0"/>
    <n v="0"/>
    <n v="0"/>
    <n v="0"/>
  </r>
  <r>
    <x v="0"/>
    <s v="2025-06-09 14:43:37"/>
    <n v="5"/>
    <x v="1"/>
    <x v="1"/>
    <x v="0"/>
    <n v="0"/>
    <n v="2E+20"/>
    <n v="0"/>
    <n v="0"/>
    <n v="0"/>
    <n v="0"/>
    <s v="Unnamed ProjectassemblyqcworkerNumber BusyResource"/>
    <n v="15"/>
    <n v="0"/>
    <n v="0"/>
    <n v="0.95"/>
    <n v="0"/>
    <n v="0"/>
    <n v="0"/>
    <n v="0"/>
  </r>
  <r>
    <x v="0"/>
    <s v="2025-06-09 14:43:37"/>
    <n v="5"/>
    <x v="1"/>
    <x v="2"/>
    <x v="0"/>
    <n v="1.5834999999999999"/>
    <n v="3E+20"/>
    <n v="1"/>
    <n v="2"/>
    <n v="2"/>
    <n v="0"/>
    <s v="Unnamed Projectassemblyqcworke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5"/>
    <x v="2"/>
    <x v="3"/>
    <x v="1"/>
    <n v="0"/>
    <n v="2E+20"/>
    <n v="0"/>
    <n v="0"/>
    <n v="0"/>
    <n v="0"/>
    <s v="Unnamed Projectbatched_partsWIPEntity"/>
    <n v="15"/>
    <n v="0"/>
    <n v="0"/>
    <n v="0.95"/>
    <n v="0"/>
    <n v="0"/>
    <n v="0"/>
    <n v="0"/>
  </r>
  <r>
    <x v="0"/>
    <s v="2025-06-09 14:43:37"/>
    <n v="5"/>
    <x v="3"/>
    <x v="0"/>
    <x v="0"/>
    <n v="0"/>
    <n v="2E+20"/>
    <n v="0"/>
    <n v="0"/>
    <n v="0"/>
    <n v="0"/>
    <s v="Unnamed ProjectcleanerInstantaneous UtilizationResource"/>
    <n v="15"/>
    <n v="0"/>
    <n v="0"/>
    <n v="0.95"/>
    <n v="0"/>
    <n v="0"/>
    <n v="0"/>
    <n v="0"/>
  </r>
  <r>
    <x v="0"/>
    <s v="2025-06-09 14:43:37"/>
    <n v="5"/>
    <x v="3"/>
    <x v="1"/>
    <x v="0"/>
    <n v="0"/>
    <n v="2E+20"/>
    <n v="0"/>
    <n v="0"/>
    <n v="0"/>
    <n v="0"/>
    <s v="Unnamed ProjectcleanerNumber BusyResource"/>
    <n v="15"/>
    <n v="0"/>
    <n v="0"/>
    <n v="0.95"/>
    <n v="0"/>
    <n v="0"/>
    <n v="0"/>
    <n v="0"/>
  </r>
  <r>
    <x v="0"/>
    <s v="2025-06-09 14:43:37"/>
    <n v="5"/>
    <x v="3"/>
    <x v="2"/>
    <x v="0"/>
    <n v="1.58328091607428"/>
    <n v="3E+20"/>
    <n v="1"/>
    <n v="2"/>
    <n v="2"/>
    <n v="0"/>
    <s v="Unnamed ProjectcleanerNumber ScheduledResource"/>
    <n v="15"/>
    <n v="1.5334471868881776"/>
    <n v="0.24154821158553658"/>
    <n v="0.95"/>
    <n v="0.13376494097407529"/>
    <n v="1"/>
    <n v="2"/>
    <n v="0.13376494097407529"/>
  </r>
  <r>
    <x v="0"/>
    <s v="2025-06-09 14:43:37"/>
    <n v="5"/>
    <x v="4"/>
    <x v="0"/>
    <x v="0"/>
    <n v="0"/>
    <n v="2E+20"/>
    <n v="0"/>
    <n v="0"/>
    <n v="0"/>
    <n v="0"/>
    <s v="Unnamed ProjectcutterInstantaneous UtilizationResource"/>
    <n v="15"/>
    <n v="0"/>
    <n v="0"/>
    <n v="0.95"/>
    <n v="0"/>
    <n v="0"/>
    <n v="0"/>
    <n v="0"/>
  </r>
  <r>
    <x v="0"/>
    <s v="2025-06-09 14:43:37"/>
    <n v="5"/>
    <x v="4"/>
    <x v="1"/>
    <x v="0"/>
    <n v="0"/>
    <n v="2E+20"/>
    <n v="0"/>
    <n v="0"/>
    <n v="0"/>
    <n v="0"/>
    <s v="Unnamed ProjectcutterNumber BusyResource"/>
    <n v="15"/>
    <n v="0"/>
    <n v="0"/>
    <n v="0.95"/>
    <n v="0"/>
    <n v="0"/>
    <n v="0"/>
    <n v="0"/>
  </r>
  <r>
    <x v="0"/>
    <s v="2025-06-09 14:43:37"/>
    <n v="5"/>
    <x v="4"/>
    <x v="2"/>
    <x v="0"/>
    <n v="1.583375"/>
    <n v="3E+20"/>
    <n v="1"/>
    <n v="2"/>
    <n v="2"/>
    <n v="0"/>
    <s v="Unnamed ProjectcutterNumber ScheduledResource"/>
    <n v="15"/>
    <n v="1.5332999999999999"/>
    <n v="0.24151556349584294"/>
    <n v="0.95"/>
    <n v="0.1337468610646356"/>
    <n v="1"/>
    <n v="2"/>
    <n v="0.1337468610646356"/>
  </r>
  <r>
    <x v="0"/>
    <s v="2025-06-09 14:43:37"/>
    <n v="5"/>
    <x v="5"/>
    <x v="0"/>
    <x v="0"/>
    <n v="0"/>
    <n v="2E+20"/>
    <n v="0"/>
    <n v="0"/>
    <n v="0"/>
    <n v="0"/>
    <s v="Unnamed ProjectfinalqcmanInstantaneous UtilizationResource"/>
    <n v="15"/>
    <n v="0"/>
    <n v="0"/>
    <n v="0.95"/>
    <n v="0"/>
    <n v="0"/>
    <n v="0"/>
    <n v="0"/>
  </r>
  <r>
    <x v="0"/>
    <s v="2025-06-09 14:43:37"/>
    <n v="5"/>
    <x v="5"/>
    <x v="1"/>
    <x v="0"/>
    <n v="0"/>
    <n v="2E+20"/>
    <n v="0"/>
    <n v="0"/>
    <n v="0"/>
    <n v="0"/>
    <s v="Unnamed ProjectfinalqcmanNumber BusyResource"/>
    <n v="15"/>
    <n v="0"/>
    <n v="0"/>
    <n v="0.95"/>
    <n v="0"/>
    <n v="0"/>
    <n v="0"/>
    <n v="0"/>
  </r>
  <r>
    <x v="0"/>
    <s v="2025-06-09 14:43:37"/>
    <n v="5"/>
    <x v="5"/>
    <x v="2"/>
    <x v="0"/>
    <n v="1.5834999999999999"/>
    <n v="3E+20"/>
    <n v="1"/>
    <n v="2"/>
    <n v="2"/>
    <n v="0"/>
    <s v="Unnamed ProjectfinalqcmanNumber ScheduledResource"/>
    <n v="15"/>
    <n v="1.5334510661643974"/>
    <n v="0.24154906725932371"/>
    <n v="0.95"/>
    <n v="0.13376541483042423"/>
    <n v="1"/>
    <n v="2"/>
    <n v="0.13376541483042423"/>
  </r>
  <r>
    <x v="0"/>
    <s v="2025-06-09 14:43:37"/>
    <n v="5"/>
    <x v="6"/>
    <x v="4"/>
    <x v="2"/>
    <n v="0"/>
    <n v="2E+20"/>
    <n v="0"/>
    <n v="0"/>
    <n v="0"/>
    <n v="0"/>
    <s v="Unnamed Projectinspectorseize.QueueNumber WaitingQueue"/>
    <n v="15"/>
    <n v="0"/>
    <n v="0"/>
    <n v="0.95"/>
    <n v="0"/>
    <n v="0"/>
    <n v="0"/>
    <n v="0"/>
  </r>
  <r>
    <x v="0"/>
    <s v="2025-06-09 14:43:37"/>
    <n v="5"/>
    <x v="7"/>
    <x v="4"/>
    <x v="2"/>
    <n v="0"/>
    <n v="2E+20"/>
    <n v="0"/>
    <n v="0"/>
    <n v="0"/>
    <n v="0"/>
    <s v="Unnamed Projectmatch_truckcombo.Queue1Number WaitingQueue"/>
    <n v="15"/>
    <n v="3.3333333333333335"/>
    <n v="4.577377082170635"/>
    <n v="0.95"/>
    <n v="2.5348669368881507"/>
    <n v="0"/>
    <n v="12"/>
    <n v="2.5348669368881507"/>
  </r>
  <r>
    <x v="0"/>
    <s v="2025-06-09 14:43:37"/>
    <n v="5"/>
    <x v="8"/>
    <x v="4"/>
    <x v="2"/>
    <n v="14"/>
    <n v="2E+20"/>
    <n v="14"/>
    <n v="14"/>
    <n v="14"/>
    <n v="0"/>
    <s v="Unnamed Projectmatch_truckcombo.Queue2Number WaitingQueue"/>
    <n v="15"/>
    <n v="2.8"/>
    <n v="5.226307081896902"/>
    <n v="0.95"/>
    <n v="2.8942323925042523"/>
    <n v="0"/>
    <n v="16"/>
    <n v="2.8942323925042523"/>
  </r>
  <r>
    <x v="0"/>
    <s v="2025-06-09 14:43:37"/>
    <n v="5"/>
    <x v="9"/>
    <x v="0"/>
    <x v="0"/>
    <n v="0"/>
    <n v="2E+20"/>
    <n v="0"/>
    <n v="0"/>
    <n v="0"/>
    <n v="0"/>
    <s v="Unnamed ProjectpaintingmachineInstantaneous UtilizationResource"/>
    <n v="15"/>
    <n v="0"/>
    <n v="0"/>
    <n v="0.95"/>
    <n v="0"/>
    <n v="0"/>
    <n v="0"/>
    <n v="0"/>
  </r>
  <r>
    <x v="0"/>
    <s v="2025-06-09 14:43:37"/>
    <n v="5"/>
    <x v="9"/>
    <x v="1"/>
    <x v="0"/>
    <n v="0"/>
    <n v="2E+20"/>
    <n v="0"/>
    <n v="0"/>
    <n v="0"/>
    <n v="0"/>
    <s v="Unnamed ProjectpaintingmachineNumber BusyResource"/>
    <n v="15"/>
    <n v="0"/>
    <n v="0"/>
    <n v="0.95"/>
    <n v="0"/>
    <n v="0"/>
    <n v="0"/>
    <n v="0"/>
  </r>
  <r>
    <x v="0"/>
    <s v="2025-06-09 14:43:37"/>
    <n v="5"/>
    <x v="9"/>
    <x v="2"/>
    <x v="0"/>
    <n v="1"/>
    <n v="2E+20"/>
    <n v="1"/>
    <n v="1"/>
    <n v="1"/>
    <n v="0"/>
    <s v="Unnamed ProjectpaintingmachineNumber ScheduledResource"/>
    <n v="15"/>
    <n v="1"/>
    <n v="0"/>
    <n v="0.95"/>
    <n v="0"/>
    <n v="1"/>
    <n v="1"/>
    <n v="0"/>
  </r>
  <r>
    <x v="0"/>
    <s v="2025-06-09 14:43:37"/>
    <n v="5"/>
    <x v="10"/>
    <x v="0"/>
    <x v="0"/>
    <n v="0"/>
    <n v="2E+20"/>
    <n v="0"/>
    <n v="0"/>
    <n v="0"/>
    <n v="0"/>
    <s v="Unnamed ProjectpaintingoperatorInstantaneous UtilizationResource"/>
    <n v="15"/>
    <n v="0"/>
    <n v="0"/>
    <n v="0.95"/>
    <n v="0"/>
    <n v="0"/>
    <n v="0"/>
    <n v="0"/>
  </r>
  <r>
    <x v="0"/>
    <s v="2025-06-09 14:43:37"/>
    <n v="5"/>
    <x v="10"/>
    <x v="1"/>
    <x v="0"/>
    <n v="0"/>
    <n v="2E+20"/>
    <n v="0"/>
    <n v="0"/>
    <n v="0"/>
    <n v="0"/>
    <s v="Unnamed ProjectpaintingoperatorNumber BusyResource"/>
    <n v="15"/>
    <n v="0"/>
    <n v="0"/>
    <n v="0.95"/>
    <n v="0"/>
    <n v="0"/>
    <n v="0"/>
    <n v="0"/>
  </r>
  <r>
    <x v="0"/>
    <s v="2025-06-09 14:43:37"/>
    <n v="5"/>
    <x v="10"/>
    <x v="2"/>
    <x v="0"/>
    <n v="1.5834999999999999"/>
    <n v="3E+20"/>
    <n v="1"/>
    <n v="2"/>
    <n v="2"/>
    <n v="0"/>
    <s v="Unnamed Projectpaintingoperato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5"/>
    <x v="11"/>
    <x v="0"/>
    <x v="0"/>
    <n v="0"/>
    <n v="2E+20"/>
    <n v="0"/>
    <n v="0"/>
    <n v="0"/>
    <n v="0"/>
    <s v="Unnamed ProjectsandblastmachineInstantaneous UtilizationResource"/>
    <n v="15"/>
    <n v="0"/>
    <n v="0"/>
    <n v="0.95"/>
    <n v="0"/>
    <n v="0"/>
    <n v="0"/>
    <n v="0"/>
  </r>
  <r>
    <x v="0"/>
    <s v="2025-06-09 14:43:37"/>
    <n v="5"/>
    <x v="11"/>
    <x v="1"/>
    <x v="0"/>
    <n v="0"/>
    <n v="2E+20"/>
    <n v="0"/>
    <n v="0"/>
    <n v="0"/>
    <n v="0"/>
    <s v="Unnamed ProjectsandblastmachineNumber BusyResource"/>
    <n v="15"/>
    <n v="0"/>
    <n v="0"/>
    <n v="0.95"/>
    <n v="0"/>
    <n v="0"/>
    <n v="0"/>
    <n v="0"/>
  </r>
  <r>
    <x v="0"/>
    <s v="2025-06-09 14:43:37"/>
    <n v="5"/>
    <x v="11"/>
    <x v="2"/>
    <x v="0"/>
    <n v="1"/>
    <n v="2E+20"/>
    <n v="1"/>
    <n v="1"/>
    <n v="1"/>
    <n v="0"/>
    <s v="Unnamed ProjectsandblastmachineNumber ScheduledResource"/>
    <n v="15"/>
    <n v="1"/>
    <n v="0"/>
    <n v="0.95"/>
    <n v="0"/>
    <n v="1"/>
    <n v="1"/>
    <n v="0"/>
  </r>
  <r>
    <x v="0"/>
    <s v="2025-06-09 14:43:37"/>
    <n v="5"/>
    <x v="12"/>
    <x v="0"/>
    <x v="0"/>
    <n v="0"/>
    <n v="2E+20"/>
    <n v="0"/>
    <n v="0"/>
    <n v="0"/>
    <n v="0"/>
    <s v="Unnamed ProjectsandblastoperatorInstantaneous UtilizationResource"/>
    <n v="15"/>
    <n v="0"/>
    <n v="0"/>
    <n v="0.95"/>
    <n v="0"/>
    <n v="0"/>
    <n v="0"/>
    <n v="0"/>
  </r>
  <r>
    <x v="0"/>
    <s v="2025-06-09 14:43:37"/>
    <n v="5"/>
    <x v="12"/>
    <x v="1"/>
    <x v="0"/>
    <n v="0"/>
    <n v="2E+20"/>
    <n v="0"/>
    <n v="0"/>
    <n v="0"/>
    <n v="0"/>
    <s v="Unnamed ProjectsandblastoperatorNumber BusyResource"/>
    <n v="15"/>
    <n v="0"/>
    <n v="0"/>
    <n v="0.95"/>
    <n v="0"/>
    <n v="0"/>
    <n v="0"/>
    <n v="0"/>
  </r>
  <r>
    <x v="0"/>
    <s v="2025-06-09 14:43:37"/>
    <n v="5"/>
    <x v="12"/>
    <x v="2"/>
    <x v="0"/>
    <n v="1.5834999999999999"/>
    <n v="3E+20"/>
    <n v="1"/>
    <n v="2"/>
    <n v="2"/>
    <n v="0"/>
    <s v="Unnamed Projectsandblastoperato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5"/>
    <x v="13"/>
    <x v="4"/>
    <x v="2"/>
    <n v="0"/>
    <n v="2E+20"/>
    <n v="0"/>
    <n v="0"/>
    <n v="0"/>
    <n v="0"/>
    <s v="Unnamed Projectseize_assembler.QueueNumber WaitingQueue"/>
    <n v="15"/>
    <n v="0"/>
    <n v="0"/>
    <n v="0.95"/>
    <n v="0"/>
    <n v="0"/>
    <n v="0"/>
    <n v="0"/>
  </r>
  <r>
    <x v="0"/>
    <s v="2025-06-09 14:43:37"/>
    <n v="5"/>
    <x v="14"/>
    <x v="4"/>
    <x v="2"/>
    <n v="0"/>
    <n v="2E+20"/>
    <n v="0"/>
    <n v="0"/>
    <n v="0"/>
    <n v="0"/>
    <s v="Unnamed Projectseize_cutter.QueueNumber WaitingQueue"/>
    <n v="15"/>
    <n v="0"/>
    <n v="0"/>
    <n v="0.95"/>
    <n v="0"/>
    <n v="0"/>
    <n v="0"/>
    <n v="0"/>
  </r>
  <r>
    <x v="0"/>
    <s v="2025-06-09 14:43:37"/>
    <n v="5"/>
    <x v="15"/>
    <x v="4"/>
    <x v="2"/>
    <n v="0"/>
    <n v="2E+20"/>
    <n v="0"/>
    <n v="0"/>
    <n v="0"/>
    <n v="0"/>
    <s v="Unnamed Projectseizeassemblyqcman.QueueNumber WaitingQueue"/>
    <n v="15"/>
    <n v="0"/>
    <n v="0"/>
    <n v="0.95"/>
    <n v="0"/>
    <n v="0"/>
    <n v="0"/>
    <n v="0"/>
  </r>
  <r>
    <x v="0"/>
    <s v="2025-06-09 14:43:37"/>
    <n v="5"/>
    <x v="16"/>
    <x v="4"/>
    <x v="2"/>
    <n v="0"/>
    <n v="2E+20"/>
    <n v="0"/>
    <n v="0"/>
    <n v="0"/>
    <n v="0"/>
    <s v="Unnamed Projectseizecleaner.QueueNumber WaitingQueue"/>
    <n v="15"/>
    <n v="0"/>
    <n v="0"/>
    <n v="0.95"/>
    <n v="0"/>
    <n v="0"/>
    <n v="0"/>
    <n v="0"/>
  </r>
  <r>
    <x v="0"/>
    <s v="2025-06-09 14:43:37"/>
    <n v="5"/>
    <x v="17"/>
    <x v="4"/>
    <x v="2"/>
    <n v="0"/>
    <n v="2E+20"/>
    <n v="0"/>
    <n v="0"/>
    <n v="0"/>
    <n v="0"/>
    <s v="Unnamed Projectseizepainter.QueueNumber WaitingQueue"/>
    <n v="15"/>
    <n v="0"/>
    <n v="0"/>
    <n v="0.95"/>
    <n v="0"/>
    <n v="0"/>
    <n v="0"/>
    <n v="0"/>
  </r>
  <r>
    <x v="0"/>
    <s v="2025-06-09 14:43:37"/>
    <n v="5"/>
    <x v="18"/>
    <x v="4"/>
    <x v="2"/>
    <n v="0"/>
    <n v="2E+20"/>
    <n v="0"/>
    <n v="0"/>
    <n v="0"/>
    <n v="0"/>
    <s v="Unnamed Projectseizeqcman.QueueNumber WaitingQueue"/>
    <n v="15"/>
    <n v="0"/>
    <n v="0"/>
    <n v="0.95"/>
    <n v="0"/>
    <n v="0"/>
    <n v="0"/>
    <n v="0"/>
  </r>
  <r>
    <x v="0"/>
    <s v="2025-06-09 14:43:37"/>
    <n v="5"/>
    <x v="19"/>
    <x v="4"/>
    <x v="2"/>
    <n v="0"/>
    <n v="2E+20"/>
    <n v="0"/>
    <n v="0"/>
    <n v="0"/>
    <n v="0"/>
    <s v="Unnamed Projectseizesandblaster.QueueNumber WaitingQueue"/>
    <n v="15"/>
    <n v="0"/>
    <n v="0"/>
    <n v="0.95"/>
    <n v="0"/>
    <n v="0"/>
    <n v="0"/>
    <n v="0"/>
  </r>
  <r>
    <x v="0"/>
    <s v="2025-06-09 14:43:37"/>
    <n v="5"/>
    <x v="20"/>
    <x v="4"/>
    <x v="2"/>
    <n v="0"/>
    <n v="2E+20"/>
    <n v="0"/>
    <n v="0"/>
    <n v="0"/>
    <n v="0"/>
    <s v="Unnamed Projectseizewelder.QueueNumber WaitingQueue"/>
    <n v="15"/>
    <n v="0"/>
    <n v="0"/>
    <n v="0.95"/>
    <n v="0"/>
    <n v="0"/>
    <n v="0"/>
    <n v="0"/>
  </r>
  <r>
    <x v="0"/>
    <s v="2025-06-09 14:43:37"/>
    <n v="5"/>
    <x v="21"/>
    <x v="3"/>
    <x v="1"/>
    <n v="14"/>
    <n v="2E+20"/>
    <n v="14"/>
    <n v="14"/>
    <n v="14"/>
    <n v="0"/>
    <s v="Unnamed ProjectsteelsheetWIPEntity"/>
    <n v="15"/>
    <n v="6.1333333333333337"/>
    <n v="5.3166405433005028"/>
    <n v="0.95"/>
    <n v="2.944257396015229"/>
    <n v="0"/>
    <n v="16"/>
    <n v="2.944257396015229"/>
  </r>
  <r>
    <x v="0"/>
    <s v="2025-06-09 14:43:37"/>
    <n v="5"/>
    <x v="22"/>
    <x v="0"/>
    <x v="0"/>
    <n v="0"/>
    <n v="2E+20"/>
    <n v="0"/>
    <n v="0"/>
    <n v="0"/>
    <n v="0"/>
    <s v="Unnamed ProjectwelderInstantaneous UtilizationResource"/>
    <n v="15"/>
    <n v="0"/>
    <n v="0"/>
    <n v="0.95"/>
    <n v="0"/>
    <n v="0"/>
    <n v="0"/>
    <n v="0"/>
  </r>
  <r>
    <x v="0"/>
    <s v="2025-06-09 14:43:37"/>
    <n v="5"/>
    <x v="22"/>
    <x v="1"/>
    <x v="0"/>
    <n v="0"/>
    <n v="2E+20"/>
    <n v="0"/>
    <n v="0"/>
    <n v="0"/>
    <n v="0"/>
    <s v="Unnamed ProjectwelderNumber BusyResource"/>
    <n v="15"/>
    <n v="0"/>
    <n v="0"/>
    <n v="0.95"/>
    <n v="0"/>
    <n v="0"/>
    <n v="0"/>
    <n v="0"/>
  </r>
  <r>
    <x v="0"/>
    <s v="2025-06-09 14:43:37"/>
    <n v="5"/>
    <x v="22"/>
    <x v="2"/>
    <x v="0"/>
    <n v="1.5834999999999999"/>
    <n v="3E+20"/>
    <n v="1"/>
    <n v="2"/>
    <n v="2"/>
    <n v="0"/>
    <s v="Unnamed ProjectwelderNumber ScheduledResource"/>
    <n v="15"/>
    <n v="1.5334531146777051"/>
    <n v="0.24154952363702747"/>
    <n v="0.95"/>
    <n v="0.13376566756397254"/>
    <n v="1"/>
    <n v="2"/>
    <n v="0.13376566756397254"/>
  </r>
  <r>
    <x v="0"/>
    <s v="2025-06-09 14:43:37"/>
    <n v="5"/>
    <x v="23"/>
    <x v="0"/>
    <x v="0"/>
    <n v="0"/>
    <n v="2E+20"/>
    <n v="0"/>
    <n v="0"/>
    <n v="0"/>
    <n v="0"/>
    <s v="Unnamed ProjectweldingqcworkerInstantaneous UtilizationResource"/>
    <n v="15"/>
    <n v="0"/>
    <n v="0"/>
    <n v="0.95"/>
    <n v="0"/>
    <n v="0"/>
    <n v="0"/>
    <n v="0"/>
  </r>
  <r>
    <x v="0"/>
    <s v="2025-06-09 14:43:37"/>
    <n v="5"/>
    <x v="23"/>
    <x v="1"/>
    <x v="0"/>
    <n v="0"/>
    <n v="2E+20"/>
    <n v="0"/>
    <n v="0"/>
    <n v="0"/>
    <n v="0"/>
    <s v="Unnamed ProjectweldingqcworkerNumber BusyResource"/>
    <n v="15"/>
    <n v="0"/>
    <n v="0"/>
    <n v="0.95"/>
    <n v="0"/>
    <n v="0"/>
    <n v="0"/>
    <n v="0"/>
  </r>
  <r>
    <x v="0"/>
    <s v="2025-06-09 14:43:37"/>
    <n v="5"/>
    <x v="23"/>
    <x v="2"/>
    <x v="0"/>
    <n v="1.5834999999999999"/>
    <n v="3E+20"/>
    <n v="1"/>
    <n v="2"/>
    <n v="2"/>
    <n v="0"/>
    <s v="Unnamed ProjectweldingqcworkerNumber ScheduledResource"/>
    <n v="15"/>
    <n v="1.5334635492504263"/>
    <n v="0.24155183649982462"/>
    <n v="0.95"/>
    <n v="0.1337669483846978"/>
    <n v="1"/>
    <n v="2"/>
    <n v="0.1337669483846978"/>
  </r>
  <r>
    <x v="0"/>
    <s v="2025-06-09 14:43:37"/>
    <n v="6"/>
    <x v="0"/>
    <x v="0"/>
    <x v="0"/>
    <n v="0"/>
    <n v="2E+20"/>
    <n v="0"/>
    <n v="0"/>
    <n v="0"/>
    <n v="0"/>
    <s v="Unnamed ProjectassemblerInstantaneous UtilizationResource"/>
    <n v="15"/>
    <n v="0"/>
    <n v="0"/>
    <n v="0.95"/>
    <n v="0"/>
    <n v="0"/>
    <n v="0"/>
    <n v="0"/>
  </r>
  <r>
    <x v="0"/>
    <s v="2025-06-09 14:43:37"/>
    <n v="6"/>
    <x v="0"/>
    <x v="1"/>
    <x v="0"/>
    <n v="0"/>
    <n v="2E+20"/>
    <n v="0"/>
    <n v="0"/>
    <n v="0"/>
    <n v="0"/>
    <s v="Unnamed ProjectassemblerNumber BusyResource"/>
    <n v="15"/>
    <n v="0"/>
    <n v="0"/>
    <n v="0.95"/>
    <n v="0"/>
    <n v="0"/>
    <n v="0"/>
    <n v="0"/>
  </r>
  <r>
    <x v="0"/>
    <s v="2025-06-09 14:43:37"/>
    <n v="6"/>
    <x v="0"/>
    <x v="2"/>
    <x v="0"/>
    <n v="1.5830343829462901"/>
    <n v="3E+20"/>
    <n v="1"/>
    <n v="2"/>
    <n v="2"/>
    <n v="0"/>
    <s v="Unnamed ProjectassemblerNumber ScheduledResource"/>
    <n v="15"/>
    <n v="1.5333142680768803"/>
    <n v="0.24151891999367611"/>
    <n v="0.95"/>
    <n v="0.13374871983117992"/>
    <n v="1"/>
    <n v="2"/>
    <n v="0.13374871983117992"/>
  </r>
  <r>
    <x v="0"/>
    <s v="2025-06-09 14:43:37"/>
    <n v="6"/>
    <x v="1"/>
    <x v="0"/>
    <x v="0"/>
    <n v="0"/>
    <n v="2E+20"/>
    <n v="0"/>
    <n v="0"/>
    <n v="0"/>
    <n v="0"/>
    <s v="Unnamed ProjectassemblyqcworkerInstantaneous UtilizationResource"/>
    <n v="15"/>
    <n v="0"/>
    <n v="0"/>
    <n v="0.95"/>
    <n v="0"/>
    <n v="0"/>
    <n v="0"/>
    <n v="0"/>
  </r>
  <r>
    <x v="0"/>
    <s v="2025-06-09 14:43:37"/>
    <n v="6"/>
    <x v="1"/>
    <x v="1"/>
    <x v="0"/>
    <n v="0"/>
    <n v="2E+20"/>
    <n v="0"/>
    <n v="0"/>
    <n v="0"/>
    <n v="0"/>
    <s v="Unnamed ProjectassemblyqcworkerNumber BusyResource"/>
    <n v="15"/>
    <n v="0"/>
    <n v="0"/>
    <n v="0.95"/>
    <n v="0"/>
    <n v="0"/>
    <n v="0"/>
    <n v="0"/>
  </r>
  <r>
    <x v="0"/>
    <s v="2025-06-09 14:43:37"/>
    <n v="6"/>
    <x v="1"/>
    <x v="2"/>
    <x v="0"/>
    <n v="1.5834999999999999"/>
    <n v="3E+20"/>
    <n v="1"/>
    <n v="2"/>
    <n v="2"/>
    <n v="0"/>
    <s v="Unnamed Projectassemblyqcworke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6"/>
    <x v="2"/>
    <x v="3"/>
    <x v="1"/>
    <n v="0"/>
    <n v="2E+20"/>
    <n v="0"/>
    <n v="0"/>
    <n v="0"/>
    <n v="0"/>
    <s v="Unnamed Projectbatched_partsWIPEntity"/>
    <n v="15"/>
    <n v="0"/>
    <n v="0"/>
    <n v="0.95"/>
    <n v="0"/>
    <n v="0"/>
    <n v="0"/>
    <n v="0"/>
  </r>
  <r>
    <x v="0"/>
    <s v="2025-06-09 14:43:37"/>
    <n v="6"/>
    <x v="3"/>
    <x v="0"/>
    <x v="0"/>
    <n v="0"/>
    <n v="2E+20"/>
    <n v="0"/>
    <n v="0"/>
    <n v="0"/>
    <n v="0"/>
    <s v="Unnamed ProjectcleanerInstantaneous UtilizationResource"/>
    <n v="15"/>
    <n v="0"/>
    <n v="0"/>
    <n v="0.95"/>
    <n v="0"/>
    <n v="0"/>
    <n v="0"/>
    <n v="0"/>
  </r>
  <r>
    <x v="0"/>
    <s v="2025-06-09 14:43:37"/>
    <n v="6"/>
    <x v="3"/>
    <x v="1"/>
    <x v="0"/>
    <n v="0"/>
    <n v="2E+20"/>
    <n v="0"/>
    <n v="0"/>
    <n v="0"/>
    <n v="0"/>
    <s v="Unnamed ProjectcleanerNumber BusyResource"/>
    <n v="15"/>
    <n v="0"/>
    <n v="0"/>
    <n v="0.95"/>
    <n v="0"/>
    <n v="0"/>
    <n v="0"/>
    <n v="0"/>
  </r>
  <r>
    <x v="0"/>
    <s v="2025-06-09 14:43:37"/>
    <n v="6"/>
    <x v="3"/>
    <x v="2"/>
    <x v="0"/>
    <n v="1.58345576199227"/>
    <n v="3E+20"/>
    <n v="1"/>
    <n v="2"/>
    <n v="2"/>
    <n v="0"/>
    <s v="Unnamed ProjectcleanerNumber ScheduledResource"/>
    <n v="15"/>
    <n v="1.5334471868881776"/>
    <n v="0.24154821158553658"/>
    <n v="0.95"/>
    <n v="0.13376494097407529"/>
    <n v="1"/>
    <n v="2"/>
    <n v="0.13376494097407529"/>
  </r>
  <r>
    <x v="0"/>
    <s v="2025-06-09 14:43:37"/>
    <n v="6"/>
    <x v="4"/>
    <x v="0"/>
    <x v="0"/>
    <n v="0"/>
    <n v="2E+20"/>
    <n v="0"/>
    <n v="0"/>
    <n v="0"/>
    <n v="0"/>
    <s v="Unnamed ProjectcutterInstantaneous UtilizationResource"/>
    <n v="15"/>
    <n v="0"/>
    <n v="0"/>
    <n v="0.95"/>
    <n v="0"/>
    <n v="0"/>
    <n v="0"/>
    <n v="0"/>
  </r>
  <r>
    <x v="0"/>
    <s v="2025-06-09 14:43:37"/>
    <n v="6"/>
    <x v="4"/>
    <x v="1"/>
    <x v="0"/>
    <n v="0"/>
    <n v="2E+20"/>
    <n v="0"/>
    <n v="0"/>
    <n v="0"/>
    <n v="0"/>
    <s v="Unnamed ProjectcutterNumber BusyResource"/>
    <n v="15"/>
    <n v="0"/>
    <n v="0"/>
    <n v="0.95"/>
    <n v="0"/>
    <n v="0"/>
    <n v="0"/>
    <n v="0"/>
  </r>
  <r>
    <x v="0"/>
    <s v="2025-06-09 14:43:37"/>
    <n v="6"/>
    <x v="4"/>
    <x v="2"/>
    <x v="0"/>
    <n v="1.58325"/>
    <n v="3E+20"/>
    <n v="1"/>
    <n v="2"/>
    <n v="2"/>
    <n v="0"/>
    <s v="Unnamed ProjectcutterNumber ScheduledResource"/>
    <n v="15"/>
    <n v="1.5332999999999999"/>
    <n v="0.24151556349584294"/>
    <n v="0.95"/>
    <n v="0.1337468610646356"/>
    <n v="1"/>
    <n v="2"/>
    <n v="0.1337468610646356"/>
  </r>
  <r>
    <x v="0"/>
    <s v="2025-06-09 14:43:37"/>
    <n v="6"/>
    <x v="5"/>
    <x v="0"/>
    <x v="0"/>
    <n v="0"/>
    <n v="2E+20"/>
    <n v="0"/>
    <n v="0"/>
    <n v="0"/>
    <n v="0"/>
    <s v="Unnamed ProjectfinalqcmanInstantaneous UtilizationResource"/>
    <n v="15"/>
    <n v="0"/>
    <n v="0"/>
    <n v="0.95"/>
    <n v="0"/>
    <n v="0"/>
    <n v="0"/>
    <n v="0"/>
  </r>
  <r>
    <x v="0"/>
    <s v="2025-06-09 14:43:37"/>
    <n v="6"/>
    <x v="5"/>
    <x v="1"/>
    <x v="0"/>
    <n v="0"/>
    <n v="2E+20"/>
    <n v="0"/>
    <n v="0"/>
    <n v="0"/>
    <n v="0"/>
    <s v="Unnamed ProjectfinalqcmanNumber BusyResource"/>
    <n v="15"/>
    <n v="0"/>
    <n v="0"/>
    <n v="0.95"/>
    <n v="0"/>
    <n v="0"/>
    <n v="0"/>
    <n v="0"/>
  </r>
  <r>
    <x v="0"/>
    <s v="2025-06-09 14:43:37"/>
    <n v="6"/>
    <x v="5"/>
    <x v="2"/>
    <x v="0"/>
    <n v="1.5834999999999999"/>
    <n v="3E+20"/>
    <n v="1"/>
    <n v="2"/>
    <n v="2"/>
    <n v="0"/>
    <s v="Unnamed ProjectfinalqcmanNumber ScheduledResource"/>
    <n v="15"/>
    <n v="1.5334510661643974"/>
    <n v="0.24154906725932371"/>
    <n v="0.95"/>
    <n v="0.13376541483042423"/>
    <n v="1"/>
    <n v="2"/>
    <n v="0.13376541483042423"/>
  </r>
  <r>
    <x v="0"/>
    <s v="2025-06-09 14:43:37"/>
    <n v="6"/>
    <x v="6"/>
    <x v="4"/>
    <x v="2"/>
    <n v="0"/>
    <n v="2E+20"/>
    <n v="0"/>
    <n v="0"/>
    <n v="0"/>
    <n v="0"/>
    <s v="Unnamed Projectinspectorseize.QueueNumber WaitingQueue"/>
    <n v="15"/>
    <n v="0"/>
    <n v="0"/>
    <n v="0.95"/>
    <n v="0"/>
    <n v="0"/>
    <n v="0"/>
    <n v="0"/>
  </r>
  <r>
    <x v="0"/>
    <s v="2025-06-09 14:43:37"/>
    <n v="6"/>
    <x v="7"/>
    <x v="4"/>
    <x v="2"/>
    <n v="6"/>
    <n v="2E+20"/>
    <n v="6"/>
    <n v="6"/>
    <n v="6"/>
    <n v="0"/>
    <s v="Unnamed Projectmatch_truckcombo.Queue1Number WaitingQueue"/>
    <n v="15"/>
    <n v="3.3333333333333335"/>
    <n v="4.577377082170635"/>
    <n v="0.95"/>
    <n v="2.5348669368881507"/>
    <n v="0"/>
    <n v="12"/>
    <n v="2.5348669368881507"/>
  </r>
  <r>
    <x v="0"/>
    <s v="2025-06-09 14:43:37"/>
    <n v="6"/>
    <x v="8"/>
    <x v="4"/>
    <x v="2"/>
    <n v="0"/>
    <n v="2E+20"/>
    <n v="0"/>
    <n v="0"/>
    <n v="0"/>
    <n v="0"/>
    <s v="Unnamed Projectmatch_truckcombo.Queue2Number WaitingQueue"/>
    <n v="15"/>
    <n v="2.8"/>
    <n v="5.226307081896902"/>
    <n v="0.95"/>
    <n v="2.8942323925042523"/>
    <n v="0"/>
    <n v="16"/>
    <n v="2.8942323925042523"/>
  </r>
  <r>
    <x v="0"/>
    <s v="2025-06-09 14:43:37"/>
    <n v="6"/>
    <x v="9"/>
    <x v="0"/>
    <x v="0"/>
    <n v="0"/>
    <n v="2E+20"/>
    <n v="0"/>
    <n v="0"/>
    <n v="0"/>
    <n v="0"/>
    <s v="Unnamed ProjectpaintingmachineInstantaneous UtilizationResource"/>
    <n v="15"/>
    <n v="0"/>
    <n v="0"/>
    <n v="0.95"/>
    <n v="0"/>
    <n v="0"/>
    <n v="0"/>
    <n v="0"/>
  </r>
  <r>
    <x v="0"/>
    <s v="2025-06-09 14:43:37"/>
    <n v="6"/>
    <x v="9"/>
    <x v="1"/>
    <x v="0"/>
    <n v="0"/>
    <n v="2E+20"/>
    <n v="0"/>
    <n v="0"/>
    <n v="0"/>
    <n v="0"/>
    <s v="Unnamed ProjectpaintingmachineNumber BusyResource"/>
    <n v="15"/>
    <n v="0"/>
    <n v="0"/>
    <n v="0.95"/>
    <n v="0"/>
    <n v="0"/>
    <n v="0"/>
    <n v="0"/>
  </r>
  <r>
    <x v="0"/>
    <s v="2025-06-09 14:43:37"/>
    <n v="6"/>
    <x v="9"/>
    <x v="2"/>
    <x v="0"/>
    <n v="1"/>
    <n v="2E+20"/>
    <n v="1"/>
    <n v="1"/>
    <n v="1"/>
    <n v="0"/>
    <s v="Unnamed ProjectpaintingmachineNumber ScheduledResource"/>
    <n v="15"/>
    <n v="1"/>
    <n v="0"/>
    <n v="0.95"/>
    <n v="0"/>
    <n v="1"/>
    <n v="1"/>
    <n v="0"/>
  </r>
  <r>
    <x v="0"/>
    <s v="2025-06-09 14:43:37"/>
    <n v="6"/>
    <x v="10"/>
    <x v="0"/>
    <x v="0"/>
    <n v="0"/>
    <n v="2E+20"/>
    <n v="0"/>
    <n v="0"/>
    <n v="0"/>
    <n v="0"/>
    <s v="Unnamed ProjectpaintingoperatorInstantaneous UtilizationResource"/>
    <n v="15"/>
    <n v="0"/>
    <n v="0"/>
    <n v="0.95"/>
    <n v="0"/>
    <n v="0"/>
    <n v="0"/>
    <n v="0"/>
  </r>
  <r>
    <x v="0"/>
    <s v="2025-06-09 14:43:37"/>
    <n v="6"/>
    <x v="10"/>
    <x v="1"/>
    <x v="0"/>
    <n v="0"/>
    <n v="2E+20"/>
    <n v="0"/>
    <n v="0"/>
    <n v="0"/>
    <n v="0"/>
    <s v="Unnamed ProjectpaintingoperatorNumber BusyResource"/>
    <n v="15"/>
    <n v="0"/>
    <n v="0"/>
    <n v="0.95"/>
    <n v="0"/>
    <n v="0"/>
    <n v="0"/>
    <n v="0"/>
  </r>
  <r>
    <x v="0"/>
    <s v="2025-06-09 14:43:37"/>
    <n v="6"/>
    <x v="10"/>
    <x v="2"/>
    <x v="0"/>
    <n v="1.5834999999999999"/>
    <n v="3E+20"/>
    <n v="1"/>
    <n v="2"/>
    <n v="2"/>
    <n v="0"/>
    <s v="Unnamed Projectpaintingoperato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6"/>
    <x v="11"/>
    <x v="0"/>
    <x v="0"/>
    <n v="0"/>
    <n v="2E+20"/>
    <n v="0"/>
    <n v="0"/>
    <n v="0"/>
    <n v="0"/>
    <s v="Unnamed ProjectsandblastmachineInstantaneous UtilizationResource"/>
    <n v="15"/>
    <n v="0"/>
    <n v="0"/>
    <n v="0.95"/>
    <n v="0"/>
    <n v="0"/>
    <n v="0"/>
    <n v="0"/>
  </r>
  <r>
    <x v="0"/>
    <s v="2025-06-09 14:43:37"/>
    <n v="6"/>
    <x v="11"/>
    <x v="1"/>
    <x v="0"/>
    <n v="0"/>
    <n v="2E+20"/>
    <n v="0"/>
    <n v="0"/>
    <n v="0"/>
    <n v="0"/>
    <s v="Unnamed ProjectsandblastmachineNumber BusyResource"/>
    <n v="15"/>
    <n v="0"/>
    <n v="0"/>
    <n v="0.95"/>
    <n v="0"/>
    <n v="0"/>
    <n v="0"/>
    <n v="0"/>
  </r>
  <r>
    <x v="0"/>
    <s v="2025-06-09 14:43:37"/>
    <n v="6"/>
    <x v="11"/>
    <x v="2"/>
    <x v="0"/>
    <n v="1"/>
    <n v="2E+20"/>
    <n v="1"/>
    <n v="1"/>
    <n v="1"/>
    <n v="0"/>
    <s v="Unnamed ProjectsandblastmachineNumber ScheduledResource"/>
    <n v="15"/>
    <n v="1"/>
    <n v="0"/>
    <n v="0.95"/>
    <n v="0"/>
    <n v="1"/>
    <n v="1"/>
    <n v="0"/>
  </r>
  <r>
    <x v="0"/>
    <s v="2025-06-09 14:43:37"/>
    <n v="6"/>
    <x v="12"/>
    <x v="0"/>
    <x v="0"/>
    <n v="0"/>
    <n v="2E+20"/>
    <n v="0"/>
    <n v="0"/>
    <n v="0"/>
    <n v="0"/>
    <s v="Unnamed ProjectsandblastoperatorInstantaneous UtilizationResource"/>
    <n v="15"/>
    <n v="0"/>
    <n v="0"/>
    <n v="0.95"/>
    <n v="0"/>
    <n v="0"/>
    <n v="0"/>
    <n v="0"/>
  </r>
  <r>
    <x v="0"/>
    <s v="2025-06-09 14:43:37"/>
    <n v="6"/>
    <x v="12"/>
    <x v="1"/>
    <x v="0"/>
    <n v="0"/>
    <n v="2E+20"/>
    <n v="0"/>
    <n v="0"/>
    <n v="0"/>
    <n v="0"/>
    <s v="Unnamed ProjectsandblastoperatorNumber BusyResource"/>
    <n v="15"/>
    <n v="0"/>
    <n v="0"/>
    <n v="0.95"/>
    <n v="0"/>
    <n v="0"/>
    <n v="0"/>
    <n v="0"/>
  </r>
  <r>
    <x v="0"/>
    <s v="2025-06-09 14:43:37"/>
    <n v="6"/>
    <x v="12"/>
    <x v="2"/>
    <x v="0"/>
    <n v="1.5834999999999999"/>
    <n v="3E+20"/>
    <n v="1"/>
    <n v="2"/>
    <n v="2"/>
    <n v="0"/>
    <s v="Unnamed Projectsandblastoperato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6"/>
    <x v="13"/>
    <x v="4"/>
    <x v="2"/>
    <n v="0"/>
    <n v="2E+20"/>
    <n v="0"/>
    <n v="0"/>
    <n v="0"/>
    <n v="0"/>
    <s v="Unnamed Projectseize_assembler.QueueNumber WaitingQueue"/>
    <n v="15"/>
    <n v="0"/>
    <n v="0"/>
    <n v="0.95"/>
    <n v="0"/>
    <n v="0"/>
    <n v="0"/>
    <n v="0"/>
  </r>
  <r>
    <x v="0"/>
    <s v="2025-06-09 14:43:37"/>
    <n v="6"/>
    <x v="14"/>
    <x v="4"/>
    <x v="2"/>
    <n v="0"/>
    <n v="2E+20"/>
    <n v="0"/>
    <n v="0"/>
    <n v="0"/>
    <n v="0"/>
    <s v="Unnamed Projectseize_cutter.QueueNumber WaitingQueue"/>
    <n v="15"/>
    <n v="0"/>
    <n v="0"/>
    <n v="0.95"/>
    <n v="0"/>
    <n v="0"/>
    <n v="0"/>
    <n v="0"/>
  </r>
  <r>
    <x v="0"/>
    <s v="2025-06-09 14:43:37"/>
    <n v="6"/>
    <x v="15"/>
    <x v="4"/>
    <x v="2"/>
    <n v="0"/>
    <n v="2E+20"/>
    <n v="0"/>
    <n v="0"/>
    <n v="0"/>
    <n v="0"/>
    <s v="Unnamed Projectseizeassemblyqcman.QueueNumber WaitingQueue"/>
    <n v="15"/>
    <n v="0"/>
    <n v="0"/>
    <n v="0.95"/>
    <n v="0"/>
    <n v="0"/>
    <n v="0"/>
    <n v="0"/>
  </r>
  <r>
    <x v="0"/>
    <s v="2025-06-09 14:43:37"/>
    <n v="6"/>
    <x v="16"/>
    <x v="4"/>
    <x v="2"/>
    <n v="0"/>
    <n v="2E+20"/>
    <n v="0"/>
    <n v="0"/>
    <n v="0"/>
    <n v="0"/>
    <s v="Unnamed Projectseizecleaner.QueueNumber WaitingQueue"/>
    <n v="15"/>
    <n v="0"/>
    <n v="0"/>
    <n v="0.95"/>
    <n v="0"/>
    <n v="0"/>
    <n v="0"/>
    <n v="0"/>
  </r>
  <r>
    <x v="0"/>
    <s v="2025-06-09 14:43:37"/>
    <n v="6"/>
    <x v="17"/>
    <x v="4"/>
    <x v="2"/>
    <n v="0"/>
    <n v="2E+20"/>
    <n v="0"/>
    <n v="0"/>
    <n v="0"/>
    <n v="0"/>
    <s v="Unnamed Projectseizepainter.QueueNumber WaitingQueue"/>
    <n v="15"/>
    <n v="0"/>
    <n v="0"/>
    <n v="0.95"/>
    <n v="0"/>
    <n v="0"/>
    <n v="0"/>
    <n v="0"/>
  </r>
  <r>
    <x v="0"/>
    <s v="2025-06-09 14:43:37"/>
    <n v="6"/>
    <x v="18"/>
    <x v="4"/>
    <x v="2"/>
    <n v="0"/>
    <n v="2E+20"/>
    <n v="0"/>
    <n v="0"/>
    <n v="0"/>
    <n v="0"/>
    <s v="Unnamed Projectseizeqcman.QueueNumber WaitingQueue"/>
    <n v="15"/>
    <n v="0"/>
    <n v="0"/>
    <n v="0.95"/>
    <n v="0"/>
    <n v="0"/>
    <n v="0"/>
    <n v="0"/>
  </r>
  <r>
    <x v="0"/>
    <s v="2025-06-09 14:43:37"/>
    <n v="6"/>
    <x v="19"/>
    <x v="4"/>
    <x v="2"/>
    <n v="0"/>
    <n v="2E+20"/>
    <n v="0"/>
    <n v="0"/>
    <n v="0"/>
    <n v="0"/>
    <s v="Unnamed Projectseizesandblaster.QueueNumber WaitingQueue"/>
    <n v="15"/>
    <n v="0"/>
    <n v="0"/>
    <n v="0.95"/>
    <n v="0"/>
    <n v="0"/>
    <n v="0"/>
    <n v="0"/>
  </r>
  <r>
    <x v="0"/>
    <s v="2025-06-09 14:43:37"/>
    <n v="6"/>
    <x v="20"/>
    <x v="4"/>
    <x v="2"/>
    <n v="0"/>
    <n v="2E+20"/>
    <n v="0"/>
    <n v="0"/>
    <n v="0"/>
    <n v="0"/>
    <s v="Unnamed Projectseizewelder.QueueNumber WaitingQueue"/>
    <n v="15"/>
    <n v="0"/>
    <n v="0"/>
    <n v="0.95"/>
    <n v="0"/>
    <n v="0"/>
    <n v="0"/>
    <n v="0"/>
  </r>
  <r>
    <x v="0"/>
    <s v="2025-06-09 14:43:37"/>
    <n v="6"/>
    <x v="21"/>
    <x v="3"/>
    <x v="1"/>
    <n v="6"/>
    <n v="2E+20"/>
    <n v="6"/>
    <n v="6"/>
    <n v="6"/>
    <n v="0"/>
    <s v="Unnamed ProjectsteelsheetWIPEntity"/>
    <n v="15"/>
    <n v="6.1333333333333337"/>
    <n v="5.3166405433005028"/>
    <n v="0.95"/>
    <n v="2.944257396015229"/>
    <n v="0"/>
    <n v="16"/>
    <n v="2.944257396015229"/>
  </r>
  <r>
    <x v="0"/>
    <s v="2025-06-09 14:43:37"/>
    <n v="6"/>
    <x v="22"/>
    <x v="0"/>
    <x v="0"/>
    <n v="0"/>
    <n v="2E+20"/>
    <n v="0"/>
    <n v="0"/>
    <n v="0"/>
    <n v="0"/>
    <s v="Unnamed ProjectwelderInstantaneous UtilizationResource"/>
    <n v="15"/>
    <n v="0"/>
    <n v="0"/>
    <n v="0.95"/>
    <n v="0"/>
    <n v="0"/>
    <n v="0"/>
    <n v="0"/>
  </r>
  <r>
    <x v="0"/>
    <s v="2025-06-09 14:43:37"/>
    <n v="6"/>
    <x v="22"/>
    <x v="1"/>
    <x v="0"/>
    <n v="0"/>
    <n v="2E+20"/>
    <n v="0"/>
    <n v="0"/>
    <n v="0"/>
    <n v="0"/>
    <s v="Unnamed ProjectwelderNumber BusyResource"/>
    <n v="15"/>
    <n v="0"/>
    <n v="0"/>
    <n v="0.95"/>
    <n v="0"/>
    <n v="0"/>
    <n v="0"/>
    <n v="0"/>
  </r>
  <r>
    <x v="0"/>
    <s v="2025-06-09 14:43:37"/>
    <n v="6"/>
    <x v="22"/>
    <x v="2"/>
    <x v="0"/>
    <n v="1.5834999999999999"/>
    <n v="3E+20"/>
    <n v="1"/>
    <n v="2"/>
    <n v="2"/>
    <n v="0"/>
    <s v="Unnamed ProjectwelderNumber ScheduledResource"/>
    <n v="15"/>
    <n v="1.5334531146777051"/>
    <n v="0.24154952363702747"/>
    <n v="0.95"/>
    <n v="0.13376566756397254"/>
    <n v="1"/>
    <n v="2"/>
    <n v="0.13376566756397254"/>
  </r>
  <r>
    <x v="0"/>
    <s v="2025-06-09 14:43:37"/>
    <n v="6"/>
    <x v="23"/>
    <x v="0"/>
    <x v="0"/>
    <n v="0"/>
    <n v="2E+20"/>
    <n v="0"/>
    <n v="0"/>
    <n v="0"/>
    <n v="0"/>
    <s v="Unnamed ProjectweldingqcworkerInstantaneous UtilizationResource"/>
    <n v="15"/>
    <n v="0"/>
    <n v="0"/>
    <n v="0.95"/>
    <n v="0"/>
    <n v="0"/>
    <n v="0"/>
    <n v="0"/>
  </r>
  <r>
    <x v="0"/>
    <s v="2025-06-09 14:43:37"/>
    <n v="6"/>
    <x v="23"/>
    <x v="1"/>
    <x v="0"/>
    <n v="0"/>
    <n v="2E+20"/>
    <n v="0"/>
    <n v="0"/>
    <n v="0"/>
    <n v="0"/>
    <s v="Unnamed ProjectweldingqcworkerNumber BusyResource"/>
    <n v="15"/>
    <n v="0"/>
    <n v="0"/>
    <n v="0.95"/>
    <n v="0"/>
    <n v="0"/>
    <n v="0"/>
    <n v="0"/>
  </r>
  <r>
    <x v="0"/>
    <s v="2025-06-09 14:43:37"/>
    <n v="6"/>
    <x v="23"/>
    <x v="2"/>
    <x v="0"/>
    <n v="1.5834999999999999"/>
    <n v="3E+20"/>
    <n v="1"/>
    <n v="2"/>
    <n v="2"/>
    <n v="0"/>
    <s v="Unnamed ProjectweldingqcworkerNumber ScheduledResource"/>
    <n v="15"/>
    <n v="1.5334635492504263"/>
    <n v="0.24155183649982462"/>
    <n v="0.95"/>
    <n v="0.1337669483846978"/>
    <n v="1"/>
    <n v="2"/>
    <n v="0.1337669483846978"/>
  </r>
  <r>
    <x v="0"/>
    <s v="2025-06-09 14:43:37"/>
    <n v="7"/>
    <x v="0"/>
    <x v="0"/>
    <x v="0"/>
    <n v="0"/>
    <n v="2E+20"/>
    <n v="0"/>
    <n v="0"/>
    <n v="0"/>
    <n v="0"/>
    <s v="Unnamed ProjectassemblerInstantaneous UtilizationResource"/>
    <n v="15"/>
    <n v="0"/>
    <n v="0"/>
    <n v="0.95"/>
    <n v="0"/>
    <n v="0"/>
    <n v="0"/>
    <n v="0"/>
  </r>
  <r>
    <x v="0"/>
    <s v="2025-06-09 14:43:37"/>
    <n v="7"/>
    <x v="0"/>
    <x v="1"/>
    <x v="0"/>
    <n v="0"/>
    <n v="2E+20"/>
    <n v="0"/>
    <n v="0"/>
    <n v="0"/>
    <n v="0"/>
    <s v="Unnamed ProjectassemblerNumber BusyResource"/>
    <n v="15"/>
    <n v="0"/>
    <n v="0"/>
    <n v="0.95"/>
    <n v="0"/>
    <n v="0"/>
    <n v="0"/>
    <n v="0"/>
  </r>
  <r>
    <x v="0"/>
    <s v="2025-06-09 14:43:37"/>
    <n v="7"/>
    <x v="0"/>
    <x v="2"/>
    <x v="0"/>
    <n v="1.58375"/>
    <n v="3E+20"/>
    <n v="1"/>
    <n v="2"/>
    <n v="2"/>
    <n v="0"/>
    <s v="Unnamed ProjectassemblerNumber ScheduledResource"/>
    <n v="15"/>
    <n v="1.5333142680768803"/>
    <n v="0.24151891999367611"/>
    <n v="0.95"/>
    <n v="0.13374871983117992"/>
    <n v="1"/>
    <n v="2"/>
    <n v="0.13374871983117992"/>
  </r>
  <r>
    <x v="0"/>
    <s v="2025-06-09 14:43:37"/>
    <n v="7"/>
    <x v="1"/>
    <x v="0"/>
    <x v="0"/>
    <n v="0"/>
    <n v="2E+20"/>
    <n v="0"/>
    <n v="0"/>
    <n v="0"/>
    <n v="0"/>
    <s v="Unnamed ProjectassemblyqcworkerInstantaneous UtilizationResource"/>
    <n v="15"/>
    <n v="0"/>
    <n v="0"/>
    <n v="0.95"/>
    <n v="0"/>
    <n v="0"/>
    <n v="0"/>
    <n v="0"/>
  </r>
  <r>
    <x v="0"/>
    <s v="2025-06-09 14:43:37"/>
    <n v="7"/>
    <x v="1"/>
    <x v="1"/>
    <x v="0"/>
    <n v="0"/>
    <n v="2E+20"/>
    <n v="0"/>
    <n v="0"/>
    <n v="0"/>
    <n v="0"/>
    <s v="Unnamed ProjectassemblyqcworkerNumber BusyResource"/>
    <n v="15"/>
    <n v="0"/>
    <n v="0"/>
    <n v="0.95"/>
    <n v="0"/>
    <n v="0"/>
    <n v="0"/>
    <n v="0"/>
  </r>
  <r>
    <x v="0"/>
    <s v="2025-06-09 14:43:37"/>
    <n v="7"/>
    <x v="1"/>
    <x v="2"/>
    <x v="0"/>
    <n v="1.5834999999999999"/>
    <n v="3E+20"/>
    <n v="1"/>
    <n v="2"/>
    <n v="2"/>
    <n v="0"/>
    <s v="Unnamed Projectassemblyqcworke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7"/>
    <x v="2"/>
    <x v="3"/>
    <x v="1"/>
    <n v="0"/>
    <n v="2E+20"/>
    <n v="0"/>
    <n v="0"/>
    <n v="0"/>
    <n v="0"/>
    <s v="Unnamed Projectbatched_partsWIPEntity"/>
    <n v="15"/>
    <n v="0"/>
    <n v="0"/>
    <n v="0.95"/>
    <n v="0"/>
    <n v="0"/>
    <n v="0"/>
    <n v="0"/>
  </r>
  <r>
    <x v="0"/>
    <s v="2025-06-09 14:43:37"/>
    <n v="7"/>
    <x v="3"/>
    <x v="0"/>
    <x v="0"/>
    <n v="0"/>
    <n v="2E+20"/>
    <n v="0"/>
    <n v="0"/>
    <n v="0"/>
    <n v="0"/>
    <s v="Unnamed ProjectcleanerInstantaneous UtilizationResource"/>
    <n v="15"/>
    <n v="0"/>
    <n v="0"/>
    <n v="0.95"/>
    <n v="0"/>
    <n v="0"/>
    <n v="0"/>
    <n v="0"/>
  </r>
  <r>
    <x v="0"/>
    <s v="2025-06-09 14:43:37"/>
    <n v="7"/>
    <x v="3"/>
    <x v="1"/>
    <x v="0"/>
    <n v="0"/>
    <n v="2E+20"/>
    <n v="0"/>
    <n v="0"/>
    <n v="0"/>
    <n v="0"/>
    <s v="Unnamed ProjectcleanerNumber BusyResource"/>
    <n v="15"/>
    <n v="0"/>
    <n v="0"/>
    <n v="0.95"/>
    <n v="0"/>
    <n v="0"/>
    <n v="0"/>
    <n v="0"/>
  </r>
  <r>
    <x v="0"/>
    <s v="2025-06-09 14:43:37"/>
    <n v="7"/>
    <x v="3"/>
    <x v="2"/>
    <x v="0"/>
    <n v="1.5834999999999999"/>
    <n v="3E+20"/>
    <n v="1"/>
    <n v="2"/>
    <n v="2"/>
    <n v="0"/>
    <s v="Unnamed ProjectcleanerNumber ScheduledResource"/>
    <n v="15"/>
    <n v="1.5334471868881776"/>
    <n v="0.24154821158553658"/>
    <n v="0.95"/>
    <n v="0.13376494097407529"/>
    <n v="1"/>
    <n v="2"/>
    <n v="0.13376494097407529"/>
  </r>
  <r>
    <x v="0"/>
    <s v="2025-06-09 14:43:37"/>
    <n v="7"/>
    <x v="4"/>
    <x v="0"/>
    <x v="0"/>
    <n v="0"/>
    <n v="2E+20"/>
    <n v="0"/>
    <n v="0"/>
    <n v="0"/>
    <n v="0"/>
    <s v="Unnamed ProjectcutterInstantaneous UtilizationResource"/>
    <n v="15"/>
    <n v="0"/>
    <n v="0"/>
    <n v="0.95"/>
    <n v="0"/>
    <n v="0"/>
    <n v="0"/>
    <n v="0"/>
  </r>
  <r>
    <x v="0"/>
    <s v="2025-06-09 14:43:37"/>
    <n v="7"/>
    <x v="4"/>
    <x v="1"/>
    <x v="0"/>
    <n v="0"/>
    <n v="2E+20"/>
    <n v="0"/>
    <n v="0"/>
    <n v="0"/>
    <n v="0"/>
    <s v="Unnamed ProjectcutterNumber BusyResource"/>
    <n v="15"/>
    <n v="0"/>
    <n v="0"/>
    <n v="0.95"/>
    <n v="0"/>
    <n v="0"/>
    <n v="0"/>
    <n v="0"/>
  </r>
  <r>
    <x v="0"/>
    <s v="2025-06-09 14:43:37"/>
    <n v="7"/>
    <x v="4"/>
    <x v="2"/>
    <x v="0"/>
    <n v="1.58325"/>
    <n v="3E+20"/>
    <n v="1"/>
    <n v="2"/>
    <n v="2"/>
    <n v="0"/>
    <s v="Unnamed ProjectcutterNumber ScheduledResource"/>
    <n v="15"/>
    <n v="1.5332999999999999"/>
    <n v="0.24151556349584294"/>
    <n v="0.95"/>
    <n v="0.1337468610646356"/>
    <n v="1"/>
    <n v="2"/>
    <n v="0.1337468610646356"/>
  </r>
  <r>
    <x v="0"/>
    <s v="2025-06-09 14:43:37"/>
    <n v="7"/>
    <x v="5"/>
    <x v="0"/>
    <x v="0"/>
    <n v="0"/>
    <n v="2E+20"/>
    <n v="0"/>
    <n v="0"/>
    <n v="0"/>
    <n v="0"/>
    <s v="Unnamed ProjectfinalqcmanInstantaneous UtilizationResource"/>
    <n v="15"/>
    <n v="0"/>
    <n v="0"/>
    <n v="0.95"/>
    <n v="0"/>
    <n v="0"/>
    <n v="0"/>
    <n v="0"/>
  </r>
  <r>
    <x v="0"/>
    <s v="2025-06-09 14:43:37"/>
    <n v="7"/>
    <x v="5"/>
    <x v="1"/>
    <x v="0"/>
    <n v="0"/>
    <n v="2E+20"/>
    <n v="0"/>
    <n v="0"/>
    <n v="0"/>
    <n v="0"/>
    <s v="Unnamed ProjectfinalqcmanNumber BusyResource"/>
    <n v="15"/>
    <n v="0"/>
    <n v="0"/>
    <n v="0.95"/>
    <n v="0"/>
    <n v="0"/>
    <n v="0"/>
    <n v="0"/>
  </r>
  <r>
    <x v="0"/>
    <s v="2025-06-09 14:43:37"/>
    <n v="7"/>
    <x v="5"/>
    <x v="2"/>
    <x v="0"/>
    <n v="1.5834999999999999"/>
    <n v="3E+20"/>
    <n v="1"/>
    <n v="2"/>
    <n v="2"/>
    <n v="0"/>
    <s v="Unnamed ProjectfinalqcmanNumber ScheduledResource"/>
    <n v="15"/>
    <n v="1.5334510661643974"/>
    <n v="0.24154906725932371"/>
    <n v="0.95"/>
    <n v="0.13376541483042423"/>
    <n v="1"/>
    <n v="2"/>
    <n v="0.13376541483042423"/>
  </r>
  <r>
    <x v="0"/>
    <s v="2025-06-09 14:43:37"/>
    <n v="7"/>
    <x v="6"/>
    <x v="4"/>
    <x v="2"/>
    <n v="0"/>
    <n v="2E+20"/>
    <n v="0"/>
    <n v="0"/>
    <n v="0"/>
    <n v="0"/>
    <s v="Unnamed Projectinspectorseize.QueueNumber WaitingQueue"/>
    <n v="15"/>
    <n v="0"/>
    <n v="0"/>
    <n v="0.95"/>
    <n v="0"/>
    <n v="0"/>
    <n v="0"/>
    <n v="0"/>
  </r>
  <r>
    <x v="0"/>
    <s v="2025-06-09 14:43:37"/>
    <n v="7"/>
    <x v="7"/>
    <x v="4"/>
    <x v="2"/>
    <n v="4"/>
    <n v="2E+20"/>
    <n v="4"/>
    <n v="4"/>
    <n v="4"/>
    <n v="0"/>
    <s v="Unnamed Projectmatch_truckcombo.Queue1Number WaitingQueue"/>
    <n v="15"/>
    <n v="3.3333333333333335"/>
    <n v="4.577377082170635"/>
    <n v="0.95"/>
    <n v="2.5348669368881507"/>
    <n v="0"/>
    <n v="12"/>
    <n v="2.5348669368881507"/>
  </r>
  <r>
    <x v="0"/>
    <s v="2025-06-09 14:43:37"/>
    <n v="7"/>
    <x v="8"/>
    <x v="4"/>
    <x v="2"/>
    <n v="0"/>
    <n v="2E+20"/>
    <n v="0"/>
    <n v="0"/>
    <n v="0"/>
    <n v="0"/>
    <s v="Unnamed Projectmatch_truckcombo.Queue2Number WaitingQueue"/>
    <n v="15"/>
    <n v="2.8"/>
    <n v="5.226307081896902"/>
    <n v="0.95"/>
    <n v="2.8942323925042523"/>
    <n v="0"/>
    <n v="16"/>
    <n v="2.8942323925042523"/>
  </r>
  <r>
    <x v="0"/>
    <s v="2025-06-09 14:43:37"/>
    <n v="7"/>
    <x v="9"/>
    <x v="0"/>
    <x v="0"/>
    <n v="0"/>
    <n v="2E+20"/>
    <n v="0"/>
    <n v="0"/>
    <n v="0"/>
    <n v="0"/>
    <s v="Unnamed ProjectpaintingmachineInstantaneous UtilizationResource"/>
    <n v="15"/>
    <n v="0"/>
    <n v="0"/>
    <n v="0.95"/>
    <n v="0"/>
    <n v="0"/>
    <n v="0"/>
    <n v="0"/>
  </r>
  <r>
    <x v="0"/>
    <s v="2025-06-09 14:43:37"/>
    <n v="7"/>
    <x v="9"/>
    <x v="1"/>
    <x v="0"/>
    <n v="0"/>
    <n v="2E+20"/>
    <n v="0"/>
    <n v="0"/>
    <n v="0"/>
    <n v="0"/>
    <s v="Unnamed ProjectpaintingmachineNumber BusyResource"/>
    <n v="15"/>
    <n v="0"/>
    <n v="0"/>
    <n v="0.95"/>
    <n v="0"/>
    <n v="0"/>
    <n v="0"/>
    <n v="0"/>
  </r>
  <r>
    <x v="0"/>
    <s v="2025-06-09 14:43:37"/>
    <n v="7"/>
    <x v="9"/>
    <x v="2"/>
    <x v="0"/>
    <n v="1"/>
    <n v="2E+20"/>
    <n v="1"/>
    <n v="1"/>
    <n v="1"/>
    <n v="0"/>
    <s v="Unnamed ProjectpaintingmachineNumber ScheduledResource"/>
    <n v="15"/>
    <n v="1"/>
    <n v="0"/>
    <n v="0.95"/>
    <n v="0"/>
    <n v="1"/>
    <n v="1"/>
    <n v="0"/>
  </r>
  <r>
    <x v="0"/>
    <s v="2025-06-09 14:43:37"/>
    <n v="7"/>
    <x v="10"/>
    <x v="0"/>
    <x v="0"/>
    <n v="0"/>
    <n v="2E+20"/>
    <n v="0"/>
    <n v="0"/>
    <n v="0"/>
    <n v="0"/>
    <s v="Unnamed ProjectpaintingoperatorInstantaneous UtilizationResource"/>
    <n v="15"/>
    <n v="0"/>
    <n v="0"/>
    <n v="0.95"/>
    <n v="0"/>
    <n v="0"/>
    <n v="0"/>
    <n v="0"/>
  </r>
  <r>
    <x v="0"/>
    <s v="2025-06-09 14:43:37"/>
    <n v="7"/>
    <x v="10"/>
    <x v="1"/>
    <x v="0"/>
    <n v="0"/>
    <n v="2E+20"/>
    <n v="0"/>
    <n v="0"/>
    <n v="0"/>
    <n v="0"/>
    <s v="Unnamed ProjectpaintingoperatorNumber BusyResource"/>
    <n v="15"/>
    <n v="0"/>
    <n v="0"/>
    <n v="0.95"/>
    <n v="0"/>
    <n v="0"/>
    <n v="0"/>
    <n v="0"/>
  </r>
  <r>
    <x v="0"/>
    <s v="2025-06-09 14:43:37"/>
    <n v="7"/>
    <x v="10"/>
    <x v="2"/>
    <x v="0"/>
    <n v="1.5834999999999999"/>
    <n v="3E+20"/>
    <n v="1"/>
    <n v="2"/>
    <n v="2"/>
    <n v="0"/>
    <s v="Unnamed Projectpaintingoperato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7"/>
    <x v="11"/>
    <x v="0"/>
    <x v="0"/>
    <n v="0"/>
    <n v="2E+20"/>
    <n v="0"/>
    <n v="0"/>
    <n v="0"/>
    <n v="0"/>
    <s v="Unnamed ProjectsandblastmachineInstantaneous UtilizationResource"/>
    <n v="15"/>
    <n v="0"/>
    <n v="0"/>
    <n v="0.95"/>
    <n v="0"/>
    <n v="0"/>
    <n v="0"/>
    <n v="0"/>
  </r>
  <r>
    <x v="0"/>
    <s v="2025-06-09 14:43:37"/>
    <n v="7"/>
    <x v="11"/>
    <x v="1"/>
    <x v="0"/>
    <n v="0"/>
    <n v="2E+20"/>
    <n v="0"/>
    <n v="0"/>
    <n v="0"/>
    <n v="0"/>
    <s v="Unnamed ProjectsandblastmachineNumber BusyResource"/>
    <n v="15"/>
    <n v="0"/>
    <n v="0"/>
    <n v="0.95"/>
    <n v="0"/>
    <n v="0"/>
    <n v="0"/>
    <n v="0"/>
  </r>
  <r>
    <x v="0"/>
    <s v="2025-06-09 14:43:37"/>
    <n v="7"/>
    <x v="11"/>
    <x v="2"/>
    <x v="0"/>
    <n v="1"/>
    <n v="2E+20"/>
    <n v="1"/>
    <n v="1"/>
    <n v="1"/>
    <n v="0"/>
    <s v="Unnamed ProjectsandblastmachineNumber ScheduledResource"/>
    <n v="15"/>
    <n v="1"/>
    <n v="0"/>
    <n v="0.95"/>
    <n v="0"/>
    <n v="1"/>
    <n v="1"/>
    <n v="0"/>
  </r>
  <r>
    <x v="0"/>
    <s v="2025-06-09 14:43:37"/>
    <n v="7"/>
    <x v="12"/>
    <x v="0"/>
    <x v="0"/>
    <n v="0"/>
    <n v="2E+20"/>
    <n v="0"/>
    <n v="0"/>
    <n v="0"/>
    <n v="0"/>
    <s v="Unnamed ProjectsandblastoperatorInstantaneous UtilizationResource"/>
    <n v="15"/>
    <n v="0"/>
    <n v="0"/>
    <n v="0.95"/>
    <n v="0"/>
    <n v="0"/>
    <n v="0"/>
    <n v="0"/>
  </r>
  <r>
    <x v="0"/>
    <s v="2025-06-09 14:43:37"/>
    <n v="7"/>
    <x v="12"/>
    <x v="1"/>
    <x v="0"/>
    <n v="0"/>
    <n v="2E+20"/>
    <n v="0"/>
    <n v="0"/>
    <n v="0"/>
    <n v="0"/>
    <s v="Unnamed ProjectsandblastoperatorNumber BusyResource"/>
    <n v="15"/>
    <n v="0"/>
    <n v="0"/>
    <n v="0.95"/>
    <n v="0"/>
    <n v="0"/>
    <n v="0"/>
    <n v="0"/>
  </r>
  <r>
    <x v="0"/>
    <s v="2025-06-09 14:43:37"/>
    <n v="7"/>
    <x v="12"/>
    <x v="2"/>
    <x v="0"/>
    <n v="1.5834999999999999"/>
    <n v="3E+20"/>
    <n v="1"/>
    <n v="2"/>
    <n v="2"/>
    <n v="0"/>
    <s v="Unnamed Projectsandblastoperato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7"/>
    <x v="13"/>
    <x v="4"/>
    <x v="2"/>
    <n v="0"/>
    <n v="2E+20"/>
    <n v="0"/>
    <n v="0"/>
    <n v="0"/>
    <n v="0"/>
    <s v="Unnamed Projectseize_assembler.QueueNumber WaitingQueue"/>
    <n v="15"/>
    <n v="0"/>
    <n v="0"/>
    <n v="0.95"/>
    <n v="0"/>
    <n v="0"/>
    <n v="0"/>
    <n v="0"/>
  </r>
  <r>
    <x v="0"/>
    <s v="2025-06-09 14:43:37"/>
    <n v="7"/>
    <x v="14"/>
    <x v="4"/>
    <x v="2"/>
    <n v="0"/>
    <n v="2E+20"/>
    <n v="0"/>
    <n v="0"/>
    <n v="0"/>
    <n v="0"/>
    <s v="Unnamed Projectseize_cutter.QueueNumber WaitingQueue"/>
    <n v="15"/>
    <n v="0"/>
    <n v="0"/>
    <n v="0.95"/>
    <n v="0"/>
    <n v="0"/>
    <n v="0"/>
    <n v="0"/>
  </r>
  <r>
    <x v="0"/>
    <s v="2025-06-09 14:43:37"/>
    <n v="7"/>
    <x v="15"/>
    <x v="4"/>
    <x v="2"/>
    <n v="0"/>
    <n v="2E+20"/>
    <n v="0"/>
    <n v="0"/>
    <n v="0"/>
    <n v="0"/>
    <s v="Unnamed Projectseizeassemblyqcman.QueueNumber WaitingQueue"/>
    <n v="15"/>
    <n v="0"/>
    <n v="0"/>
    <n v="0.95"/>
    <n v="0"/>
    <n v="0"/>
    <n v="0"/>
    <n v="0"/>
  </r>
  <r>
    <x v="0"/>
    <s v="2025-06-09 14:43:37"/>
    <n v="7"/>
    <x v="16"/>
    <x v="4"/>
    <x v="2"/>
    <n v="0"/>
    <n v="2E+20"/>
    <n v="0"/>
    <n v="0"/>
    <n v="0"/>
    <n v="0"/>
    <s v="Unnamed Projectseizecleaner.QueueNumber WaitingQueue"/>
    <n v="15"/>
    <n v="0"/>
    <n v="0"/>
    <n v="0.95"/>
    <n v="0"/>
    <n v="0"/>
    <n v="0"/>
    <n v="0"/>
  </r>
  <r>
    <x v="0"/>
    <s v="2025-06-09 14:43:37"/>
    <n v="7"/>
    <x v="17"/>
    <x v="4"/>
    <x v="2"/>
    <n v="0"/>
    <n v="2E+20"/>
    <n v="0"/>
    <n v="0"/>
    <n v="0"/>
    <n v="0"/>
    <s v="Unnamed Projectseizepainter.QueueNumber WaitingQueue"/>
    <n v="15"/>
    <n v="0"/>
    <n v="0"/>
    <n v="0.95"/>
    <n v="0"/>
    <n v="0"/>
    <n v="0"/>
    <n v="0"/>
  </r>
  <r>
    <x v="0"/>
    <s v="2025-06-09 14:43:37"/>
    <n v="7"/>
    <x v="18"/>
    <x v="4"/>
    <x v="2"/>
    <n v="0"/>
    <n v="2E+20"/>
    <n v="0"/>
    <n v="0"/>
    <n v="0"/>
    <n v="0"/>
    <s v="Unnamed Projectseizeqcman.QueueNumber WaitingQueue"/>
    <n v="15"/>
    <n v="0"/>
    <n v="0"/>
    <n v="0.95"/>
    <n v="0"/>
    <n v="0"/>
    <n v="0"/>
    <n v="0"/>
  </r>
  <r>
    <x v="0"/>
    <s v="2025-06-09 14:43:37"/>
    <n v="7"/>
    <x v="19"/>
    <x v="4"/>
    <x v="2"/>
    <n v="0"/>
    <n v="2E+20"/>
    <n v="0"/>
    <n v="0"/>
    <n v="0"/>
    <n v="0"/>
    <s v="Unnamed Projectseizesandblaster.QueueNumber WaitingQueue"/>
    <n v="15"/>
    <n v="0"/>
    <n v="0"/>
    <n v="0.95"/>
    <n v="0"/>
    <n v="0"/>
    <n v="0"/>
    <n v="0"/>
  </r>
  <r>
    <x v="0"/>
    <s v="2025-06-09 14:43:37"/>
    <n v="7"/>
    <x v="20"/>
    <x v="4"/>
    <x v="2"/>
    <n v="0"/>
    <n v="2E+20"/>
    <n v="0"/>
    <n v="0"/>
    <n v="0"/>
    <n v="0"/>
    <s v="Unnamed Projectseizewelder.QueueNumber WaitingQueue"/>
    <n v="15"/>
    <n v="0"/>
    <n v="0"/>
    <n v="0.95"/>
    <n v="0"/>
    <n v="0"/>
    <n v="0"/>
    <n v="0"/>
  </r>
  <r>
    <x v="0"/>
    <s v="2025-06-09 14:43:37"/>
    <n v="7"/>
    <x v="21"/>
    <x v="3"/>
    <x v="1"/>
    <n v="4"/>
    <n v="2E+20"/>
    <n v="4"/>
    <n v="4"/>
    <n v="4"/>
    <n v="0"/>
    <s v="Unnamed ProjectsteelsheetWIPEntity"/>
    <n v="15"/>
    <n v="6.1333333333333337"/>
    <n v="5.3166405433005028"/>
    <n v="0.95"/>
    <n v="2.944257396015229"/>
    <n v="0"/>
    <n v="16"/>
    <n v="2.944257396015229"/>
  </r>
  <r>
    <x v="0"/>
    <s v="2025-06-09 14:43:37"/>
    <n v="7"/>
    <x v="22"/>
    <x v="0"/>
    <x v="0"/>
    <n v="0"/>
    <n v="2E+20"/>
    <n v="0"/>
    <n v="0"/>
    <n v="0"/>
    <n v="0"/>
    <s v="Unnamed ProjectwelderInstantaneous UtilizationResource"/>
    <n v="15"/>
    <n v="0"/>
    <n v="0"/>
    <n v="0.95"/>
    <n v="0"/>
    <n v="0"/>
    <n v="0"/>
    <n v="0"/>
  </r>
  <r>
    <x v="0"/>
    <s v="2025-06-09 14:43:37"/>
    <n v="7"/>
    <x v="22"/>
    <x v="1"/>
    <x v="0"/>
    <n v="0"/>
    <n v="2E+20"/>
    <n v="0"/>
    <n v="0"/>
    <n v="0"/>
    <n v="0"/>
    <s v="Unnamed ProjectwelderNumber BusyResource"/>
    <n v="15"/>
    <n v="0"/>
    <n v="0"/>
    <n v="0.95"/>
    <n v="0"/>
    <n v="0"/>
    <n v="0"/>
    <n v="0"/>
  </r>
  <r>
    <x v="0"/>
    <s v="2025-06-09 14:43:37"/>
    <n v="7"/>
    <x v="22"/>
    <x v="2"/>
    <x v="0"/>
    <n v="1.5834999999999999"/>
    <n v="3E+20"/>
    <n v="1"/>
    <n v="2"/>
    <n v="2"/>
    <n v="0"/>
    <s v="Unnamed ProjectwelderNumber ScheduledResource"/>
    <n v="15"/>
    <n v="1.5334531146777051"/>
    <n v="0.24154952363702747"/>
    <n v="0.95"/>
    <n v="0.13376566756397254"/>
    <n v="1"/>
    <n v="2"/>
    <n v="0.13376566756397254"/>
  </r>
  <r>
    <x v="0"/>
    <s v="2025-06-09 14:43:37"/>
    <n v="7"/>
    <x v="23"/>
    <x v="0"/>
    <x v="0"/>
    <n v="0"/>
    <n v="2E+20"/>
    <n v="0"/>
    <n v="0"/>
    <n v="0"/>
    <n v="0"/>
    <s v="Unnamed ProjectweldingqcworkerInstantaneous UtilizationResource"/>
    <n v="15"/>
    <n v="0"/>
    <n v="0"/>
    <n v="0.95"/>
    <n v="0"/>
    <n v="0"/>
    <n v="0"/>
    <n v="0"/>
  </r>
  <r>
    <x v="0"/>
    <s v="2025-06-09 14:43:37"/>
    <n v="7"/>
    <x v="23"/>
    <x v="1"/>
    <x v="0"/>
    <n v="0"/>
    <n v="2E+20"/>
    <n v="0"/>
    <n v="0"/>
    <n v="0"/>
    <n v="0"/>
    <s v="Unnamed ProjectweldingqcworkerNumber BusyResource"/>
    <n v="15"/>
    <n v="0"/>
    <n v="0"/>
    <n v="0.95"/>
    <n v="0"/>
    <n v="0"/>
    <n v="0"/>
    <n v="0"/>
  </r>
  <r>
    <x v="0"/>
    <s v="2025-06-09 14:43:37"/>
    <n v="7"/>
    <x v="23"/>
    <x v="2"/>
    <x v="0"/>
    <n v="1.5834999999999999"/>
    <n v="3E+20"/>
    <n v="1"/>
    <n v="2"/>
    <n v="2"/>
    <n v="0"/>
    <s v="Unnamed ProjectweldingqcworkerNumber ScheduledResource"/>
    <n v="15"/>
    <n v="1.5334635492504263"/>
    <n v="0.24155183649982462"/>
    <n v="0.95"/>
    <n v="0.1337669483846978"/>
    <n v="1"/>
    <n v="2"/>
    <n v="0.1337669483846978"/>
  </r>
  <r>
    <x v="0"/>
    <s v="2025-06-09 14:43:37"/>
    <n v="8"/>
    <x v="0"/>
    <x v="0"/>
    <x v="0"/>
    <n v="0"/>
    <n v="2E+20"/>
    <n v="0"/>
    <n v="0"/>
    <n v="0"/>
    <n v="0"/>
    <s v="Unnamed ProjectassemblerInstantaneous UtilizationResource"/>
    <n v="15"/>
    <n v="0"/>
    <n v="0"/>
    <n v="0.95"/>
    <n v="0"/>
    <n v="0"/>
    <n v="0"/>
    <n v="0"/>
  </r>
  <r>
    <x v="0"/>
    <s v="2025-06-09 14:43:37"/>
    <n v="8"/>
    <x v="0"/>
    <x v="1"/>
    <x v="0"/>
    <n v="0"/>
    <n v="2E+20"/>
    <n v="0"/>
    <n v="0"/>
    <n v="0"/>
    <n v="0"/>
    <s v="Unnamed ProjectassemblerNumber BusyResource"/>
    <n v="15"/>
    <n v="0"/>
    <n v="0"/>
    <n v="0.95"/>
    <n v="0"/>
    <n v="0"/>
    <n v="0"/>
    <n v="0"/>
  </r>
  <r>
    <x v="0"/>
    <s v="2025-06-09 14:43:37"/>
    <n v="8"/>
    <x v="0"/>
    <x v="2"/>
    <x v="0"/>
    <n v="1"/>
    <n v="2E+20"/>
    <n v="1"/>
    <n v="1"/>
    <n v="1"/>
    <n v="0"/>
    <s v="Unnamed ProjectassemblerNumber ScheduledResource"/>
    <n v="15"/>
    <n v="1.5333142680768803"/>
    <n v="0.24151891999367611"/>
    <n v="0.95"/>
    <n v="0.13374871983117992"/>
    <n v="1"/>
    <n v="2"/>
    <n v="0.13374871983117992"/>
  </r>
  <r>
    <x v="0"/>
    <s v="2025-06-09 14:43:37"/>
    <n v="8"/>
    <x v="1"/>
    <x v="0"/>
    <x v="0"/>
    <n v="0"/>
    <n v="2E+20"/>
    <n v="0"/>
    <n v="0"/>
    <n v="0"/>
    <n v="0"/>
    <s v="Unnamed ProjectassemblyqcworkerInstantaneous UtilizationResource"/>
    <n v="15"/>
    <n v="0"/>
    <n v="0"/>
    <n v="0.95"/>
    <n v="0"/>
    <n v="0"/>
    <n v="0"/>
    <n v="0"/>
  </r>
  <r>
    <x v="0"/>
    <s v="2025-06-09 14:43:37"/>
    <n v="8"/>
    <x v="1"/>
    <x v="1"/>
    <x v="0"/>
    <n v="0"/>
    <n v="2E+20"/>
    <n v="0"/>
    <n v="0"/>
    <n v="0"/>
    <n v="0"/>
    <s v="Unnamed ProjectassemblyqcworkerNumber BusyResource"/>
    <n v="15"/>
    <n v="0"/>
    <n v="0"/>
    <n v="0.95"/>
    <n v="0"/>
    <n v="0"/>
    <n v="0"/>
    <n v="0"/>
  </r>
  <r>
    <x v="0"/>
    <s v="2025-06-09 14:43:37"/>
    <n v="8"/>
    <x v="1"/>
    <x v="2"/>
    <x v="0"/>
    <n v="1"/>
    <n v="2E+20"/>
    <n v="1"/>
    <n v="1"/>
    <n v="1"/>
    <n v="0"/>
    <s v="Unnamed Projectassemblyqcworke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8"/>
    <x v="2"/>
    <x v="3"/>
    <x v="1"/>
    <n v="0"/>
    <n v="2E+20"/>
    <n v="0"/>
    <n v="0"/>
    <n v="0"/>
    <n v="0"/>
    <s v="Unnamed Projectbatched_partsWIPEntity"/>
    <n v="15"/>
    <n v="0"/>
    <n v="0"/>
    <n v="0.95"/>
    <n v="0"/>
    <n v="0"/>
    <n v="0"/>
    <n v="0"/>
  </r>
  <r>
    <x v="0"/>
    <s v="2025-06-09 14:43:37"/>
    <n v="8"/>
    <x v="3"/>
    <x v="0"/>
    <x v="0"/>
    <n v="0"/>
    <n v="2E+20"/>
    <n v="0"/>
    <n v="0"/>
    <n v="0"/>
    <n v="0"/>
    <s v="Unnamed ProjectcleanerInstantaneous UtilizationResource"/>
    <n v="15"/>
    <n v="0"/>
    <n v="0"/>
    <n v="0.95"/>
    <n v="0"/>
    <n v="0"/>
    <n v="0"/>
    <n v="0"/>
  </r>
  <r>
    <x v="0"/>
    <s v="2025-06-09 14:43:37"/>
    <n v="8"/>
    <x v="3"/>
    <x v="1"/>
    <x v="0"/>
    <n v="0"/>
    <n v="2E+20"/>
    <n v="0"/>
    <n v="0"/>
    <n v="0"/>
    <n v="0"/>
    <s v="Unnamed ProjectcleanerNumber BusyResource"/>
    <n v="15"/>
    <n v="0"/>
    <n v="0"/>
    <n v="0.95"/>
    <n v="0"/>
    <n v="0"/>
    <n v="0"/>
    <n v="0"/>
  </r>
  <r>
    <x v="0"/>
    <s v="2025-06-09 14:43:37"/>
    <n v="8"/>
    <x v="3"/>
    <x v="2"/>
    <x v="0"/>
    <n v="1"/>
    <n v="2E+20"/>
    <n v="1"/>
    <n v="1"/>
    <n v="1"/>
    <n v="0"/>
    <s v="Unnamed ProjectcleanerNumber ScheduledResource"/>
    <n v="15"/>
    <n v="1.5334471868881776"/>
    <n v="0.24154821158553658"/>
    <n v="0.95"/>
    <n v="0.13376494097407529"/>
    <n v="1"/>
    <n v="2"/>
    <n v="0.13376494097407529"/>
  </r>
  <r>
    <x v="0"/>
    <s v="2025-06-09 14:43:37"/>
    <n v="8"/>
    <x v="4"/>
    <x v="0"/>
    <x v="0"/>
    <n v="0"/>
    <n v="2E+20"/>
    <n v="0"/>
    <n v="0"/>
    <n v="0"/>
    <n v="0"/>
    <s v="Unnamed ProjectcutterInstantaneous UtilizationResource"/>
    <n v="15"/>
    <n v="0"/>
    <n v="0"/>
    <n v="0.95"/>
    <n v="0"/>
    <n v="0"/>
    <n v="0"/>
    <n v="0"/>
  </r>
  <r>
    <x v="0"/>
    <s v="2025-06-09 14:43:37"/>
    <n v="8"/>
    <x v="4"/>
    <x v="1"/>
    <x v="0"/>
    <n v="0"/>
    <n v="2E+20"/>
    <n v="0"/>
    <n v="0"/>
    <n v="0"/>
    <n v="0"/>
    <s v="Unnamed ProjectcutterNumber BusyResource"/>
    <n v="15"/>
    <n v="0"/>
    <n v="0"/>
    <n v="0.95"/>
    <n v="0"/>
    <n v="0"/>
    <n v="0"/>
    <n v="0"/>
  </r>
  <r>
    <x v="0"/>
    <s v="2025-06-09 14:43:37"/>
    <n v="8"/>
    <x v="4"/>
    <x v="2"/>
    <x v="0"/>
    <n v="1"/>
    <n v="2E+20"/>
    <n v="1"/>
    <n v="1"/>
    <n v="1"/>
    <n v="0"/>
    <s v="Unnamed ProjectcutterNumber ScheduledResource"/>
    <n v="15"/>
    <n v="1.5332999999999999"/>
    <n v="0.24151556349584294"/>
    <n v="0.95"/>
    <n v="0.1337468610646356"/>
    <n v="1"/>
    <n v="2"/>
    <n v="0.1337468610646356"/>
  </r>
  <r>
    <x v="0"/>
    <s v="2025-06-09 14:43:37"/>
    <n v="8"/>
    <x v="5"/>
    <x v="0"/>
    <x v="0"/>
    <n v="0"/>
    <n v="2E+20"/>
    <n v="0"/>
    <n v="0"/>
    <n v="0"/>
    <n v="0"/>
    <s v="Unnamed ProjectfinalqcmanInstantaneous UtilizationResource"/>
    <n v="15"/>
    <n v="0"/>
    <n v="0"/>
    <n v="0.95"/>
    <n v="0"/>
    <n v="0"/>
    <n v="0"/>
    <n v="0"/>
  </r>
  <r>
    <x v="0"/>
    <s v="2025-06-09 14:43:37"/>
    <n v="8"/>
    <x v="5"/>
    <x v="1"/>
    <x v="0"/>
    <n v="0"/>
    <n v="2E+20"/>
    <n v="0"/>
    <n v="0"/>
    <n v="0"/>
    <n v="0"/>
    <s v="Unnamed ProjectfinalqcmanNumber BusyResource"/>
    <n v="15"/>
    <n v="0"/>
    <n v="0"/>
    <n v="0.95"/>
    <n v="0"/>
    <n v="0"/>
    <n v="0"/>
    <n v="0"/>
  </r>
  <r>
    <x v="0"/>
    <s v="2025-06-09 14:43:37"/>
    <n v="8"/>
    <x v="5"/>
    <x v="2"/>
    <x v="0"/>
    <n v="1"/>
    <n v="2E+20"/>
    <n v="1"/>
    <n v="1"/>
    <n v="1"/>
    <n v="0"/>
    <s v="Unnamed ProjectfinalqcmanNumber ScheduledResource"/>
    <n v="15"/>
    <n v="1.5334510661643974"/>
    <n v="0.24154906725932371"/>
    <n v="0.95"/>
    <n v="0.13376541483042423"/>
    <n v="1"/>
    <n v="2"/>
    <n v="0.13376541483042423"/>
  </r>
  <r>
    <x v="0"/>
    <s v="2025-06-09 14:43:37"/>
    <n v="8"/>
    <x v="6"/>
    <x v="4"/>
    <x v="2"/>
    <n v="0"/>
    <n v="2E+20"/>
    <n v="0"/>
    <n v="0"/>
    <n v="0"/>
    <n v="0"/>
    <s v="Unnamed Projectinspectorseize.QueueNumber WaitingQueue"/>
    <n v="15"/>
    <n v="0"/>
    <n v="0"/>
    <n v="0.95"/>
    <n v="0"/>
    <n v="0"/>
    <n v="0"/>
    <n v="0"/>
  </r>
  <r>
    <x v="0"/>
    <s v="2025-06-09 14:43:37"/>
    <n v="8"/>
    <x v="7"/>
    <x v="4"/>
    <x v="2"/>
    <n v="0"/>
    <n v="2E+20"/>
    <n v="0"/>
    <n v="0"/>
    <n v="0"/>
    <n v="0"/>
    <s v="Unnamed Projectmatch_truckcombo.Queue1Number WaitingQueue"/>
    <n v="15"/>
    <n v="3.3333333333333335"/>
    <n v="4.577377082170635"/>
    <n v="0.95"/>
    <n v="2.5348669368881507"/>
    <n v="0"/>
    <n v="12"/>
    <n v="2.5348669368881507"/>
  </r>
  <r>
    <x v="0"/>
    <s v="2025-06-09 14:43:37"/>
    <n v="8"/>
    <x v="8"/>
    <x v="4"/>
    <x v="2"/>
    <n v="0"/>
    <n v="2E+20"/>
    <n v="0"/>
    <n v="0"/>
    <n v="0"/>
    <n v="0"/>
    <s v="Unnamed Projectmatch_truckcombo.Queue2Number WaitingQueue"/>
    <n v="15"/>
    <n v="2.8"/>
    <n v="5.226307081896902"/>
    <n v="0.95"/>
    <n v="2.8942323925042523"/>
    <n v="0"/>
    <n v="16"/>
    <n v="2.8942323925042523"/>
  </r>
  <r>
    <x v="0"/>
    <s v="2025-06-09 14:43:37"/>
    <n v="8"/>
    <x v="9"/>
    <x v="0"/>
    <x v="0"/>
    <n v="0"/>
    <n v="2E+20"/>
    <n v="0"/>
    <n v="0"/>
    <n v="0"/>
    <n v="0"/>
    <s v="Unnamed ProjectpaintingmachineInstantaneous UtilizationResource"/>
    <n v="15"/>
    <n v="0"/>
    <n v="0"/>
    <n v="0.95"/>
    <n v="0"/>
    <n v="0"/>
    <n v="0"/>
    <n v="0"/>
  </r>
  <r>
    <x v="0"/>
    <s v="2025-06-09 14:43:37"/>
    <n v="8"/>
    <x v="9"/>
    <x v="1"/>
    <x v="0"/>
    <n v="0"/>
    <n v="2E+20"/>
    <n v="0"/>
    <n v="0"/>
    <n v="0"/>
    <n v="0"/>
    <s v="Unnamed ProjectpaintingmachineNumber BusyResource"/>
    <n v="15"/>
    <n v="0"/>
    <n v="0"/>
    <n v="0.95"/>
    <n v="0"/>
    <n v="0"/>
    <n v="0"/>
    <n v="0"/>
  </r>
  <r>
    <x v="0"/>
    <s v="2025-06-09 14:43:37"/>
    <n v="8"/>
    <x v="9"/>
    <x v="2"/>
    <x v="0"/>
    <n v="1"/>
    <n v="2E+20"/>
    <n v="1"/>
    <n v="1"/>
    <n v="1"/>
    <n v="0"/>
    <s v="Unnamed ProjectpaintingmachineNumber ScheduledResource"/>
    <n v="15"/>
    <n v="1"/>
    <n v="0"/>
    <n v="0.95"/>
    <n v="0"/>
    <n v="1"/>
    <n v="1"/>
    <n v="0"/>
  </r>
  <r>
    <x v="0"/>
    <s v="2025-06-09 14:43:37"/>
    <n v="8"/>
    <x v="10"/>
    <x v="0"/>
    <x v="0"/>
    <n v="0"/>
    <n v="2E+20"/>
    <n v="0"/>
    <n v="0"/>
    <n v="0"/>
    <n v="0"/>
    <s v="Unnamed ProjectpaintingoperatorInstantaneous UtilizationResource"/>
    <n v="15"/>
    <n v="0"/>
    <n v="0"/>
    <n v="0.95"/>
    <n v="0"/>
    <n v="0"/>
    <n v="0"/>
    <n v="0"/>
  </r>
  <r>
    <x v="0"/>
    <s v="2025-06-09 14:43:37"/>
    <n v="8"/>
    <x v="10"/>
    <x v="1"/>
    <x v="0"/>
    <n v="0"/>
    <n v="2E+20"/>
    <n v="0"/>
    <n v="0"/>
    <n v="0"/>
    <n v="0"/>
    <s v="Unnamed ProjectpaintingoperatorNumber BusyResource"/>
    <n v="15"/>
    <n v="0"/>
    <n v="0"/>
    <n v="0.95"/>
    <n v="0"/>
    <n v="0"/>
    <n v="0"/>
    <n v="0"/>
  </r>
  <r>
    <x v="0"/>
    <s v="2025-06-09 14:43:37"/>
    <n v="8"/>
    <x v="10"/>
    <x v="2"/>
    <x v="0"/>
    <n v="1"/>
    <n v="2E+20"/>
    <n v="1"/>
    <n v="1"/>
    <n v="1"/>
    <n v="0"/>
    <s v="Unnamed Projectpaintingoperato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8"/>
    <x v="11"/>
    <x v="0"/>
    <x v="0"/>
    <n v="0"/>
    <n v="2E+20"/>
    <n v="0"/>
    <n v="0"/>
    <n v="0"/>
    <n v="0"/>
    <s v="Unnamed ProjectsandblastmachineInstantaneous UtilizationResource"/>
    <n v="15"/>
    <n v="0"/>
    <n v="0"/>
    <n v="0.95"/>
    <n v="0"/>
    <n v="0"/>
    <n v="0"/>
    <n v="0"/>
  </r>
  <r>
    <x v="0"/>
    <s v="2025-06-09 14:43:37"/>
    <n v="8"/>
    <x v="11"/>
    <x v="1"/>
    <x v="0"/>
    <n v="0"/>
    <n v="2E+20"/>
    <n v="0"/>
    <n v="0"/>
    <n v="0"/>
    <n v="0"/>
    <s v="Unnamed ProjectsandblastmachineNumber BusyResource"/>
    <n v="15"/>
    <n v="0"/>
    <n v="0"/>
    <n v="0.95"/>
    <n v="0"/>
    <n v="0"/>
    <n v="0"/>
    <n v="0"/>
  </r>
  <r>
    <x v="0"/>
    <s v="2025-06-09 14:43:37"/>
    <n v="8"/>
    <x v="11"/>
    <x v="2"/>
    <x v="0"/>
    <n v="1"/>
    <n v="2E+20"/>
    <n v="1"/>
    <n v="1"/>
    <n v="1"/>
    <n v="0"/>
    <s v="Unnamed ProjectsandblastmachineNumber ScheduledResource"/>
    <n v="15"/>
    <n v="1"/>
    <n v="0"/>
    <n v="0.95"/>
    <n v="0"/>
    <n v="1"/>
    <n v="1"/>
    <n v="0"/>
  </r>
  <r>
    <x v="0"/>
    <s v="2025-06-09 14:43:37"/>
    <n v="8"/>
    <x v="12"/>
    <x v="0"/>
    <x v="0"/>
    <n v="0"/>
    <n v="2E+20"/>
    <n v="0"/>
    <n v="0"/>
    <n v="0"/>
    <n v="0"/>
    <s v="Unnamed ProjectsandblastoperatorInstantaneous UtilizationResource"/>
    <n v="15"/>
    <n v="0"/>
    <n v="0"/>
    <n v="0.95"/>
    <n v="0"/>
    <n v="0"/>
    <n v="0"/>
    <n v="0"/>
  </r>
  <r>
    <x v="0"/>
    <s v="2025-06-09 14:43:37"/>
    <n v="8"/>
    <x v="12"/>
    <x v="1"/>
    <x v="0"/>
    <n v="0"/>
    <n v="2E+20"/>
    <n v="0"/>
    <n v="0"/>
    <n v="0"/>
    <n v="0"/>
    <s v="Unnamed ProjectsandblastoperatorNumber BusyResource"/>
    <n v="15"/>
    <n v="0"/>
    <n v="0"/>
    <n v="0.95"/>
    <n v="0"/>
    <n v="0"/>
    <n v="0"/>
    <n v="0"/>
  </r>
  <r>
    <x v="0"/>
    <s v="2025-06-09 14:43:37"/>
    <n v="8"/>
    <x v="12"/>
    <x v="2"/>
    <x v="0"/>
    <n v="1"/>
    <n v="2E+20"/>
    <n v="1"/>
    <n v="1"/>
    <n v="1"/>
    <n v="0"/>
    <s v="Unnamed Projectsandblastoperato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8"/>
    <x v="13"/>
    <x v="4"/>
    <x v="2"/>
    <n v="0"/>
    <n v="2E+20"/>
    <n v="0"/>
    <n v="0"/>
    <n v="0"/>
    <n v="0"/>
    <s v="Unnamed Projectseize_assembler.QueueNumber WaitingQueue"/>
    <n v="15"/>
    <n v="0"/>
    <n v="0"/>
    <n v="0.95"/>
    <n v="0"/>
    <n v="0"/>
    <n v="0"/>
    <n v="0"/>
  </r>
  <r>
    <x v="0"/>
    <s v="2025-06-09 14:43:37"/>
    <n v="8"/>
    <x v="14"/>
    <x v="4"/>
    <x v="2"/>
    <n v="0"/>
    <n v="2E+20"/>
    <n v="0"/>
    <n v="0"/>
    <n v="0"/>
    <n v="0"/>
    <s v="Unnamed Projectseize_cutter.QueueNumber WaitingQueue"/>
    <n v="15"/>
    <n v="0"/>
    <n v="0"/>
    <n v="0.95"/>
    <n v="0"/>
    <n v="0"/>
    <n v="0"/>
    <n v="0"/>
  </r>
  <r>
    <x v="0"/>
    <s v="2025-06-09 14:43:37"/>
    <n v="8"/>
    <x v="15"/>
    <x v="4"/>
    <x v="2"/>
    <n v="0"/>
    <n v="2E+20"/>
    <n v="0"/>
    <n v="0"/>
    <n v="0"/>
    <n v="0"/>
    <s v="Unnamed Projectseizeassemblyqcman.QueueNumber WaitingQueue"/>
    <n v="15"/>
    <n v="0"/>
    <n v="0"/>
    <n v="0.95"/>
    <n v="0"/>
    <n v="0"/>
    <n v="0"/>
    <n v="0"/>
  </r>
  <r>
    <x v="0"/>
    <s v="2025-06-09 14:43:37"/>
    <n v="8"/>
    <x v="16"/>
    <x v="4"/>
    <x v="2"/>
    <n v="0"/>
    <n v="2E+20"/>
    <n v="0"/>
    <n v="0"/>
    <n v="0"/>
    <n v="0"/>
    <s v="Unnamed Projectseizecleaner.QueueNumber WaitingQueue"/>
    <n v="15"/>
    <n v="0"/>
    <n v="0"/>
    <n v="0.95"/>
    <n v="0"/>
    <n v="0"/>
    <n v="0"/>
    <n v="0"/>
  </r>
  <r>
    <x v="0"/>
    <s v="2025-06-09 14:43:37"/>
    <n v="8"/>
    <x v="17"/>
    <x v="4"/>
    <x v="2"/>
    <n v="0"/>
    <n v="2E+20"/>
    <n v="0"/>
    <n v="0"/>
    <n v="0"/>
    <n v="0"/>
    <s v="Unnamed Projectseizepainter.QueueNumber WaitingQueue"/>
    <n v="15"/>
    <n v="0"/>
    <n v="0"/>
    <n v="0.95"/>
    <n v="0"/>
    <n v="0"/>
    <n v="0"/>
    <n v="0"/>
  </r>
  <r>
    <x v="0"/>
    <s v="2025-06-09 14:43:37"/>
    <n v="8"/>
    <x v="18"/>
    <x v="4"/>
    <x v="2"/>
    <n v="0"/>
    <n v="2E+20"/>
    <n v="0"/>
    <n v="0"/>
    <n v="0"/>
    <n v="0"/>
    <s v="Unnamed Projectseizeqcman.QueueNumber WaitingQueue"/>
    <n v="15"/>
    <n v="0"/>
    <n v="0"/>
    <n v="0.95"/>
    <n v="0"/>
    <n v="0"/>
    <n v="0"/>
    <n v="0"/>
  </r>
  <r>
    <x v="0"/>
    <s v="2025-06-09 14:43:37"/>
    <n v="8"/>
    <x v="19"/>
    <x v="4"/>
    <x v="2"/>
    <n v="0"/>
    <n v="2E+20"/>
    <n v="0"/>
    <n v="0"/>
    <n v="0"/>
    <n v="0"/>
    <s v="Unnamed Projectseizesandblaster.QueueNumber WaitingQueue"/>
    <n v="15"/>
    <n v="0"/>
    <n v="0"/>
    <n v="0.95"/>
    <n v="0"/>
    <n v="0"/>
    <n v="0"/>
    <n v="0"/>
  </r>
  <r>
    <x v="0"/>
    <s v="2025-06-09 14:43:37"/>
    <n v="8"/>
    <x v="20"/>
    <x v="4"/>
    <x v="2"/>
    <n v="0"/>
    <n v="2E+20"/>
    <n v="0"/>
    <n v="0"/>
    <n v="0"/>
    <n v="0"/>
    <s v="Unnamed Projectseizewelder.QueueNumber WaitingQueue"/>
    <n v="15"/>
    <n v="0"/>
    <n v="0"/>
    <n v="0.95"/>
    <n v="0"/>
    <n v="0"/>
    <n v="0"/>
    <n v="0"/>
  </r>
  <r>
    <x v="0"/>
    <s v="2025-06-09 14:43:37"/>
    <n v="8"/>
    <x v="21"/>
    <x v="3"/>
    <x v="1"/>
    <n v="0"/>
    <n v="2E+20"/>
    <n v="0"/>
    <n v="0"/>
    <n v="0"/>
    <n v="0"/>
    <s v="Unnamed ProjectsteelsheetWIPEntity"/>
    <n v="15"/>
    <n v="6.1333333333333337"/>
    <n v="5.3166405433005028"/>
    <n v="0.95"/>
    <n v="2.944257396015229"/>
    <n v="0"/>
    <n v="16"/>
    <n v="2.944257396015229"/>
  </r>
  <r>
    <x v="0"/>
    <s v="2025-06-09 14:43:37"/>
    <n v="8"/>
    <x v="22"/>
    <x v="0"/>
    <x v="0"/>
    <n v="0"/>
    <n v="2E+20"/>
    <n v="0"/>
    <n v="0"/>
    <n v="0"/>
    <n v="0"/>
    <s v="Unnamed ProjectwelderInstantaneous UtilizationResource"/>
    <n v="15"/>
    <n v="0"/>
    <n v="0"/>
    <n v="0.95"/>
    <n v="0"/>
    <n v="0"/>
    <n v="0"/>
    <n v="0"/>
  </r>
  <r>
    <x v="0"/>
    <s v="2025-06-09 14:43:37"/>
    <n v="8"/>
    <x v="22"/>
    <x v="1"/>
    <x v="0"/>
    <n v="0"/>
    <n v="2E+20"/>
    <n v="0"/>
    <n v="0"/>
    <n v="0"/>
    <n v="0"/>
    <s v="Unnamed ProjectwelderNumber BusyResource"/>
    <n v="15"/>
    <n v="0"/>
    <n v="0"/>
    <n v="0.95"/>
    <n v="0"/>
    <n v="0"/>
    <n v="0"/>
    <n v="0"/>
  </r>
  <r>
    <x v="0"/>
    <s v="2025-06-09 14:43:37"/>
    <n v="8"/>
    <x v="22"/>
    <x v="2"/>
    <x v="0"/>
    <n v="1"/>
    <n v="2E+20"/>
    <n v="1"/>
    <n v="1"/>
    <n v="1"/>
    <n v="0"/>
    <s v="Unnamed ProjectwelderNumber ScheduledResource"/>
    <n v="15"/>
    <n v="1.5334531146777051"/>
    <n v="0.24154952363702747"/>
    <n v="0.95"/>
    <n v="0.13376566756397254"/>
    <n v="1"/>
    <n v="2"/>
    <n v="0.13376566756397254"/>
  </r>
  <r>
    <x v="0"/>
    <s v="2025-06-09 14:43:37"/>
    <n v="8"/>
    <x v="23"/>
    <x v="0"/>
    <x v="0"/>
    <n v="0"/>
    <n v="2E+20"/>
    <n v="0"/>
    <n v="0"/>
    <n v="0"/>
    <n v="0"/>
    <s v="Unnamed ProjectweldingqcworkerInstantaneous UtilizationResource"/>
    <n v="15"/>
    <n v="0"/>
    <n v="0"/>
    <n v="0.95"/>
    <n v="0"/>
    <n v="0"/>
    <n v="0"/>
    <n v="0"/>
  </r>
  <r>
    <x v="0"/>
    <s v="2025-06-09 14:43:37"/>
    <n v="8"/>
    <x v="23"/>
    <x v="1"/>
    <x v="0"/>
    <n v="0"/>
    <n v="2E+20"/>
    <n v="0"/>
    <n v="0"/>
    <n v="0"/>
    <n v="0"/>
    <s v="Unnamed ProjectweldingqcworkerNumber BusyResource"/>
    <n v="15"/>
    <n v="0"/>
    <n v="0"/>
    <n v="0.95"/>
    <n v="0"/>
    <n v="0"/>
    <n v="0"/>
    <n v="0"/>
  </r>
  <r>
    <x v="0"/>
    <s v="2025-06-09 14:43:37"/>
    <n v="8"/>
    <x v="23"/>
    <x v="2"/>
    <x v="0"/>
    <n v="1"/>
    <n v="2E+20"/>
    <n v="1"/>
    <n v="1"/>
    <n v="1"/>
    <n v="0"/>
    <s v="Unnamed ProjectweldingqcworkerNumber ScheduledResource"/>
    <n v="15"/>
    <n v="1.5334635492504263"/>
    <n v="0.24155183649982462"/>
    <n v="0.95"/>
    <n v="0.1337669483846978"/>
    <n v="1"/>
    <n v="2"/>
    <n v="0.1337669483846978"/>
  </r>
  <r>
    <x v="0"/>
    <s v="2025-06-09 14:43:37"/>
    <n v="9"/>
    <x v="0"/>
    <x v="0"/>
    <x v="0"/>
    <n v="0"/>
    <n v="2E+20"/>
    <n v="0"/>
    <n v="0"/>
    <n v="0"/>
    <n v="0"/>
    <s v="Unnamed ProjectassemblerInstantaneous UtilizationResource"/>
    <n v="15"/>
    <n v="0"/>
    <n v="0"/>
    <n v="0.95"/>
    <n v="0"/>
    <n v="0"/>
    <n v="0"/>
    <n v="0"/>
  </r>
  <r>
    <x v="0"/>
    <s v="2025-06-09 14:43:37"/>
    <n v="9"/>
    <x v="0"/>
    <x v="1"/>
    <x v="0"/>
    <n v="0"/>
    <n v="2E+20"/>
    <n v="0"/>
    <n v="0"/>
    <n v="0"/>
    <n v="0"/>
    <s v="Unnamed ProjectassemblerNumber BusyResource"/>
    <n v="15"/>
    <n v="0"/>
    <n v="0"/>
    <n v="0.95"/>
    <n v="0"/>
    <n v="0"/>
    <n v="0"/>
    <n v="0"/>
  </r>
  <r>
    <x v="0"/>
    <s v="2025-06-09 14:43:37"/>
    <n v="9"/>
    <x v="0"/>
    <x v="2"/>
    <x v="0"/>
    <n v="1.58375"/>
    <n v="3E+20"/>
    <n v="1"/>
    <n v="2"/>
    <n v="2"/>
    <n v="0"/>
    <s v="Unnamed ProjectassemblerNumber ScheduledResource"/>
    <n v="15"/>
    <n v="1.5333142680768803"/>
    <n v="0.24151891999367611"/>
    <n v="0.95"/>
    <n v="0.13374871983117992"/>
    <n v="1"/>
    <n v="2"/>
    <n v="0.13374871983117992"/>
  </r>
  <r>
    <x v="0"/>
    <s v="2025-06-09 14:43:37"/>
    <n v="9"/>
    <x v="1"/>
    <x v="0"/>
    <x v="0"/>
    <n v="0"/>
    <n v="2E+20"/>
    <n v="0"/>
    <n v="0"/>
    <n v="0"/>
    <n v="0"/>
    <s v="Unnamed ProjectassemblyqcworkerInstantaneous UtilizationResource"/>
    <n v="15"/>
    <n v="0"/>
    <n v="0"/>
    <n v="0.95"/>
    <n v="0"/>
    <n v="0"/>
    <n v="0"/>
    <n v="0"/>
  </r>
  <r>
    <x v="0"/>
    <s v="2025-06-09 14:43:37"/>
    <n v="9"/>
    <x v="1"/>
    <x v="1"/>
    <x v="0"/>
    <n v="0"/>
    <n v="2E+20"/>
    <n v="0"/>
    <n v="0"/>
    <n v="0"/>
    <n v="0"/>
    <s v="Unnamed ProjectassemblyqcworkerNumber BusyResource"/>
    <n v="15"/>
    <n v="0"/>
    <n v="0"/>
    <n v="0.95"/>
    <n v="0"/>
    <n v="0"/>
    <n v="0"/>
    <n v="0"/>
  </r>
  <r>
    <x v="0"/>
    <s v="2025-06-09 14:43:37"/>
    <n v="9"/>
    <x v="1"/>
    <x v="2"/>
    <x v="0"/>
    <n v="1.5834999999999999"/>
    <n v="3E+20"/>
    <n v="1"/>
    <n v="2"/>
    <n v="2"/>
    <n v="0"/>
    <s v="Unnamed Projectassemblyqcworke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9"/>
    <x v="2"/>
    <x v="3"/>
    <x v="1"/>
    <n v="0"/>
    <n v="2E+20"/>
    <n v="0"/>
    <n v="0"/>
    <n v="0"/>
    <n v="0"/>
    <s v="Unnamed Projectbatched_partsWIPEntity"/>
    <n v="15"/>
    <n v="0"/>
    <n v="0"/>
    <n v="0.95"/>
    <n v="0"/>
    <n v="0"/>
    <n v="0"/>
    <n v="0"/>
  </r>
  <r>
    <x v="0"/>
    <s v="2025-06-09 14:43:37"/>
    <n v="9"/>
    <x v="3"/>
    <x v="0"/>
    <x v="0"/>
    <n v="0"/>
    <n v="2E+20"/>
    <n v="0"/>
    <n v="0"/>
    <n v="0"/>
    <n v="0"/>
    <s v="Unnamed ProjectcleanerInstantaneous UtilizationResource"/>
    <n v="15"/>
    <n v="0"/>
    <n v="0"/>
    <n v="0.95"/>
    <n v="0"/>
    <n v="0"/>
    <n v="0"/>
    <n v="0"/>
  </r>
  <r>
    <x v="0"/>
    <s v="2025-06-09 14:43:37"/>
    <n v="9"/>
    <x v="3"/>
    <x v="1"/>
    <x v="0"/>
    <n v="0"/>
    <n v="2E+20"/>
    <n v="0"/>
    <n v="0"/>
    <n v="0"/>
    <n v="0"/>
    <s v="Unnamed ProjectcleanerNumber BusyResource"/>
    <n v="15"/>
    <n v="0"/>
    <n v="0"/>
    <n v="0.95"/>
    <n v="0"/>
    <n v="0"/>
    <n v="0"/>
    <n v="0"/>
  </r>
  <r>
    <x v="0"/>
    <s v="2025-06-09 14:43:37"/>
    <n v="9"/>
    <x v="3"/>
    <x v="2"/>
    <x v="0"/>
    <n v="1.5834999999999999"/>
    <n v="3E+20"/>
    <n v="1"/>
    <n v="2"/>
    <n v="2"/>
    <n v="0"/>
    <s v="Unnamed ProjectcleanerNumber ScheduledResource"/>
    <n v="15"/>
    <n v="1.5334471868881776"/>
    <n v="0.24154821158553658"/>
    <n v="0.95"/>
    <n v="0.13376494097407529"/>
    <n v="1"/>
    <n v="2"/>
    <n v="0.13376494097407529"/>
  </r>
  <r>
    <x v="0"/>
    <s v="2025-06-09 14:43:37"/>
    <n v="9"/>
    <x v="4"/>
    <x v="0"/>
    <x v="0"/>
    <n v="0"/>
    <n v="2E+20"/>
    <n v="0"/>
    <n v="0"/>
    <n v="0"/>
    <n v="0"/>
    <s v="Unnamed ProjectcutterInstantaneous UtilizationResource"/>
    <n v="15"/>
    <n v="0"/>
    <n v="0"/>
    <n v="0.95"/>
    <n v="0"/>
    <n v="0"/>
    <n v="0"/>
    <n v="0"/>
  </r>
  <r>
    <x v="0"/>
    <s v="2025-06-09 14:43:37"/>
    <n v="9"/>
    <x v="4"/>
    <x v="1"/>
    <x v="0"/>
    <n v="0"/>
    <n v="2E+20"/>
    <n v="0"/>
    <n v="0"/>
    <n v="0"/>
    <n v="0"/>
    <s v="Unnamed ProjectcutterNumber BusyResource"/>
    <n v="15"/>
    <n v="0"/>
    <n v="0"/>
    <n v="0.95"/>
    <n v="0"/>
    <n v="0"/>
    <n v="0"/>
    <n v="0"/>
  </r>
  <r>
    <x v="0"/>
    <s v="2025-06-09 14:43:37"/>
    <n v="9"/>
    <x v="4"/>
    <x v="2"/>
    <x v="0"/>
    <n v="1.58325"/>
    <n v="3E+20"/>
    <n v="1"/>
    <n v="2"/>
    <n v="2"/>
    <n v="0"/>
    <s v="Unnamed ProjectcutterNumber ScheduledResource"/>
    <n v="15"/>
    <n v="1.5332999999999999"/>
    <n v="0.24151556349584294"/>
    <n v="0.95"/>
    <n v="0.1337468610646356"/>
    <n v="1"/>
    <n v="2"/>
    <n v="0.1337468610646356"/>
  </r>
  <r>
    <x v="0"/>
    <s v="2025-06-09 14:43:37"/>
    <n v="9"/>
    <x v="5"/>
    <x v="0"/>
    <x v="0"/>
    <n v="0"/>
    <n v="2E+20"/>
    <n v="0"/>
    <n v="0"/>
    <n v="0"/>
    <n v="0"/>
    <s v="Unnamed ProjectfinalqcmanInstantaneous UtilizationResource"/>
    <n v="15"/>
    <n v="0"/>
    <n v="0"/>
    <n v="0.95"/>
    <n v="0"/>
    <n v="0"/>
    <n v="0"/>
    <n v="0"/>
  </r>
  <r>
    <x v="0"/>
    <s v="2025-06-09 14:43:37"/>
    <n v="9"/>
    <x v="5"/>
    <x v="1"/>
    <x v="0"/>
    <n v="0"/>
    <n v="2E+20"/>
    <n v="0"/>
    <n v="0"/>
    <n v="0"/>
    <n v="0"/>
    <s v="Unnamed ProjectfinalqcmanNumber BusyResource"/>
    <n v="15"/>
    <n v="0"/>
    <n v="0"/>
    <n v="0.95"/>
    <n v="0"/>
    <n v="0"/>
    <n v="0"/>
    <n v="0"/>
  </r>
  <r>
    <x v="0"/>
    <s v="2025-06-09 14:43:37"/>
    <n v="9"/>
    <x v="5"/>
    <x v="2"/>
    <x v="0"/>
    <n v="1.5834999999999999"/>
    <n v="3E+20"/>
    <n v="1"/>
    <n v="2"/>
    <n v="2"/>
    <n v="0"/>
    <s v="Unnamed ProjectfinalqcmanNumber ScheduledResource"/>
    <n v="15"/>
    <n v="1.5334510661643974"/>
    <n v="0.24154906725932371"/>
    <n v="0.95"/>
    <n v="0.13376541483042423"/>
    <n v="1"/>
    <n v="2"/>
    <n v="0.13376541483042423"/>
  </r>
  <r>
    <x v="0"/>
    <s v="2025-06-09 14:43:37"/>
    <n v="9"/>
    <x v="6"/>
    <x v="4"/>
    <x v="2"/>
    <n v="0"/>
    <n v="2E+20"/>
    <n v="0"/>
    <n v="0"/>
    <n v="0"/>
    <n v="0"/>
    <s v="Unnamed Projectinspectorseize.QueueNumber WaitingQueue"/>
    <n v="15"/>
    <n v="0"/>
    <n v="0"/>
    <n v="0.95"/>
    <n v="0"/>
    <n v="0"/>
    <n v="0"/>
    <n v="0"/>
  </r>
  <r>
    <x v="0"/>
    <s v="2025-06-09 14:43:37"/>
    <n v="9"/>
    <x v="7"/>
    <x v="4"/>
    <x v="2"/>
    <n v="4"/>
    <n v="2E+20"/>
    <n v="4"/>
    <n v="4"/>
    <n v="4"/>
    <n v="0"/>
    <s v="Unnamed Projectmatch_truckcombo.Queue1Number WaitingQueue"/>
    <n v="15"/>
    <n v="3.3333333333333335"/>
    <n v="4.577377082170635"/>
    <n v="0.95"/>
    <n v="2.5348669368881507"/>
    <n v="0"/>
    <n v="12"/>
    <n v="2.5348669368881507"/>
  </r>
  <r>
    <x v="0"/>
    <s v="2025-06-09 14:43:37"/>
    <n v="9"/>
    <x v="8"/>
    <x v="4"/>
    <x v="2"/>
    <n v="0"/>
    <n v="2E+20"/>
    <n v="0"/>
    <n v="0"/>
    <n v="0"/>
    <n v="0"/>
    <s v="Unnamed Projectmatch_truckcombo.Queue2Number WaitingQueue"/>
    <n v="15"/>
    <n v="2.8"/>
    <n v="5.226307081896902"/>
    <n v="0.95"/>
    <n v="2.8942323925042523"/>
    <n v="0"/>
    <n v="16"/>
    <n v="2.8942323925042523"/>
  </r>
  <r>
    <x v="0"/>
    <s v="2025-06-09 14:43:37"/>
    <n v="9"/>
    <x v="9"/>
    <x v="0"/>
    <x v="0"/>
    <n v="0"/>
    <n v="2E+20"/>
    <n v="0"/>
    <n v="0"/>
    <n v="0"/>
    <n v="0"/>
    <s v="Unnamed ProjectpaintingmachineInstantaneous UtilizationResource"/>
    <n v="15"/>
    <n v="0"/>
    <n v="0"/>
    <n v="0.95"/>
    <n v="0"/>
    <n v="0"/>
    <n v="0"/>
    <n v="0"/>
  </r>
  <r>
    <x v="0"/>
    <s v="2025-06-09 14:43:37"/>
    <n v="9"/>
    <x v="9"/>
    <x v="1"/>
    <x v="0"/>
    <n v="0"/>
    <n v="2E+20"/>
    <n v="0"/>
    <n v="0"/>
    <n v="0"/>
    <n v="0"/>
    <s v="Unnamed ProjectpaintingmachineNumber BusyResource"/>
    <n v="15"/>
    <n v="0"/>
    <n v="0"/>
    <n v="0.95"/>
    <n v="0"/>
    <n v="0"/>
    <n v="0"/>
    <n v="0"/>
  </r>
  <r>
    <x v="0"/>
    <s v="2025-06-09 14:43:37"/>
    <n v="9"/>
    <x v="9"/>
    <x v="2"/>
    <x v="0"/>
    <n v="1"/>
    <n v="2E+20"/>
    <n v="1"/>
    <n v="1"/>
    <n v="1"/>
    <n v="0"/>
    <s v="Unnamed ProjectpaintingmachineNumber ScheduledResource"/>
    <n v="15"/>
    <n v="1"/>
    <n v="0"/>
    <n v="0.95"/>
    <n v="0"/>
    <n v="1"/>
    <n v="1"/>
    <n v="0"/>
  </r>
  <r>
    <x v="0"/>
    <s v="2025-06-09 14:43:37"/>
    <n v="9"/>
    <x v="10"/>
    <x v="0"/>
    <x v="0"/>
    <n v="0"/>
    <n v="2E+20"/>
    <n v="0"/>
    <n v="0"/>
    <n v="0"/>
    <n v="0"/>
    <s v="Unnamed ProjectpaintingoperatorInstantaneous UtilizationResource"/>
    <n v="15"/>
    <n v="0"/>
    <n v="0"/>
    <n v="0.95"/>
    <n v="0"/>
    <n v="0"/>
    <n v="0"/>
    <n v="0"/>
  </r>
  <r>
    <x v="0"/>
    <s v="2025-06-09 14:43:37"/>
    <n v="9"/>
    <x v="10"/>
    <x v="1"/>
    <x v="0"/>
    <n v="0"/>
    <n v="2E+20"/>
    <n v="0"/>
    <n v="0"/>
    <n v="0"/>
    <n v="0"/>
    <s v="Unnamed ProjectpaintingoperatorNumber BusyResource"/>
    <n v="15"/>
    <n v="0"/>
    <n v="0"/>
    <n v="0.95"/>
    <n v="0"/>
    <n v="0"/>
    <n v="0"/>
    <n v="0"/>
  </r>
  <r>
    <x v="0"/>
    <s v="2025-06-09 14:43:37"/>
    <n v="9"/>
    <x v="10"/>
    <x v="2"/>
    <x v="0"/>
    <n v="1.5834999999999999"/>
    <n v="3E+20"/>
    <n v="1"/>
    <n v="2"/>
    <n v="2"/>
    <n v="0"/>
    <s v="Unnamed Projectpaintingoperato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9"/>
    <x v="11"/>
    <x v="0"/>
    <x v="0"/>
    <n v="0"/>
    <n v="2E+20"/>
    <n v="0"/>
    <n v="0"/>
    <n v="0"/>
    <n v="0"/>
    <s v="Unnamed ProjectsandblastmachineInstantaneous UtilizationResource"/>
    <n v="15"/>
    <n v="0"/>
    <n v="0"/>
    <n v="0.95"/>
    <n v="0"/>
    <n v="0"/>
    <n v="0"/>
    <n v="0"/>
  </r>
  <r>
    <x v="0"/>
    <s v="2025-06-09 14:43:37"/>
    <n v="9"/>
    <x v="11"/>
    <x v="1"/>
    <x v="0"/>
    <n v="0"/>
    <n v="2E+20"/>
    <n v="0"/>
    <n v="0"/>
    <n v="0"/>
    <n v="0"/>
    <s v="Unnamed ProjectsandblastmachineNumber BusyResource"/>
    <n v="15"/>
    <n v="0"/>
    <n v="0"/>
    <n v="0.95"/>
    <n v="0"/>
    <n v="0"/>
    <n v="0"/>
    <n v="0"/>
  </r>
  <r>
    <x v="0"/>
    <s v="2025-06-09 14:43:37"/>
    <n v="9"/>
    <x v="11"/>
    <x v="2"/>
    <x v="0"/>
    <n v="1"/>
    <n v="2E+20"/>
    <n v="1"/>
    <n v="1"/>
    <n v="1"/>
    <n v="0"/>
    <s v="Unnamed ProjectsandblastmachineNumber ScheduledResource"/>
    <n v="15"/>
    <n v="1"/>
    <n v="0"/>
    <n v="0.95"/>
    <n v="0"/>
    <n v="1"/>
    <n v="1"/>
    <n v="0"/>
  </r>
  <r>
    <x v="0"/>
    <s v="2025-06-09 14:43:37"/>
    <n v="9"/>
    <x v="12"/>
    <x v="0"/>
    <x v="0"/>
    <n v="0"/>
    <n v="2E+20"/>
    <n v="0"/>
    <n v="0"/>
    <n v="0"/>
    <n v="0"/>
    <s v="Unnamed ProjectsandblastoperatorInstantaneous UtilizationResource"/>
    <n v="15"/>
    <n v="0"/>
    <n v="0"/>
    <n v="0.95"/>
    <n v="0"/>
    <n v="0"/>
    <n v="0"/>
    <n v="0"/>
  </r>
  <r>
    <x v="0"/>
    <s v="2025-06-09 14:43:37"/>
    <n v="9"/>
    <x v="12"/>
    <x v="1"/>
    <x v="0"/>
    <n v="0"/>
    <n v="2E+20"/>
    <n v="0"/>
    <n v="0"/>
    <n v="0"/>
    <n v="0"/>
    <s v="Unnamed ProjectsandblastoperatorNumber BusyResource"/>
    <n v="15"/>
    <n v="0"/>
    <n v="0"/>
    <n v="0.95"/>
    <n v="0"/>
    <n v="0"/>
    <n v="0"/>
    <n v="0"/>
  </r>
  <r>
    <x v="0"/>
    <s v="2025-06-09 14:43:37"/>
    <n v="9"/>
    <x v="12"/>
    <x v="2"/>
    <x v="0"/>
    <n v="1.5834999999999999"/>
    <n v="3E+20"/>
    <n v="1"/>
    <n v="2"/>
    <n v="2"/>
    <n v="0"/>
    <s v="Unnamed Projectsandblastoperato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9"/>
    <x v="13"/>
    <x v="4"/>
    <x v="2"/>
    <n v="0"/>
    <n v="2E+20"/>
    <n v="0"/>
    <n v="0"/>
    <n v="0"/>
    <n v="0"/>
    <s v="Unnamed Projectseize_assembler.QueueNumber WaitingQueue"/>
    <n v="15"/>
    <n v="0"/>
    <n v="0"/>
    <n v="0.95"/>
    <n v="0"/>
    <n v="0"/>
    <n v="0"/>
    <n v="0"/>
  </r>
  <r>
    <x v="0"/>
    <s v="2025-06-09 14:43:37"/>
    <n v="9"/>
    <x v="14"/>
    <x v="4"/>
    <x v="2"/>
    <n v="0"/>
    <n v="2E+20"/>
    <n v="0"/>
    <n v="0"/>
    <n v="0"/>
    <n v="0"/>
    <s v="Unnamed Projectseize_cutter.QueueNumber WaitingQueue"/>
    <n v="15"/>
    <n v="0"/>
    <n v="0"/>
    <n v="0.95"/>
    <n v="0"/>
    <n v="0"/>
    <n v="0"/>
    <n v="0"/>
  </r>
  <r>
    <x v="0"/>
    <s v="2025-06-09 14:43:37"/>
    <n v="9"/>
    <x v="15"/>
    <x v="4"/>
    <x v="2"/>
    <n v="0"/>
    <n v="2E+20"/>
    <n v="0"/>
    <n v="0"/>
    <n v="0"/>
    <n v="0"/>
    <s v="Unnamed Projectseizeassemblyqcman.QueueNumber WaitingQueue"/>
    <n v="15"/>
    <n v="0"/>
    <n v="0"/>
    <n v="0.95"/>
    <n v="0"/>
    <n v="0"/>
    <n v="0"/>
    <n v="0"/>
  </r>
  <r>
    <x v="0"/>
    <s v="2025-06-09 14:43:37"/>
    <n v="9"/>
    <x v="16"/>
    <x v="4"/>
    <x v="2"/>
    <n v="0"/>
    <n v="2E+20"/>
    <n v="0"/>
    <n v="0"/>
    <n v="0"/>
    <n v="0"/>
    <s v="Unnamed Projectseizecleaner.QueueNumber WaitingQueue"/>
    <n v="15"/>
    <n v="0"/>
    <n v="0"/>
    <n v="0.95"/>
    <n v="0"/>
    <n v="0"/>
    <n v="0"/>
    <n v="0"/>
  </r>
  <r>
    <x v="0"/>
    <s v="2025-06-09 14:43:37"/>
    <n v="9"/>
    <x v="17"/>
    <x v="4"/>
    <x v="2"/>
    <n v="0"/>
    <n v="2E+20"/>
    <n v="0"/>
    <n v="0"/>
    <n v="0"/>
    <n v="0"/>
    <s v="Unnamed Projectseizepainter.QueueNumber WaitingQueue"/>
    <n v="15"/>
    <n v="0"/>
    <n v="0"/>
    <n v="0.95"/>
    <n v="0"/>
    <n v="0"/>
    <n v="0"/>
    <n v="0"/>
  </r>
  <r>
    <x v="0"/>
    <s v="2025-06-09 14:43:37"/>
    <n v="9"/>
    <x v="18"/>
    <x v="4"/>
    <x v="2"/>
    <n v="0"/>
    <n v="2E+20"/>
    <n v="0"/>
    <n v="0"/>
    <n v="0"/>
    <n v="0"/>
    <s v="Unnamed Projectseizeqcman.QueueNumber WaitingQueue"/>
    <n v="15"/>
    <n v="0"/>
    <n v="0"/>
    <n v="0.95"/>
    <n v="0"/>
    <n v="0"/>
    <n v="0"/>
    <n v="0"/>
  </r>
  <r>
    <x v="0"/>
    <s v="2025-06-09 14:43:37"/>
    <n v="9"/>
    <x v="19"/>
    <x v="4"/>
    <x v="2"/>
    <n v="0"/>
    <n v="2E+20"/>
    <n v="0"/>
    <n v="0"/>
    <n v="0"/>
    <n v="0"/>
    <s v="Unnamed Projectseizesandblaster.QueueNumber WaitingQueue"/>
    <n v="15"/>
    <n v="0"/>
    <n v="0"/>
    <n v="0.95"/>
    <n v="0"/>
    <n v="0"/>
    <n v="0"/>
    <n v="0"/>
  </r>
  <r>
    <x v="0"/>
    <s v="2025-06-09 14:43:37"/>
    <n v="9"/>
    <x v="20"/>
    <x v="4"/>
    <x v="2"/>
    <n v="0"/>
    <n v="2E+20"/>
    <n v="0"/>
    <n v="0"/>
    <n v="0"/>
    <n v="0"/>
    <s v="Unnamed Projectseizewelder.QueueNumber WaitingQueue"/>
    <n v="15"/>
    <n v="0"/>
    <n v="0"/>
    <n v="0.95"/>
    <n v="0"/>
    <n v="0"/>
    <n v="0"/>
    <n v="0"/>
  </r>
  <r>
    <x v="0"/>
    <s v="2025-06-09 14:43:37"/>
    <n v="9"/>
    <x v="21"/>
    <x v="3"/>
    <x v="1"/>
    <n v="4"/>
    <n v="2E+20"/>
    <n v="4"/>
    <n v="4"/>
    <n v="4"/>
    <n v="0"/>
    <s v="Unnamed ProjectsteelsheetWIPEntity"/>
    <n v="15"/>
    <n v="6.1333333333333337"/>
    <n v="5.3166405433005028"/>
    <n v="0.95"/>
    <n v="2.944257396015229"/>
    <n v="0"/>
    <n v="16"/>
    <n v="2.944257396015229"/>
  </r>
  <r>
    <x v="0"/>
    <s v="2025-06-09 14:43:37"/>
    <n v="9"/>
    <x v="22"/>
    <x v="0"/>
    <x v="0"/>
    <n v="0"/>
    <n v="2E+20"/>
    <n v="0"/>
    <n v="0"/>
    <n v="0"/>
    <n v="0"/>
    <s v="Unnamed ProjectwelderInstantaneous UtilizationResource"/>
    <n v="15"/>
    <n v="0"/>
    <n v="0"/>
    <n v="0.95"/>
    <n v="0"/>
    <n v="0"/>
    <n v="0"/>
    <n v="0"/>
  </r>
  <r>
    <x v="0"/>
    <s v="2025-06-09 14:43:37"/>
    <n v="9"/>
    <x v="22"/>
    <x v="1"/>
    <x v="0"/>
    <n v="0"/>
    <n v="2E+20"/>
    <n v="0"/>
    <n v="0"/>
    <n v="0"/>
    <n v="0"/>
    <s v="Unnamed ProjectwelderNumber BusyResource"/>
    <n v="15"/>
    <n v="0"/>
    <n v="0"/>
    <n v="0.95"/>
    <n v="0"/>
    <n v="0"/>
    <n v="0"/>
    <n v="0"/>
  </r>
  <r>
    <x v="0"/>
    <s v="2025-06-09 14:43:37"/>
    <n v="9"/>
    <x v="22"/>
    <x v="2"/>
    <x v="0"/>
    <n v="1.5834999999999999"/>
    <n v="3E+20"/>
    <n v="1"/>
    <n v="2"/>
    <n v="2"/>
    <n v="0"/>
    <s v="Unnamed ProjectwelderNumber ScheduledResource"/>
    <n v="15"/>
    <n v="1.5334531146777051"/>
    <n v="0.24154952363702747"/>
    <n v="0.95"/>
    <n v="0.13376566756397254"/>
    <n v="1"/>
    <n v="2"/>
    <n v="0.13376566756397254"/>
  </r>
  <r>
    <x v="0"/>
    <s v="2025-06-09 14:43:37"/>
    <n v="9"/>
    <x v="23"/>
    <x v="0"/>
    <x v="0"/>
    <n v="0"/>
    <n v="2E+20"/>
    <n v="0"/>
    <n v="0"/>
    <n v="0"/>
    <n v="0"/>
    <s v="Unnamed ProjectweldingqcworkerInstantaneous UtilizationResource"/>
    <n v="15"/>
    <n v="0"/>
    <n v="0"/>
    <n v="0.95"/>
    <n v="0"/>
    <n v="0"/>
    <n v="0"/>
    <n v="0"/>
  </r>
  <r>
    <x v="0"/>
    <s v="2025-06-09 14:43:37"/>
    <n v="9"/>
    <x v="23"/>
    <x v="1"/>
    <x v="0"/>
    <n v="0"/>
    <n v="2E+20"/>
    <n v="0"/>
    <n v="0"/>
    <n v="0"/>
    <n v="0"/>
    <s v="Unnamed ProjectweldingqcworkerNumber BusyResource"/>
    <n v="15"/>
    <n v="0"/>
    <n v="0"/>
    <n v="0.95"/>
    <n v="0"/>
    <n v="0"/>
    <n v="0"/>
    <n v="0"/>
  </r>
  <r>
    <x v="0"/>
    <s v="2025-06-09 14:43:37"/>
    <n v="9"/>
    <x v="23"/>
    <x v="2"/>
    <x v="0"/>
    <n v="1.5834999999999999"/>
    <n v="3E+20"/>
    <n v="1"/>
    <n v="2"/>
    <n v="2"/>
    <n v="0"/>
    <s v="Unnamed ProjectweldingqcworkerNumber ScheduledResource"/>
    <n v="15"/>
    <n v="1.5334635492504263"/>
    <n v="0.24155183649982462"/>
    <n v="0.95"/>
    <n v="0.1337669483846978"/>
    <n v="1"/>
    <n v="2"/>
    <n v="0.1337669483846978"/>
  </r>
  <r>
    <x v="0"/>
    <s v="2025-06-09 14:43:37"/>
    <n v="10"/>
    <x v="0"/>
    <x v="0"/>
    <x v="0"/>
    <n v="0"/>
    <n v="2E+20"/>
    <n v="0"/>
    <n v="0"/>
    <n v="0"/>
    <n v="0"/>
    <s v="Unnamed ProjectassemblerInstantaneous UtilizationResource"/>
    <n v="15"/>
    <n v="0"/>
    <n v="0"/>
    <n v="0.95"/>
    <n v="0"/>
    <n v="0"/>
    <n v="0"/>
    <n v="0"/>
  </r>
  <r>
    <x v="0"/>
    <s v="2025-06-09 14:43:37"/>
    <n v="10"/>
    <x v="0"/>
    <x v="1"/>
    <x v="0"/>
    <n v="0"/>
    <n v="2E+20"/>
    <n v="0"/>
    <n v="0"/>
    <n v="0"/>
    <n v="0"/>
    <s v="Unnamed ProjectassemblerNumber BusyResource"/>
    <n v="15"/>
    <n v="0"/>
    <n v="0"/>
    <n v="0.95"/>
    <n v="0"/>
    <n v="0"/>
    <n v="0"/>
    <n v="0"/>
  </r>
  <r>
    <x v="0"/>
    <s v="2025-06-09 14:43:37"/>
    <n v="10"/>
    <x v="0"/>
    <x v="2"/>
    <x v="0"/>
    <n v="1.58300461711098"/>
    <n v="3E+20"/>
    <n v="1"/>
    <n v="2"/>
    <n v="1"/>
    <n v="0"/>
    <s v="Unnamed ProjectassemblerNumber ScheduledResource"/>
    <n v="15"/>
    <n v="1.5333142680768803"/>
    <n v="0.24151891999367611"/>
    <n v="0.95"/>
    <n v="0.13374871983117992"/>
    <n v="1"/>
    <n v="2"/>
    <n v="0.13374871983117992"/>
  </r>
  <r>
    <x v="0"/>
    <s v="2025-06-09 14:43:37"/>
    <n v="10"/>
    <x v="1"/>
    <x v="0"/>
    <x v="0"/>
    <n v="0"/>
    <n v="2E+20"/>
    <n v="0"/>
    <n v="0"/>
    <n v="0"/>
    <n v="0"/>
    <s v="Unnamed ProjectassemblyqcworkerInstantaneous UtilizationResource"/>
    <n v="15"/>
    <n v="0"/>
    <n v="0"/>
    <n v="0.95"/>
    <n v="0"/>
    <n v="0"/>
    <n v="0"/>
    <n v="0"/>
  </r>
  <r>
    <x v="0"/>
    <s v="2025-06-09 14:43:37"/>
    <n v="10"/>
    <x v="1"/>
    <x v="1"/>
    <x v="0"/>
    <n v="0"/>
    <n v="2E+20"/>
    <n v="0"/>
    <n v="0"/>
    <n v="0"/>
    <n v="0"/>
    <s v="Unnamed ProjectassemblyqcworkerNumber BusyResource"/>
    <n v="15"/>
    <n v="0"/>
    <n v="0"/>
    <n v="0.95"/>
    <n v="0"/>
    <n v="0"/>
    <n v="0"/>
    <n v="0"/>
  </r>
  <r>
    <x v="0"/>
    <s v="2025-06-09 14:43:37"/>
    <n v="10"/>
    <x v="1"/>
    <x v="2"/>
    <x v="0"/>
    <n v="1.5834999999999999"/>
    <n v="3E+20"/>
    <n v="1"/>
    <n v="2"/>
    <n v="2"/>
    <n v="0"/>
    <s v="Unnamed Projectassemblyqcworke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10"/>
    <x v="2"/>
    <x v="3"/>
    <x v="1"/>
    <n v="0"/>
    <n v="2E+20"/>
    <n v="0"/>
    <n v="0"/>
    <n v="0"/>
    <n v="0"/>
    <s v="Unnamed Projectbatched_partsWIPEntity"/>
    <n v="15"/>
    <n v="0"/>
    <n v="0"/>
    <n v="0.95"/>
    <n v="0"/>
    <n v="0"/>
    <n v="0"/>
    <n v="0"/>
  </r>
  <r>
    <x v="0"/>
    <s v="2025-06-09 14:43:37"/>
    <n v="10"/>
    <x v="3"/>
    <x v="0"/>
    <x v="0"/>
    <n v="0"/>
    <n v="2E+20"/>
    <n v="0"/>
    <n v="0"/>
    <n v="0"/>
    <n v="0"/>
    <s v="Unnamed ProjectcleanerInstantaneous UtilizationResource"/>
    <n v="15"/>
    <n v="0"/>
    <n v="0"/>
    <n v="0.95"/>
    <n v="0"/>
    <n v="0"/>
    <n v="0"/>
    <n v="0"/>
  </r>
  <r>
    <x v="0"/>
    <s v="2025-06-09 14:43:37"/>
    <n v="10"/>
    <x v="3"/>
    <x v="1"/>
    <x v="0"/>
    <n v="0"/>
    <n v="2E+20"/>
    <n v="0"/>
    <n v="0"/>
    <n v="0"/>
    <n v="0"/>
    <s v="Unnamed ProjectcleanerNumber BusyResource"/>
    <n v="15"/>
    <n v="0"/>
    <n v="0"/>
    <n v="0.95"/>
    <n v="0"/>
    <n v="0"/>
    <n v="0"/>
    <n v="0"/>
  </r>
  <r>
    <x v="0"/>
    <s v="2025-06-09 14:43:37"/>
    <n v="10"/>
    <x v="3"/>
    <x v="2"/>
    <x v="0"/>
    <n v="1.5834999999999999"/>
    <n v="3E+20"/>
    <n v="1"/>
    <n v="2"/>
    <n v="2"/>
    <n v="0"/>
    <s v="Unnamed ProjectcleanerNumber ScheduledResource"/>
    <n v="15"/>
    <n v="1.5334471868881776"/>
    <n v="0.24154821158553658"/>
    <n v="0.95"/>
    <n v="0.13376494097407529"/>
    <n v="1"/>
    <n v="2"/>
    <n v="0.13376494097407529"/>
  </r>
  <r>
    <x v="0"/>
    <s v="2025-06-09 14:43:37"/>
    <n v="10"/>
    <x v="4"/>
    <x v="0"/>
    <x v="0"/>
    <n v="0"/>
    <n v="2E+20"/>
    <n v="0"/>
    <n v="0"/>
    <n v="0"/>
    <n v="0"/>
    <s v="Unnamed ProjectcutterInstantaneous UtilizationResource"/>
    <n v="15"/>
    <n v="0"/>
    <n v="0"/>
    <n v="0.95"/>
    <n v="0"/>
    <n v="0"/>
    <n v="0"/>
    <n v="0"/>
  </r>
  <r>
    <x v="0"/>
    <s v="2025-06-09 14:43:37"/>
    <n v="10"/>
    <x v="4"/>
    <x v="1"/>
    <x v="0"/>
    <n v="0"/>
    <n v="2E+20"/>
    <n v="0"/>
    <n v="0"/>
    <n v="0"/>
    <n v="0"/>
    <s v="Unnamed ProjectcutterNumber BusyResource"/>
    <n v="15"/>
    <n v="0"/>
    <n v="0"/>
    <n v="0.95"/>
    <n v="0"/>
    <n v="0"/>
    <n v="0"/>
    <n v="0"/>
  </r>
  <r>
    <x v="0"/>
    <s v="2025-06-09 14:43:37"/>
    <n v="10"/>
    <x v="4"/>
    <x v="2"/>
    <x v="0"/>
    <n v="1.583375"/>
    <n v="3E+20"/>
    <n v="1"/>
    <n v="2"/>
    <n v="2"/>
    <n v="0"/>
    <s v="Unnamed ProjectcutterNumber ScheduledResource"/>
    <n v="15"/>
    <n v="1.5332999999999999"/>
    <n v="0.24151556349584294"/>
    <n v="0.95"/>
    <n v="0.1337468610646356"/>
    <n v="1"/>
    <n v="2"/>
    <n v="0.1337468610646356"/>
  </r>
  <r>
    <x v="0"/>
    <s v="2025-06-09 14:43:37"/>
    <n v="10"/>
    <x v="5"/>
    <x v="0"/>
    <x v="0"/>
    <n v="0"/>
    <n v="2E+20"/>
    <n v="0"/>
    <n v="0"/>
    <n v="0"/>
    <n v="0"/>
    <s v="Unnamed ProjectfinalqcmanInstantaneous UtilizationResource"/>
    <n v="15"/>
    <n v="0"/>
    <n v="0"/>
    <n v="0.95"/>
    <n v="0"/>
    <n v="0"/>
    <n v="0"/>
    <n v="0"/>
  </r>
  <r>
    <x v="0"/>
    <s v="2025-06-09 14:43:37"/>
    <n v="10"/>
    <x v="5"/>
    <x v="1"/>
    <x v="0"/>
    <n v="0"/>
    <n v="2E+20"/>
    <n v="0"/>
    <n v="0"/>
    <n v="0"/>
    <n v="0"/>
    <s v="Unnamed ProjectfinalqcmanNumber BusyResource"/>
    <n v="15"/>
    <n v="0"/>
    <n v="0"/>
    <n v="0.95"/>
    <n v="0"/>
    <n v="0"/>
    <n v="0"/>
    <n v="0"/>
  </r>
  <r>
    <x v="0"/>
    <s v="2025-06-09 14:43:37"/>
    <n v="10"/>
    <x v="5"/>
    <x v="2"/>
    <x v="0"/>
    <n v="1.5834999999999999"/>
    <n v="3E+20"/>
    <n v="1"/>
    <n v="2"/>
    <n v="2"/>
    <n v="0"/>
    <s v="Unnamed ProjectfinalqcmanNumber ScheduledResource"/>
    <n v="15"/>
    <n v="1.5334510661643974"/>
    <n v="0.24154906725932371"/>
    <n v="0.95"/>
    <n v="0.13376541483042423"/>
    <n v="1"/>
    <n v="2"/>
    <n v="0.13376541483042423"/>
  </r>
  <r>
    <x v="0"/>
    <s v="2025-06-09 14:43:37"/>
    <n v="10"/>
    <x v="6"/>
    <x v="4"/>
    <x v="2"/>
    <n v="0"/>
    <n v="2E+20"/>
    <n v="0"/>
    <n v="0"/>
    <n v="0"/>
    <n v="0"/>
    <s v="Unnamed Projectinspectorseize.QueueNumber WaitingQueue"/>
    <n v="15"/>
    <n v="0"/>
    <n v="0"/>
    <n v="0.95"/>
    <n v="0"/>
    <n v="0"/>
    <n v="0"/>
    <n v="0"/>
  </r>
  <r>
    <x v="0"/>
    <s v="2025-06-09 14:43:37"/>
    <n v="10"/>
    <x v="7"/>
    <x v="4"/>
    <x v="2"/>
    <n v="0"/>
    <n v="2E+20"/>
    <n v="0"/>
    <n v="0"/>
    <n v="0"/>
    <n v="0"/>
    <s v="Unnamed Projectmatch_truckcombo.Queue1Number WaitingQueue"/>
    <n v="15"/>
    <n v="3.3333333333333335"/>
    <n v="4.577377082170635"/>
    <n v="0.95"/>
    <n v="2.5348669368881507"/>
    <n v="0"/>
    <n v="12"/>
    <n v="2.5348669368881507"/>
  </r>
  <r>
    <x v="0"/>
    <s v="2025-06-09 14:43:37"/>
    <n v="10"/>
    <x v="8"/>
    <x v="4"/>
    <x v="2"/>
    <n v="16"/>
    <n v="2E+20"/>
    <n v="16"/>
    <n v="16"/>
    <n v="16"/>
    <n v="0"/>
    <s v="Unnamed Projectmatch_truckcombo.Queue2Number WaitingQueue"/>
    <n v="15"/>
    <n v="2.8"/>
    <n v="5.226307081896902"/>
    <n v="0.95"/>
    <n v="2.8942323925042523"/>
    <n v="0"/>
    <n v="16"/>
    <n v="2.8942323925042523"/>
  </r>
  <r>
    <x v="0"/>
    <s v="2025-06-09 14:43:37"/>
    <n v="10"/>
    <x v="9"/>
    <x v="0"/>
    <x v="0"/>
    <n v="0"/>
    <n v="2E+20"/>
    <n v="0"/>
    <n v="0"/>
    <n v="0"/>
    <n v="0"/>
    <s v="Unnamed ProjectpaintingmachineInstantaneous UtilizationResource"/>
    <n v="15"/>
    <n v="0"/>
    <n v="0"/>
    <n v="0.95"/>
    <n v="0"/>
    <n v="0"/>
    <n v="0"/>
    <n v="0"/>
  </r>
  <r>
    <x v="0"/>
    <s v="2025-06-09 14:43:37"/>
    <n v="10"/>
    <x v="9"/>
    <x v="1"/>
    <x v="0"/>
    <n v="0"/>
    <n v="2E+20"/>
    <n v="0"/>
    <n v="0"/>
    <n v="0"/>
    <n v="0"/>
    <s v="Unnamed ProjectpaintingmachineNumber BusyResource"/>
    <n v="15"/>
    <n v="0"/>
    <n v="0"/>
    <n v="0.95"/>
    <n v="0"/>
    <n v="0"/>
    <n v="0"/>
    <n v="0"/>
  </r>
  <r>
    <x v="0"/>
    <s v="2025-06-09 14:43:37"/>
    <n v="10"/>
    <x v="9"/>
    <x v="2"/>
    <x v="0"/>
    <n v="1"/>
    <n v="2E+20"/>
    <n v="1"/>
    <n v="1"/>
    <n v="1"/>
    <n v="0"/>
    <s v="Unnamed ProjectpaintingmachineNumber ScheduledResource"/>
    <n v="15"/>
    <n v="1"/>
    <n v="0"/>
    <n v="0.95"/>
    <n v="0"/>
    <n v="1"/>
    <n v="1"/>
    <n v="0"/>
  </r>
  <r>
    <x v="0"/>
    <s v="2025-06-09 14:43:37"/>
    <n v="10"/>
    <x v="10"/>
    <x v="0"/>
    <x v="0"/>
    <n v="0"/>
    <n v="2E+20"/>
    <n v="0"/>
    <n v="0"/>
    <n v="0"/>
    <n v="0"/>
    <s v="Unnamed ProjectpaintingoperatorInstantaneous UtilizationResource"/>
    <n v="15"/>
    <n v="0"/>
    <n v="0"/>
    <n v="0.95"/>
    <n v="0"/>
    <n v="0"/>
    <n v="0"/>
    <n v="0"/>
  </r>
  <r>
    <x v="0"/>
    <s v="2025-06-09 14:43:37"/>
    <n v="10"/>
    <x v="10"/>
    <x v="1"/>
    <x v="0"/>
    <n v="0"/>
    <n v="2E+20"/>
    <n v="0"/>
    <n v="0"/>
    <n v="0"/>
    <n v="0"/>
    <s v="Unnamed ProjectpaintingoperatorNumber BusyResource"/>
    <n v="15"/>
    <n v="0"/>
    <n v="0"/>
    <n v="0.95"/>
    <n v="0"/>
    <n v="0"/>
    <n v="0"/>
    <n v="0"/>
  </r>
  <r>
    <x v="0"/>
    <s v="2025-06-09 14:43:37"/>
    <n v="10"/>
    <x v="10"/>
    <x v="2"/>
    <x v="0"/>
    <n v="1.5834999999999999"/>
    <n v="3E+20"/>
    <n v="1"/>
    <n v="2"/>
    <n v="2"/>
    <n v="0"/>
    <s v="Unnamed Projectpaintingoperato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10"/>
    <x v="11"/>
    <x v="0"/>
    <x v="0"/>
    <n v="0"/>
    <n v="2E+20"/>
    <n v="0"/>
    <n v="0"/>
    <n v="0"/>
    <n v="0"/>
    <s v="Unnamed ProjectsandblastmachineInstantaneous UtilizationResource"/>
    <n v="15"/>
    <n v="0"/>
    <n v="0"/>
    <n v="0.95"/>
    <n v="0"/>
    <n v="0"/>
    <n v="0"/>
    <n v="0"/>
  </r>
  <r>
    <x v="0"/>
    <s v="2025-06-09 14:43:37"/>
    <n v="10"/>
    <x v="11"/>
    <x v="1"/>
    <x v="0"/>
    <n v="0"/>
    <n v="2E+20"/>
    <n v="0"/>
    <n v="0"/>
    <n v="0"/>
    <n v="0"/>
    <s v="Unnamed ProjectsandblastmachineNumber BusyResource"/>
    <n v="15"/>
    <n v="0"/>
    <n v="0"/>
    <n v="0.95"/>
    <n v="0"/>
    <n v="0"/>
    <n v="0"/>
    <n v="0"/>
  </r>
  <r>
    <x v="0"/>
    <s v="2025-06-09 14:43:37"/>
    <n v="10"/>
    <x v="11"/>
    <x v="2"/>
    <x v="0"/>
    <n v="1"/>
    <n v="2E+20"/>
    <n v="1"/>
    <n v="1"/>
    <n v="1"/>
    <n v="0"/>
    <s v="Unnamed ProjectsandblastmachineNumber ScheduledResource"/>
    <n v="15"/>
    <n v="1"/>
    <n v="0"/>
    <n v="0.95"/>
    <n v="0"/>
    <n v="1"/>
    <n v="1"/>
    <n v="0"/>
  </r>
  <r>
    <x v="0"/>
    <s v="2025-06-09 14:43:37"/>
    <n v="10"/>
    <x v="12"/>
    <x v="0"/>
    <x v="0"/>
    <n v="0"/>
    <n v="2E+20"/>
    <n v="0"/>
    <n v="0"/>
    <n v="0"/>
    <n v="0"/>
    <s v="Unnamed ProjectsandblastoperatorInstantaneous UtilizationResource"/>
    <n v="15"/>
    <n v="0"/>
    <n v="0"/>
    <n v="0.95"/>
    <n v="0"/>
    <n v="0"/>
    <n v="0"/>
    <n v="0"/>
  </r>
  <r>
    <x v="0"/>
    <s v="2025-06-09 14:43:37"/>
    <n v="10"/>
    <x v="12"/>
    <x v="1"/>
    <x v="0"/>
    <n v="0"/>
    <n v="2E+20"/>
    <n v="0"/>
    <n v="0"/>
    <n v="0"/>
    <n v="0"/>
    <s v="Unnamed ProjectsandblastoperatorNumber BusyResource"/>
    <n v="15"/>
    <n v="0"/>
    <n v="0"/>
    <n v="0.95"/>
    <n v="0"/>
    <n v="0"/>
    <n v="0"/>
    <n v="0"/>
  </r>
  <r>
    <x v="0"/>
    <s v="2025-06-09 14:43:37"/>
    <n v="10"/>
    <x v="12"/>
    <x v="2"/>
    <x v="0"/>
    <n v="1.5834999999999999"/>
    <n v="3E+20"/>
    <n v="1"/>
    <n v="2"/>
    <n v="2"/>
    <n v="0"/>
    <s v="Unnamed Projectsandblastoperato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10"/>
    <x v="13"/>
    <x v="4"/>
    <x v="2"/>
    <n v="0"/>
    <n v="2E+20"/>
    <n v="0"/>
    <n v="0"/>
    <n v="0"/>
    <n v="0"/>
    <s v="Unnamed Projectseize_assembler.QueueNumber WaitingQueue"/>
    <n v="15"/>
    <n v="0"/>
    <n v="0"/>
    <n v="0.95"/>
    <n v="0"/>
    <n v="0"/>
    <n v="0"/>
    <n v="0"/>
  </r>
  <r>
    <x v="0"/>
    <s v="2025-06-09 14:43:37"/>
    <n v="10"/>
    <x v="14"/>
    <x v="4"/>
    <x v="2"/>
    <n v="0"/>
    <n v="2E+20"/>
    <n v="0"/>
    <n v="0"/>
    <n v="0"/>
    <n v="0"/>
    <s v="Unnamed Projectseize_cutter.QueueNumber WaitingQueue"/>
    <n v="15"/>
    <n v="0"/>
    <n v="0"/>
    <n v="0.95"/>
    <n v="0"/>
    <n v="0"/>
    <n v="0"/>
    <n v="0"/>
  </r>
  <r>
    <x v="0"/>
    <s v="2025-06-09 14:43:37"/>
    <n v="10"/>
    <x v="15"/>
    <x v="4"/>
    <x v="2"/>
    <n v="0"/>
    <n v="2E+20"/>
    <n v="0"/>
    <n v="0"/>
    <n v="0"/>
    <n v="0"/>
    <s v="Unnamed Projectseizeassemblyqcman.QueueNumber WaitingQueue"/>
    <n v="15"/>
    <n v="0"/>
    <n v="0"/>
    <n v="0.95"/>
    <n v="0"/>
    <n v="0"/>
    <n v="0"/>
    <n v="0"/>
  </r>
  <r>
    <x v="0"/>
    <s v="2025-06-09 14:43:37"/>
    <n v="10"/>
    <x v="16"/>
    <x v="4"/>
    <x v="2"/>
    <n v="0"/>
    <n v="2E+20"/>
    <n v="0"/>
    <n v="0"/>
    <n v="0"/>
    <n v="0"/>
    <s v="Unnamed Projectseizecleaner.QueueNumber WaitingQueue"/>
    <n v="15"/>
    <n v="0"/>
    <n v="0"/>
    <n v="0.95"/>
    <n v="0"/>
    <n v="0"/>
    <n v="0"/>
    <n v="0"/>
  </r>
  <r>
    <x v="0"/>
    <s v="2025-06-09 14:43:37"/>
    <n v="10"/>
    <x v="17"/>
    <x v="4"/>
    <x v="2"/>
    <n v="0"/>
    <n v="2E+20"/>
    <n v="0"/>
    <n v="0"/>
    <n v="0"/>
    <n v="0"/>
    <s v="Unnamed Projectseizepainter.QueueNumber WaitingQueue"/>
    <n v="15"/>
    <n v="0"/>
    <n v="0"/>
    <n v="0.95"/>
    <n v="0"/>
    <n v="0"/>
    <n v="0"/>
    <n v="0"/>
  </r>
  <r>
    <x v="0"/>
    <s v="2025-06-09 14:43:37"/>
    <n v="10"/>
    <x v="18"/>
    <x v="4"/>
    <x v="2"/>
    <n v="0"/>
    <n v="2E+20"/>
    <n v="0"/>
    <n v="0"/>
    <n v="0"/>
    <n v="0"/>
    <s v="Unnamed Projectseizeqcman.QueueNumber WaitingQueue"/>
    <n v="15"/>
    <n v="0"/>
    <n v="0"/>
    <n v="0.95"/>
    <n v="0"/>
    <n v="0"/>
    <n v="0"/>
    <n v="0"/>
  </r>
  <r>
    <x v="0"/>
    <s v="2025-06-09 14:43:37"/>
    <n v="10"/>
    <x v="19"/>
    <x v="4"/>
    <x v="2"/>
    <n v="0"/>
    <n v="2E+20"/>
    <n v="0"/>
    <n v="0"/>
    <n v="0"/>
    <n v="0"/>
    <s v="Unnamed Projectseizesandblaster.QueueNumber WaitingQueue"/>
    <n v="15"/>
    <n v="0"/>
    <n v="0"/>
    <n v="0.95"/>
    <n v="0"/>
    <n v="0"/>
    <n v="0"/>
    <n v="0"/>
  </r>
  <r>
    <x v="0"/>
    <s v="2025-06-09 14:43:37"/>
    <n v="10"/>
    <x v="20"/>
    <x v="4"/>
    <x v="2"/>
    <n v="0"/>
    <n v="2E+20"/>
    <n v="0"/>
    <n v="0"/>
    <n v="0"/>
    <n v="0"/>
    <s v="Unnamed Projectseizewelder.QueueNumber WaitingQueue"/>
    <n v="15"/>
    <n v="0"/>
    <n v="0"/>
    <n v="0.95"/>
    <n v="0"/>
    <n v="0"/>
    <n v="0"/>
    <n v="0"/>
  </r>
  <r>
    <x v="0"/>
    <s v="2025-06-09 14:43:37"/>
    <n v="10"/>
    <x v="21"/>
    <x v="3"/>
    <x v="1"/>
    <n v="16"/>
    <n v="2E+20"/>
    <n v="16"/>
    <n v="16"/>
    <n v="16"/>
    <n v="0"/>
    <s v="Unnamed ProjectsteelsheetWIPEntity"/>
    <n v="15"/>
    <n v="6.1333333333333337"/>
    <n v="5.3166405433005028"/>
    <n v="0.95"/>
    <n v="2.944257396015229"/>
    <n v="0"/>
    <n v="16"/>
    <n v="2.944257396015229"/>
  </r>
  <r>
    <x v="0"/>
    <s v="2025-06-09 14:43:37"/>
    <n v="10"/>
    <x v="22"/>
    <x v="0"/>
    <x v="0"/>
    <n v="0"/>
    <n v="2E+20"/>
    <n v="0"/>
    <n v="0"/>
    <n v="0"/>
    <n v="0"/>
    <s v="Unnamed ProjectwelderInstantaneous UtilizationResource"/>
    <n v="15"/>
    <n v="0"/>
    <n v="0"/>
    <n v="0.95"/>
    <n v="0"/>
    <n v="0"/>
    <n v="0"/>
    <n v="0"/>
  </r>
  <r>
    <x v="0"/>
    <s v="2025-06-09 14:43:37"/>
    <n v="10"/>
    <x v="22"/>
    <x v="1"/>
    <x v="0"/>
    <n v="0"/>
    <n v="2E+20"/>
    <n v="0"/>
    <n v="0"/>
    <n v="0"/>
    <n v="0"/>
    <s v="Unnamed ProjectwelderNumber BusyResource"/>
    <n v="15"/>
    <n v="0"/>
    <n v="0"/>
    <n v="0.95"/>
    <n v="0"/>
    <n v="0"/>
    <n v="0"/>
    <n v="0"/>
  </r>
  <r>
    <x v="0"/>
    <s v="2025-06-09 14:43:37"/>
    <n v="10"/>
    <x v="22"/>
    <x v="2"/>
    <x v="0"/>
    <n v="1.5834999999999999"/>
    <n v="3E+20"/>
    <n v="1"/>
    <n v="2"/>
    <n v="2"/>
    <n v="0"/>
    <s v="Unnamed ProjectwelderNumber ScheduledResource"/>
    <n v="15"/>
    <n v="1.5334531146777051"/>
    <n v="0.24154952363702747"/>
    <n v="0.95"/>
    <n v="0.13376566756397254"/>
    <n v="1"/>
    <n v="2"/>
    <n v="0.13376566756397254"/>
  </r>
  <r>
    <x v="0"/>
    <s v="2025-06-09 14:43:37"/>
    <n v="10"/>
    <x v="23"/>
    <x v="0"/>
    <x v="0"/>
    <n v="0"/>
    <n v="2E+20"/>
    <n v="0"/>
    <n v="0"/>
    <n v="0"/>
    <n v="0"/>
    <s v="Unnamed ProjectweldingqcworkerInstantaneous UtilizationResource"/>
    <n v="15"/>
    <n v="0"/>
    <n v="0"/>
    <n v="0.95"/>
    <n v="0"/>
    <n v="0"/>
    <n v="0"/>
    <n v="0"/>
  </r>
  <r>
    <x v="0"/>
    <s v="2025-06-09 14:43:37"/>
    <n v="10"/>
    <x v="23"/>
    <x v="1"/>
    <x v="0"/>
    <n v="0"/>
    <n v="2E+20"/>
    <n v="0"/>
    <n v="0"/>
    <n v="0"/>
    <n v="0"/>
    <s v="Unnamed ProjectweldingqcworkerNumber BusyResource"/>
    <n v="15"/>
    <n v="0"/>
    <n v="0"/>
    <n v="0.95"/>
    <n v="0"/>
    <n v="0"/>
    <n v="0"/>
    <n v="0"/>
  </r>
  <r>
    <x v="0"/>
    <s v="2025-06-09 14:43:37"/>
    <n v="10"/>
    <x v="23"/>
    <x v="2"/>
    <x v="0"/>
    <n v="1.5834988798243499"/>
    <n v="3E+20"/>
    <n v="1"/>
    <n v="2"/>
    <n v="2"/>
    <n v="0"/>
    <s v="Unnamed ProjectweldingqcworkerNumber ScheduledResource"/>
    <n v="15"/>
    <n v="1.5334635492504263"/>
    <n v="0.24155183649982462"/>
    <n v="0.95"/>
    <n v="0.1337669483846978"/>
    <n v="1"/>
    <n v="2"/>
    <n v="0.1337669483846978"/>
  </r>
  <r>
    <x v="0"/>
    <s v="2025-06-09 14:43:37"/>
    <n v="11"/>
    <x v="0"/>
    <x v="0"/>
    <x v="0"/>
    <n v="0"/>
    <n v="2E+20"/>
    <n v="0"/>
    <n v="0"/>
    <n v="0"/>
    <n v="0"/>
    <s v="Unnamed ProjectassemblerInstantaneous UtilizationResource"/>
    <n v="15"/>
    <n v="0"/>
    <n v="0"/>
    <n v="0.95"/>
    <n v="0"/>
    <n v="0"/>
    <n v="0"/>
    <n v="0"/>
  </r>
  <r>
    <x v="0"/>
    <s v="2025-06-09 14:43:37"/>
    <n v="11"/>
    <x v="0"/>
    <x v="1"/>
    <x v="0"/>
    <n v="0"/>
    <n v="2E+20"/>
    <n v="0"/>
    <n v="0"/>
    <n v="0"/>
    <n v="0"/>
    <s v="Unnamed ProjectassemblerNumber BusyResource"/>
    <n v="15"/>
    <n v="0"/>
    <n v="0"/>
    <n v="0.95"/>
    <n v="0"/>
    <n v="0"/>
    <n v="0"/>
    <n v="0"/>
  </r>
  <r>
    <x v="0"/>
    <s v="2025-06-09 14:43:37"/>
    <n v="11"/>
    <x v="0"/>
    <x v="2"/>
    <x v="0"/>
    <n v="1.5834135420300199"/>
    <n v="3E+20"/>
    <n v="1"/>
    <n v="2"/>
    <n v="2"/>
    <n v="0"/>
    <s v="Unnamed ProjectassemblerNumber ScheduledResource"/>
    <n v="15"/>
    <n v="1.5333142680768803"/>
    <n v="0.24151891999367611"/>
    <n v="0.95"/>
    <n v="0.13374871983117992"/>
    <n v="1"/>
    <n v="2"/>
    <n v="0.13374871983117992"/>
  </r>
  <r>
    <x v="0"/>
    <s v="2025-06-09 14:43:37"/>
    <n v="11"/>
    <x v="1"/>
    <x v="0"/>
    <x v="0"/>
    <n v="0"/>
    <n v="2E+20"/>
    <n v="0"/>
    <n v="0"/>
    <n v="0"/>
    <n v="0"/>
    <s v="Unnamed ProjectassemblyqcworkerInstantaneous UtilizationResource"/>
    <n v="15"/>
    <n v="0"/>
    <n v="0"/>
    <n v="0.95"/>
    <n v="0"/>
    <n v="0"/>
    <n v="0"/>
    <n v="0"/>
  </r>
  <r>
    <x v="0"/>
    <s v="2025-06-09 14:43:37"/>
    <n v="11"/>
    <x v="1"/>
    <x v="1"/>
    <x v="0"/>
    <n v="0"/>
    <n v="2E+20"/>
    <n v="0"/>
    <n v="0"/>
    <n v="0"/>
    <n v="0"/>
    <s v="Unnamed ProjectassemblyqcworkerNumber BusyResource"/>
    <n v="15"/>
    <n v="0"/>
    <n v="0"/>
    <n v="0.95"/>
    <n v="0"/>
    <n v="0"/>
    <n v="0"/>
    <n v="0"/>
  </r>
  <r>
    <x v="0"/>
    <s v="2025-06-09 14:43:37"/>
    <n v="11"/>
    <x v="1"/>
    <x v="2"/>
    <x v="0"/>
    <n v="1.5834999999999999"/>
    <n v="3E+20"/>
    <n v="1"/>
    <n v="2"/>
    <n v="2"/>
    <n v="0"/>
    <s v="Unnamed Projectassemblyqcworke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11"/>
    <x v="2"/>
    <x v="3"/>
    <x v="1"/>
    <n v="0"/>
    <n v="2E+20"/>
    <n v="0"/>
    <n v="0"/>
    <n v="0"/>
    <n v="0"/>
    <s v="Unnamed Projectbatched_partsWIPEntity"/>
    <n v="15"/>
    <n v="0"/>
    <n v="0"/>
    <n v="0.95"/>
    <n v="0"/>
    <n v="0"/>
    <n v="0"/>
    <n v="0"/>
  </r>
  <r>
    <x v="0"/>
    <s v="2025-06-09 14:43:37"/>
    <n v="11"/>
    <x v="3"/>
    <x v="0"/>
    <x v="0"/>
    <n v="0"/>
    <n v="2E+20"/>
    <n v="0"/>
    <n v="0"/>
    <n v="0"/>
    <n v="0"/>
    <s v="Unnamed ProjectcleanerInstantaneous UtilizationResource"/>
    <n v="15"/>
    <n v="0"/>
    <n v="0"/>
    <n v="0.95"/>
    <n v="0"/>
    <n v="0"/>
    <n v="0"/>
    <n v="0"/>
  </r>
  <r>
    <x v="0"/>
    <s v="2025-06-09 14:43:37"/>
    <n v="11"/>
    <x v="3"/>
    <x v="1"/>
    <x v="0"/>
    <n v="0"/>
    <n v="2E+20"/>
    <n v="0"/>
    <n v="0"/>
    <n v="0"/>
    <n v="0"/>
    <s v="Unnamed ProjectcleanerNumber BusyResource"/>
    <n v="15"/>
    <n v="0"/>
    <n v="0"/>
    <n v="0.95"/>
    <n v="0"/>
    <n v="0"/>
    <n v="0"/>
    <n v="0"/>
  </r>
  <r>
    <x v="0"/>
    <s v="2025-06-09 14:43:37"/>
    <n v="11"/>
    <x v="3"/>
    <x v="2"/>
    <x v="0"/>
    <n v="1.5834999999999999"/>
    <n v="3E+20"/>
    <n v="1"/>
    <n v="2"/>
    <n v="2"/>
    <n v="0"/>
    <s v="Unnamed ProjectcleanerNumber ScheduledResource"/>
    <n v="15"/>
    <n v="1.5334471868881776"/>
    <n v="0.24154821158553658"/>
    <n v="0.95"/>
    <n v="0.13376494097407529"/>
    <n v="1"/>
    <n v="2"/>
    <n v="0.13376494097407529"/>
  </r>
  <r>
    <x v="0"/>
    <s v="2025-06-09 14:43:37"/>
    <n v="11"/>
    <x v="4"/>
    <x v="0"/>
    <x v="0"/>
    <n v="0"/>
    <n v="2E+20"/>
    <n v="0"/>
    <n v="0"/>
    <n v="0"/>
    <n v="0"/>
    <s v="Unnamed ProjectcutterInstantaneous UtilizationResource"/>
    <n v="15"/>
    <n v="0"/>
    <n v="0"/>
    <n v="0.95"/>
    <n v="0"/>
    <n v="0"/>
    <n v="0"/>
    <n v="0"/>
  </r>
  <r>
    <x v="0"/>
    <s v="2025-06-09 14:43:37"/>
    <n v="11"/>
    <x v="4"/>
    <x v="1"/>
    <x v="0"/>
    <n v="0"/>
    <n v="2E+20"/>
    <n v="0"/>
    <n v="0"/>
    <n v="0"/>
    <n v="0"/>
    <s v="Unnamed ProjectcutterNumber BusyResource"/>
    <n v="15"/>
    <n v="0"/>
    <n v="0"/>
    <n v="0.95"/>
    <n v="0"/>
    <n v="0"/>
    <n v="0"/>
    <n v="0"/>
  </r>
  <r>
    <x v="0"/>
    <s v="2025-06-09 14:43:37"/>
    <n v="11"/>
    <x v="4"/>
    <x v="2"/>
    <x v="0"/>
    <n v="1.583375"/>
    <n v="3E+20"/>
    <n v="1"/>
    <n v="2"/>
    <n v="2"/>
    <n v="0"/>
    <s v="Unnamed ProjectcutterNumber ScheduledResource"/>
    <n v="15"/>
    <n v="1.5332999999999999"/>
    <n v="0.24151556349584294"/>
    <n v="0.95"/>
    <n v="0.1337468610646356"/>
    <n v="1"/>
    <n v="2"/>
    <n v="0.1337468610646356"/>
  </r>
  <r>
    <x v="0"/>
    <s v="2025-06-09 14:43:37"/>
    <n v="11"/>
    <x v="5"/>
    <x v="0"/>
    <x v="0"/>
    <n v="0"/>
    <n v="2E+20"/>
    <n v="0"/>
    <n v="0"/>
    <n v="0"/>
    <n v="0"/>
    <s v="Unnamed ProjectfinalqcmanInstantaneous UtilizationResource"/>
    <n v="15"/>
    <n v="0"/>
    <n v="0"/>
    <n v="0.95"/>
    <n v="0"/>
    <n v="0"/>
    <n v="0"/>
    <n v="0"/>
  </r>
  <r>
    <x v="0"/>
    <s v="2025-06-09 14:43:37"/>
    <n v="11"/>
    <x v="5"/>
    <x v="1"/>
    <x v="0"/>
    <n v="0"/>
    <n v="2E+20"/>
    <n v="0"/>
    <n v="0"/>
    <n v="0"/>
    <n v="0"/>
    <s v="Unnamed ProjectfinalqcmanNumber BusyResource"/>
    <n v="15"/>
    <n v="0"/>
    <n v="0"/>
    <n v="0.95"/>
    <n v="0"/>
    <n v="0"/>
    <n v="0"/>
    <n v="0"/>
  </r>
  <r>
    <x v="0"/>
    <s v="2025-06-09 14:43:37"/>
    <n v="11"/>
    <x v="5"/>
    <x v="2"/>
    <x v="0"/>
    <n v="1.58343733048925"/>
    <n v="3E+20"/>
    <n v="1"/>
    <n v="2"/>
    <n v="2"/>
    <n v="0"/>
    <s v="Unnamed ProjectfinalqcmanNumber ScheduledResource"/>
    <n v="15"/>
    <n v="1.5334510661643974"/>
    <n v="0.24154906725932371"/>
    <n v="0.95"/>
    <n v="0.13376541483042423"/>
    <n v="1"/>
    <n v="2"/>
    <n v="0.13376541483042423"/>
  </r>
  <r>
    <x v="0"/>
    <s v="2025-06-09 14:43:37"/>
    <n v="11"/>
    <x v="6"/>
    <x v="4"/>
    <x v="2"/>
    <n v="0"/>
    <n v="2E+20"/>
    <n v="0"/>
    <n v="0"/>
    <n v="0"/>
    <n v="0"/>
    <s v="Unnamed Projectinspectorseize.QueueNumber WaitingQueue"/>
    <n v="15"/>
    <n v="0"/>
    <n v="0"/>
    <n v="0.95"/>
    <n v="0"/>
    <n v="0"/>
    <n v="0"/>
    <n v="0"/>
  </r>
  <r>
    <x v="0"/>
    <s v="2025-06-09 14:43:37"/>
    <n v="11"/>
    <x v="7"/>
    <x v="4"/>
    <x v="2"/>
    <n v="0"/>
    <n v="2E+20"/>
    <n v="0"/>
    <n v="0"/>
    <n v="0"/>
    <n v="0"/>
    <s v="Unnamed Projectmatch_truckcombo.Queue1Number WaitingQueue"/>
    <n v="15"/>
    <n v="3.3333333333333335"/>
    <n v="4.577377082170635"/>
    <n v="0.95"/>
    <n v="2.5348669368881507"/>
    <n v="0"/>
    <n v="12"/>
    <n v="2.5348669368881507"/>
  </r>
  <r>
    <x v="0"/>
    <s v="2025-06-09 14:43:37"/>
    <n v="11"/>
    <x v="8"/>
    <x v="4"/>
    <x v="2"/>
    <n v="4"/>
    <n v="2E+20"/>
    <n v="4"/>
    <n v="4"/>
    <n v="4"/>
    <n v="0"/>
    <s v="Unnamed Projectmatch_truckcombo.Queue2Number WaitingQueue"/>
    <n v="15"/>
    <n v="2.8"/>
    <n v="5.226307081896902"/>
    <n v="0.95"/>
    <n v="2.8942323925042523"/>
    <n v="0"/>
    <n v="16"/>
    <n v="2.8942323925042523"/>
  </r>
  <r>
    <x v="0"/>
    <s v="2025-06-09 14:43:37"/>
    <n v="11"/>
    <x v="9"/>
    <x v="0"/>
    <x v="0"/>
    <n v="0"/>
    <n v="2E+20"/>
    <n v="0"/>
    <n v="0"/>
    <n v="0"/>
    <n v="0"/>
    <s v="Unnamed ProjectpaintingmachineInstantaneous UtilizationResource"/>
    <n v="15"/>
    <n v="0"/>
    <n v="0"/>
    <n v="0.95"/>
    <n v="0"/>
    <n v="0"/>
    <n v="0"/>
    <n v="0"/>
  </r>
  <r>
    <x v="0"/>
    <s v="2025-06-09 14:43:37"/>
    <n v="11"/>
    <x v="9"/>
    <x v="1"/>
    <x v="0"/>
    <n v="0"/>
    <n v="2E+20"/>
    <n v="0"/>
    <n v="0"/>
    <n v="0"/>
    <n v="0"/>
    <s v="Unnamed ProjectpaintingmachineNumber BusyResource"/>
    <n v="15"/>
    <n v="0"/>
    <n v="0"/>
    <n v="0.95"/>
    <n v="0"/>
    <n v="0"/>
    <n v="0"/>
    <n v="0"/>
  </r>
  <r>
    <x v="0"/>
    <s v="2025-06-09 14:43:37"/>
    <n v="11"/>
    <x v="9"/>
    <x v="2"/>
    <x v="0"/>
    <n v="1"/>
    <n v="2E+20"/>
    <n v="1"/>
    <n v="1"/>
    <n v="1"/>
    <n v="0"/>
    <s v="Unnamed ProjectpaintingmachineNumber ScheduledResource"/>
    <n v="15"/>
    <n v="1"/>
    <n v="0"/>
    <n v="0.95"/>
    <n v="0"/>
    <n v="1"/>
    <n v="1"/>
    <n v="0"/>
  </r>
  <r>
    <x v="0"/>
    <s v="2025-06-09 14:43:37"/>
    <n v="11"/>
    <x v="10"/>
    <x v="0"/>
    <x v="0"/>
    <n v="0"/>
    <n v="2E+20"/>
    <n v="0"/>
    <n v="0"/>
    <n v="0"/>
    <n v="0"/>
    <s v="Unnamed ProjectpaintingoperatorInstantaneous UtilizationResource"/>
    <n v="15"/>
    <n v="0"/>
    <n v="0"/>
    <n v="0.95"/>
    <n v="0"/>
    <n v="0"/>
    <n v="0"/>
    <n v="0"/>
  </r>
  <r>
    <x v="0"/>
    <s v="2025-06-09 14:43:37"/>
    <n v="11"/>
    <x v="10"/>
    <x v="1"/>
    <x v="0"/>
    <n v="0"/>
    <n v="2E+20"/>
    <n v="0"/>
    <n v="0"/>
    <n v="0"/>
    <n v="0"/>
    <s v="Unnamed ProjectpaintingoperatorNumber BusyResource"/>
    <n v="15"/>
    <n v="0"/>
    <n v="0"/>
    <n v="0.95"/>
    <n v="0"/>
    <n v="0"/>
    <n v="0"/>
    <n v="0"/>
  </r>
  <r>
    <x v="0"/>
    <s v="2025-06-09 14:43:37"/>
    <n v="11"/>
    <x v="10"/>
    <x v="2"/>
    <x v="0"/>
    <n v="1.5834999999999999"/>
    <n v="3E+20"/>
    <n v="1"/>
    <n v="2"/>
    <n v="2"/>
    <n v="0"/>
    <s v="Unnamed Projectpaintingoperato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11"/>
    <x v="11"/>
    <x v="0"/>
    <x v="0"/>
    <n v="0"/>
    <n v="2E+20"/>
    <n v="0"/>
    <n v="0"/>
    <n v="0"/>
    <n v="0"/>
    <s v="Unnamed ProjectsandblastmachineInstantaneous UtilizationResource"/>
    <n v="15"/>
    <n v="0"/>
    <n v="0"/>
    <n v="0.95"/>
    <n v="0"/>
    <n v="0"/>
    <n v="0"/>
    <n v="0"/>
  </r>
  <r>
    <x v="0"/>
    <s v="2025-06-09 14:43:37"/>
    <n v="11"/>
    <x v="11"/>
    <x v="1"/>
    <x v="0"/>
    <n v="0"/>
    <n v="2E+20"/>
    <n v="0"/>
    <n v="0"/>
    <n v="0"/>
    <n v="0"/>
    <s v="Unnamed ProjectsandblastmachineNumber BusyResource"/>
    <n v="15"/>
    <n v="0"/>
    <n v="0"/>
    <n v="0.95"/>
    <n v="0"/>
    <n v="0"/>
    <n v="0"/>
    <n v="0"/>
  </r>
  <r>
    <x v="0"/>
    <s v="2025-06-09 14:43:37"/>
    <n v="11"/>
    <x v="11"/>
    <x v="2"/>
    <x v="0"/>
    <n v="1"/>
    <n v="2E+20"/>
    <n v="1"/>
    <n v="1"/>
    <n v="1"/>
    <n v="0"/>
    <s v="Unnamed ProjectsandblastmachineNumber ScheduledResource"/>
    <n v="15"/>
    <n v="1"/>
    <n v="0"/>
    <n v="0.95"/>
    <n v="0"/>
    <n v="1"/>
    <n v="1"/>
    <n v="0"/>
  </r>
  <r>
    <x v="0"/>
    <s v="2025-06-09 14:43:37"/>
    <n v="11"/>
    <x v="12"/>
    <x v="0"/>
    <x v="0"/>
    <n v="0"/>
    <n v="2E+20"/>
    <n v="0"/>
    <n v="0"/>
    <n v="0"/>
    <n v="0"/>
    <s v="Unnamed ProjectsandblastoperatorInstantaneous UtilizationResource"/>
    <n v="15"/>
    <n v="0"/>
    <n v="0"/>
    <n v="0.95"/>
    <n v="0"/>
    <n v="0"/>
    <n v="0"/>
    <n v="0"/>
  </r>
  <r>
    <x v="0"/>
    <s v="2025-06-09 14:43:37"/>
    <n v="11"/>
    <x v="12"/>
    <x v="1"/>
    <x v="0"/>
    <n v="0"/>
    <n v="2E+20"/>
    <n v="0"/>
    <n v="0"/>
    <n v="0"/>
    <n v="0"/>
    <s v="Unnamed ProjectsandblastoperatorNumber BusyResource"/>
    <n v="15"/>
    <n v="0"/>
    <n v="0"/>
    <n v="0.95"/>
    <n v="0"/>
    <n v="0"/>
    <n v="0"/>
    <n v="0"/>
  </r>
  <r>
    <x v="0"/>
    <s v="2025-06-09 14:43:37"/>
    <n v="11"/>
    <x v="12"/>
    <x v="2"/>
    <x v="0"/>
    <n v="1.5834999999999999"/>
    <n v="3E+20"/>
    <n v="1"/>
    <n v="2"/>
    <n v="2"/>
    <n v="0"/>
    <s v="Unnamed Projectsandblastoperato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11"/>
    <x v="13"/>
    <x v="4"/>
    <x v="2"/>
    <n v="0"/>
    <n v="2E+20"/>
    <n v="0"/>
    <n v="0"/>
    <n v="0"/>
    <n v="0"/>
    <s v="Unnamed Projectseize_assembler.QueueNumber WaitingQueue"/>
    <n v="15"/>
    <n v="0"/>
    <n v="0"/>
    <n v="0.95"/>
    <n v="0"/>
    <n v="0"/>
    <n v="0"/>
    <n v="0"/>
  </r>
  <r>
    <x v="0"/>
    <s v="2025-06-09 14:43:37"/>
    <n v="11"/>
    <x v="14"/>
    <x v="4"/>
    <x v="2"/>
    <n v="0"/>
    <n v="2E+20"/>
    <n v="0"/>
    <n v="0"/>
    <n v="0"/>
    <n v="0"/>
    <s v="Unnamed Projectseize_cutter.QueueNumber WaitingQueue"/>
    <n v="15"/>
    <n v="0"/>
    <n v="0"/>
    <n v="0.95"/>
    <n v="0"/>
    <n v="0"/>
    <n v="0"/>
    <n v="0"/>
  </r>
  <r>
    <x v="0"/>
    <s v="2025-06-09 14:43:37"/>
    <n v="11"/>
    <x v="15"/>
    <x v="4"/>
    <x v="2"/>
    <n v="0"/>
    <n v="2E+20"/>
    <n v="0"/>
    <n v="0"/>
    <n v="0"/>
    <n v="0"/>
    <s v="Unnamed Projectseizeassemblyqcman.QueueNumber WaitingQueue"/>
    <n v="15"/>
    <n v="0"/>
    <n v="0"/>
    <n v="0.95"/>
    <n v="0"/>
    <n v="0"/>
    <n v="0"/>
    <n v="0"/>
  </r>
  <r>
    <x v="0"/>
    <s v="2025-06-09 14:43:37"/>
    <n v="11"/>
    <x v="16"/>
    <x v="4"/>
    <x v="2"/>
    <n v="0"/>
    <n v="2E+20"/>
    <n v="0"/>
    <n v="0"/>
    <n v="0"/>
    <n v="0"/>
    <s v="Unnamed Projectseizecleaner.QueueNumber WaitingQueue"/>
    <n v="15"/>
    <n v="0"/>
    <n v="0"/>
    <n v="0.95"/>
    <n v="0"/>
    <n v="0"/>
    <n v="0"/>
    <n v="0"/>
  </r>
  <r>
    <x v="0"/>
    <s v="2025-06-09 14:43:37"/>
    <n v="11"/>
    <x v="17"/>
    <x v="4"/>
    <x v="2"/>
    <n v="0"/>
    <n v="2E+20"/>
    <n v="0"/>
    <n v="0"/>
    <n v="0"/>
    <n v="0"/>
    <s v="Unnamed Projectseizepainter.QueueNumber WaitingQueue"/>
    <n v="15"/>
    <n v="0"/>
    <n v="0"/>
    <n v="0.95"/>
    <n v="0"/>
    <n v="0"/>
    <n v="0"/>
    <n v="0"/>
  </r>
  <r>
    <x v="0"/>
    <s v="2025-06-09 14:43:37"/>
    <n v="11"/>
    <x v="18"/>
    <x v="4"/>
    <x v="2"/>
    <n v="0"/>
    <n v="2E+20"/>
    <n v="0"/>
    <n v="0"/>
    <n v="0"/>
    <n v="0"/>
    <s v="Unnamed Projectseizeqcman.QueueNumber WaitingQueue"/>
    <n v="15"/>
    <n v="0"/>
    <n v="0"/>
    <n v="0.95"/>
    <n v="0"/>
    <n v="0"/>
    <n v="0"/>
    <n v="0"/>
  </r>
  <r>
    <x v="0"/>
    <s v="2025-06-09 14:43:37"/>
    <n v="11"/>
    <x v="19"/>
    <x v="4"/>
    <x v="2"/>
    <n v="0"/>
    <n v="2E+20"/>
    <n v="0"/>
    <n v="0"/>
    <n v="0"/>
    <n v="0"/>
    <s v="Unnamed Projectseizesandblaster.QueueNumber WaitingQueue"/>
    <n v="15"/>
    <n v="0"/>
    <n v="0"/>
    <n v="0.95"/>
    <n v="0"/>
    <n v="0"/>
    <n v="0"/>
    <n v="0"/>
  </r>
  <r>
    <x v="0"/>
    <s v="2025-06-09 14:43:37"/>
    <n v="11"/>
    <x v="20"/>
    <x v="4"/>
    <x v="2"/>
    <n v="0"/>
    <n v="2E+20"/>
    <n v="0"/>
    <n v="0"/>
    <n v="0"/>
    <n v="0"/>
    <s v="Unnamed Projectseizewelder.QueueNumber WaitingQueue"/>
    <n v="15"/>
    <n v="0"/>
    <n v="0"/>
    <n v="0.95"/>
    <n v="0"/>
    <n v="0"/>
    <n v="0"/>
    <n v="0"/>
  </r>
  <r>
    <x v="0"/>
    <s v="2025-06-09 14:43:37"/>
    <n v="11"/>
    <x v="21"/>
    <x v="3"/>
    <x v="1"/>
    <n v="4"/>
    <n v="2E+20"/>
    <n v="4"/>
    <n v="4"/>
    <n v="4"/>
    <n v="0"/>
    <s v="Unnamed ProjectsteelsheetWIPEntity"/>
    <n v="15"/>
    <n v="6.1333333333333337"/>
    <n v="5.3166405433005028"/>
    <n v="0.95"/>
    <n v="2.944257396015229"/>
    <n v="0"/>
    <n v="16"/>
    <n v="2.944257396015229"/>
  </r>
  <r>
    <x v="0"/>
    <s v="2025-06-09 14:43:37"/>
    <n v="11"/>
    <x v="22"/>
    <x v="0"/>
    <x v="0"/>
    <n v="0"/>
    <n v="2E+20"/>
    <n v="0"/>
    <n v="0"/>
    <n v="0"/>
    <n v="0"/>
    <s v="Unnamed ProjectwelderInstantaneous UtilizationResource"/>
    <n v="15"/>
    <n v="0"/>
    <n v="0"/>
    <n v="0.95"/>
    <n v="0"/>
    <n v="0"/>
    <n v="0"/>
    <n v="0"/>
  </r>
  <r>
    <x v="0"/>
    <s v="2025-06-09 14:43:37"/>
    <n v="11"/>
    <x v="22"/>
    <x v="1"/>
    <x v="0"/>
    <n v="0"/>
    <n v="2E+20"/>
    <n v="0"/>
    <n v="0"/>
    <n v="0"/>
    <n v="0"/>
    <s v="Unnamed ProjectwelderNumber BusyResource"/>
    <n v="15"/>
    <n v="0"/>
    <n v="0"/>
    <n v="0.95"/>
    <n v="0"/>
    <n v="0"/>
    <n v="0"/>
    <n v="0"/>
  </r>
  <r>
    <x v="0"/>
    <s v="2025-06-09 14:43:37"/>
    <n v="11"/>
    <x v="22"/>
    <x v="2"/>
    <x v="0"/>
    <n v="1.5834999999999999"/>
    <n v="3E+20"/>
    <n v="1"/>
    <n v="2"/>
    <n v="2"/>
    <n v="0"/>
    <s v="Unnamed ProjectwelderNumber ScheduledResource"/>
    <n v="15"/>
    <n v="1.5334531146777051"/>
    <n v="0.24154952363702747"/>
    <n v="0.95"/>
    <n v="0.13376566756397254"/>
    <n v="1"/>
    <n v="2"/>
    <n v="0.13376566756397254"/>
  </r>
  <r>
    <x v="0"/>
    <s v="2025-06-09 14:43:37"/>
    <n v="11"/>
    <x v="23"/>
    <x v="0"/>
    <x v="0"/>
    <n v="0"/>
    <n v="2E+20"/>
    <n v="0"/>
    <n v="0"/>
    <n v="0"/>
    <n v="0"/>
    <s v="Unnamed ProjectweldingqcworkerInstantaneous UtilizationResource"/>
    <n v="15"/>
    <n v="0"/>
    <n v="0"/>
    <n v="0.95"/>
    <n v="0"/>
    <n v="0"/>
    <n v="0"/>
    <n v="0"/>
  </r>
  <r>
    <x v="0"/>
    <s v="2025-06-09 14:43:37"/>
    <n v="11"/>
    <x v="23"/>
    <x v="1"/>
    <x v="0"/>
    <n v="0"/>
    <n v="2E+20"/>
    <n v="0"/>
    <n v="0"/>
    <n v="0"/>
    <n v="0"/>
    <s v="Unnamed ProjectweldingqcworkerNumber BusyResource"/>
    <n v="15"/>
    <n v="0"/>
    <n v="0"/>
    <n v="0.95"/>
    <n v="0"/>
    <n v="0"/>
    <n v="0"/>
    <n v="0"/>
  </r>
  <r>
    <x v="0"/>
    <s v="2025-06-09 14:43:37"/>
    <n v="11"/>
    <x v="23"/>
    <x v="2"/>
    <x v="0"/>
    <n v="1.5834999999999999"/>
    <n v="3E+20"/>
    <n v="1"/>
    <n v="2"/>
    <n v="2"/>
    <n v="0"/>
    <s v="Unnamed ProjectweldingqcworkerNumber ScheduledResource"/>
    <n v="15"/>
    <n v="1.5334635492504263"/>
    <n v="0.24155183649982462"/>
    <n v="0.95"/>
    <n v="0.1337669483846978"/>
    <n v="1"/>
    <n v="2"/>
    <n v="0.1337669483846978"/>
  </r>
  <r>
    <x v="0"/>
    <s v="2025-06-09 14:43:37"/>
    <n v="12"/>
    <x v="0"/>
    <x v="0"/>
    <x v="0"/>
    <n v="0"/>
    <n v="2E+20"/>
    <n v="0"/>
    <n v="0"/>
    <n v="0"/>
    <n v="0"/>
    <s v="Unnamed ProjectassemblerInstantaneous UtilizationResource"/>
    <n v="15"/>
    <n v="0"/>
    <n v="0"/>
    <n v="0.95"/>
    <n v="0"/>
    <n v="0"/>
    <n v="0"/>
    <n v="0"/>
  </r>
  <r>
    <x v="0"/>
    <s v="2025-06-09 14:43:37"/>
    <n v="12"/>
    <x v="0"/>
    <x v="1"/>
    <x v="0"/>
    <n v="0"/>
    <n v="2E+20"/>
    <n v="0"/>
    <n v="0"/>
    <n v="0"/>
    <n v="0"/>
    <s v="Unnamed ProjectassemblerNumber BusyResource"/>
    <n v="15"/>
    <n v="0"/>
    <n v="0"/>
    <n v="0.95"/>
    <n v="0"/>
    <n v="0"/>
    <n v="0"/>
    <n v="0"/>
  </r>
  <r>
    <x v="0"/>
    <s v="2025-06-09 14:43:37"/>
    <n v="12"/>
    <x v="0"/>
    <x v="2"/>
    <x v="0"/>
    <n v="1.5835195122237"/>
    <n v="3E+20"/>
    <n v="1"/>
    <n v="2"/>
    <n v="2"/>
    <n v="0"/>
    <s v="Unnamed ProjectassemblerNumber ScheduledResource"/>
    <n v="15"/>
    <n v="1.5333142680768803"/>
    <n v="0.24151891999367611"/>
    <n v="0.95"/>
    <n v="0.13374871983117992"/>
    <n v="1"/>
    <n v="2"/>
    <n v="0.13374871983117992"/>
  </r>
  <r>
    <x v="0"/>
    <s v="2025-06-09 14:43:37"/>
    <n v="12"/>
    <x v="1"/>
    <x v="0"/>
    <x v="0"/>
    <n v="0"/>
    <n v="2E+20"/>
    <n v="0"/>
    <n v="0"/>
    <n v="0"/>
    <n v="0"/>
    <s v="Unnamed ProjectassemblyqcworkerInstantaneous UtilizationResource"/>
    <n v="15"/>
    <n v="0"/>
    <n v="0"/>
    <n v="0.95"/>
    <n v="0"/>
    <n v="0"/>
    <n v="0"/>
    <n v="0"/>
  </r>
  <r>
    <x v="0"/>
    <s v="2025-06-09 14:43:37"/>
    <n v="12"/>
    <x v="1"/>
    <x v="1"/>
    <x v="0"/>
    <n v="0"/>
    <n v="2E+20"/>
    <n v="0"/>
    <n v="0"/>
    <n v="0"/>
    <n v="0"/>
    <s v="Unnamed ProjectassemblyqcworkerNumber BusyResource"/>
    <n v="15"/>
    <n v="0"/>
    <n v="0"/>
    <n v="0.95"/>
    <n v="0"/>
    <n v="0"/>
    <n v="0"/>
    <n v="0"/>
  </r>
  <r>
    <x v="0"/>
    <s v="2025-06-09 14:43:37"/>
    <n v="12"/>
    <x v="1"/>
    <x v="2"/>
    <x v="0"/>
    <n v="1.5834999999999999"/>
    <n v="3E+20"/>
    <n v="1"/>
    <n v="2"/>
    <n v="2"/>
    <n v="0"/>
    <s v="Unnamed Projectassemblyqcworke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12"/>
    <x v="2"/>
    <x v="3"/>
    <x v="1"/>
    <n v="0"/>
    <n v="2E+20"/>
    <n v="0"/>
    <n v="0"/>
    <n v="0"/>
    <n v="0"/>
    <s v="Unnamed Projectbatched_partsWIPEntity"/>
    <n v="15"/>
    <n v="0"/>
    <n v="0"/>
    <n v="0.95"/>
    <n v="0"/>
    <n v="0"/>
    <n v="0"/>
    <n v="0"/>
  </r>
  <r>
    <x v="0"/>
    <s v="2025-06-09 14:43:37"/>
    <n v="12"/>
    <x v="3"/>
    <x v="0"/>
    <x v="0"/>
    <n v="0"/>
    <n v="2E+20"/>
    <n v="0"/>
    <n v="0"/>
    <n v="0"/>
    <n v="0"/>
    <s v="Unnamed ProjectcleanerInstantaneous UtilizationResource"/>
    <n v="15"/>
    <n v="0"/>
    <n v="0"/>
    <n v="0.95"/>
    <n v="0"/>
    <n v="0"/>
    <n v="0"/>
    <n v="0"/>
  </r>
  <r>
    <x v="0"/>
    <s v="2025-06-09 14:43:37"/>
    <n v="12"/>
    <x v="3"/>
    <x v="1"/>
    <x v="0"/>
    <n v="0"/>
    <n v="2E+20"/>
    <n v="0"/>
    <n v="0"/>
    <n v="0"/>
    <n v="0"/>
    <s v="Unnamed ProjectcleanerNumber BusyResource"/>
    <n v="15"/>
    <n v="0"/>
    <n v="0"/>
    <n v="0.95"/>
    <n v="0"/>
    <n v="0"/>
    <n v="0"/>
    <n v="0"/>
  </r>
  <r>
    <x v="0"/>
    <s v="2025-06-09 14:43:37"/>
    <n v="12"/>
    <x v="3"/>
    <x v="2"/>
    <x v="0"/>
    <n v="1.5834999999999999"/>
    <n v="3E+20"/>
    <n v="1"/>
    <n v="2"/>
    <n v="2"/>
    <n v="0"/>
    <s v="Unnamed ProjectcleanerNumber ScheduledResource"/>
    <n v="15"/>
    <n v="1.5334471868881776"/>
    <n v="0.24154821158553658"/>
    <n v="0.95"/>
    <n v="0.13376494097407529"/>
    <n v="1"/>
    <n v="2"/>
    <n v="0.13376494097407529"/>
  </r>
  <r>
    <x v="0"/>
    <s v="2025-06-09 14:43:37"/>
    <n v="12"/>
    <x v="4"/>
    <x v="0"/>
    <x v="0"/>
    <n v="0"/>
    <n v="2E+20"/>
    <n v="0"/>
    <n v="0"/>
    <n v="0"/>
    <n v="0"/>
    <s v="Unnamed ProjectcutterInstantaneous UtilizationResource"/>
    <n v="15"/>
    <n v="0"/>
    <n v="0"/>
    <n v="0.95"/>
    <n v="0"/>
    <n v="0"/>
    <n v="0"/>
    <n v="0"/>
  </r>
  <r>
    <x v="0"/>
    <s v="2025-06-09 14:43:37"/>
    <n v="12"/>
    <x v="4"/>
    <x v="1"/>
    <x v="0"/>
    <n v="0"/>
    <n v="2E+20"/>
    <n v="0"/>
    <n v="0"/>
    <n v="0"/>
    <n v="0"/>
    <s v="Unnamed ProjectcutterNumber BusyResource"/>
    <n v="15"/>
    <n v="0"/>
    <n v="0"/>
    <n v="0.95"/>
    <n v="0"/>
    <n v="0"/>
    <n v="0"/>
    <n v="0"/>
  </r>
  <r>
    <x v="0"/>
    <s v="2025-06-09 14:43:37"/>
    <n v="12"/>
    <x v="4"/>
    <x v="2"/>
    <x v="0"/>
    <n v="1.5831249999999999"/>
    <n v="3E+20"/>
    <n v="1"/>
    <n v="2"/>
    <n v="2"/>
    <n v="0"/>
    <s v="Unnamed ProjectcutterNumber ScheduledResource"/>
    <n v="15"/>
    <n v="1.5332999999999999"/>
    <n v="0.24151556349584294"/>
    <n v="0.95"/>
    <n v="0.1337468610646356"/>
    <n v="1"/>
    <n v="2"/>
    <n v="0.1337468610646356"/>
  </r>
  <r>
    <x v="0"/>
    <s v="2025-06-09 14:43:37"/>
    <n v="12"/>
    <x v="5"/>
    <x v="0"/>
    <x v="0"/>
    <n v="0"/>
    <n v="2E+20"/>
    <n v="0"/>
    <n v="0"/>
    <n v="0"/>
    <n v="0"/>
    <s v="Unnamed ProjectfinalqcmanInstantaneous UtilizationResource"/>
    <n v="15"/>
    <n v="0"/>
    <n v="0"/>
    <n v="0.95"/>
    <n v="0"/>
    <n v="0"/>
    <n v="0"/>
    <n v="0"/>
  </r>
  <r>
    <x v="0"/>
    <s v="2025-06-09 14:43:37"/>
    <n v="12"/>
    <x v="5"/>
    <x v="1"/>
    <x v="0"/>
    <n v="0"/>
    <n v="2E+20"/>
    <n v="0"/>
    <n v="0"/>
    <n v="0"/>
    <n v="0"/>
    <s v="Unnamed ProjectfinalqcmanNumber BusyResource"/>
    <n v="15"/>
    <n v="0"/>
    <n v="0"/>
    <n v="0.95"/>
    <n v="0"/>
    <n v="0"/>
    <n v="0"/>
    <n v="0"/>
  </r>
  <r>
    <x v="0"/>
    <s v="2025-06-09 14:43:37"/>
    <n v="12"/>
    <x v="5"/>
    <x v="2"/>
    <x v="0"/>
    <n v="1.5834695733602"/>
    <n v="3E+20"/>
    <n v="1"/>
    <n v="2"/>
    <n v="2"/>
    <n v="0"/>
    <s v="Unnamed ProjectfinalqcmanNumber ScheduledResource"/>
    <n v="15"/>
    <n v="1.5334510661643974"/>
    <n v="0.24154906725932371"/>
    <n v="0.95"/>
    <n v="0.13376541483042423"/>
    <n v="1"/>
    <n v="2"/>
    <n v="0.13376541483042423"/>
  </r>
  <r>
    <x v="0"/>
    <s v="2025-06-09 14:43:37"/>
    <n v="12"/>
    <x v="6"/>
    <x v="4"/>
    <x v="2"/>
    <n v="0"/>
    <n v="2E+20"/>
    <n v="0"/>
    <n v="0"/>
    <n v="0"/>
    <n v="0"/>
    <s v="Unnamed Projectinspectorseize.QueueNumber WaitingQueue"/>
    <n v="15"/>
    <n v="0"/>
    <n v="0"/>
    <n v="0.95"/>
    <n v="0"/>
    <n v="0"/>
    <n v="0"/>
    <n v="0"/>
  </r>
  <r>
    <x v="0"/>
    <s v="2025-06-09 14:43:37"/>
    <n v="12"/>
    <x v="7"/>
    <x v="4"/>
    <x v="2"/>
    <n v="0"/>
    <n v="2E+20"/>
    <n v="0"/>
    <n v="0"/>
    <n v="0"/>
    <n v="0"/>
    <s v="Unnamed Projectmatch_truckcombo.Queue1Number WaitingQueue"/>
    <n v="15"/>
    <n v="3.3333333333333335"/>
    <n v="4.577377082170635"/>
    <n v="0.95"/>
    <n v="2.5348669368881507"/>
    <n v="0"/>
    <n v="12"/>
    <n v="2.5348669368881507"/>
  </r>
  <r>
    <x v="0"/>
    <s v="2025-06-09 14:43:37"/>
    <n v="12"/>
    <x v="8"/>
    <x v="4"/>
    <x v="2"/>
    <n v="4"/>
    <n v="2E+20"/>
    <n v="4"/>
    <n v="4"/>
    <n v="4"/>
    <n v="0"/>
    <s v="Unnamed Projectmatch_truckcombo.Queue2Number WaitingQueue"/>
    <n v="15"/>
    <n v="2.8"/>
    <n v="5.226307081896902"/>
    <n v="0.95"/>
    <n v="2.8942323925042523"/>
    <n v="0"/>
    <n v="16"/>
    <n v="2.8942323925042523"/>
  </r>
  <r>
    <x v="0"/>
    <s v="2025-06-09 14:43:37"/>
    <n v="12"/>
    <x v="9"/>
    <x v="0"/>
    <x v="0"/>
    <n v="0"/>
    <n v="2E+20"/>
    <n v="0"/>
    <n v="0"/>
    <n v="0"/>
    <n v="0"/>
    <s v="Unnamed ProjectpaintingmachineInstantaneous UtilizationResource"/>
    <n v="15"/>
    <n v="0"/>
    <n v="0"/>
    <n v="0.95"/>
    <n v="0"/>
    <n v="0"/>
    <n v="0"/>
    <n v="0"/>
  </r>
  <r>
    <x v="0"/>
    <s v="2025-06-09 14:43:37"/>
    <n v="12"/>
    <x v="9"/>
    <x v="1"/>
    <x v="0"/>
    <n v="0"/>
    <n v="2E+20"/>
    <n v="0"/>
    <n v="0"/>
    <n v="0"/>
    <n v="0"/>
    <s v="Unnamed ProjectpaintingmachineNumber BusyResource"/>
    <n v="15"/>
    <n v="0"/>
    <n v="0"/>
    <n v="0.95"/>
    <n v="0"/>
    <n v="0"/>
    <n v="0"/>
    <n v="0"/>
  </r>
  <r>
    <x v="0"/>
    <s v="2025-06-09 14:43:37"/>
    <n v="12"/>
    <x v="9"/>
    <x v="2"/>
    <x v="0"/>
    <n v="1"/>
    <n v="2E+20"/>
    <n v="1"/>
    <n v="1"/>
    <n v="1"/>
    <n v="0"/>
    <s v="Unnamed ProjectpaintingmachineNumber ScheduledResource"/>
    <n v="15"/>
    <n v="1"/>
    <n v="0"/>
    <n v="0.95"/>
    <n v="0"/>
    <n v="1"/>
    <n v="1"/>
    <n v="0"/>
  </r>
  <r>
    <x v="0"/>
    <s v="2025-06-09 14:43:37"/>
    <n v="12"/>
    <x v="10"/>
    <x v="0"/>
    <x v="0"/>
    <n v="0"/>
    <n v="2E+20"/>
    <n v="0"/>
    <n v="0"/>
    <n v="0"/>
    <n v="0"/>
    <s v="Unnamed ProjectpaintingoperatorInstantaneous UtilizationResource"/>
    <n v="15"/>
    <n v="0"/>
    <n v="0"/>
    <n v="0.95"/>
    <n v="0"/>
    <n v="0"/>
    <n v="0"/>
    <n v="0"/>
  </r>
  <r>
    <x v="0"/>
    <s v="2025-06-09 14:43:37"/>
    <n v="12"/>
    <x v="10"/>
    <x v="1"/>
    <x v="0"/>
    <n v="0"/>
    <n v="2E+20"/>
    <n v="0"/>
    <n v="0"/>
    <n v="0"/>
    <n v="0"/>
    <s v="Unnamed ProjectpaintingoperatorNumber BusyResource"/>
    <n v="15"/>
    <n v="0"/>
    <n v="0"/>
    <n v="0.95"/>
    <n v="0"/>
    <n v="0"/>
    <n v="0"/>
    <n v="0"/>
  </r>
  <r>
    <x v="0"/>
    <s v="2025-06-09 14:43:37"/>
    <n v="12"/>
    <x v="10"/>
    <x v="2"/>
    <x v="0"/>
    <n v="1.5834999999999999"/>
    <n v="3E+20"/>
    <n v="1"/>
    <n v="2"/>
    <n v="2"/>
    <n v="0"/>
    <s v="Unnamed Projectpaintingoperato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12"/>
    <x v="11"/>
    <x v="0"/>
    <x v="0"/>
    <n v="0"/>
    <n v="2E+20"/>
    <n v="0"/>
    <n v="0"/>
    <n v="0"/>
    <n v="0"/>
    <s v="Unnamed ProjectsandblastmachineInstantaneous UtilizationResource"/>
    <n v="15"/>
    <n v="0"/>
    <n v="0"/>
    <n v="0.95"/>
    <n v="0"/>
    <n v="0"/>
    <n v="0"/>
    <n v="0"/>
  </r>
  <r>
    <x v="0"/>
    <s v="2025-06-09 14:43:37"/>
    <n v="12"/>
    <x v="11"/>
    <x v="1"/>
    <x v="0"/>
    <n v="0"/>
    <n v="2E+20"/>
    <n v="0"/>
    <n v="0"/>
    <n v="0"/>
    <n v="0"/>
    <s v="Unnamed ProjectsandblastmachineNumber BusyResource"/>
    <n v="15"/>
    <n v="0"/>
    <n v="0"/>
    <n v="0.95"/>
    <n v="0"/>
    <n v="0"/>
    <n v="0"/>
    <n v="0"/>
  </r>
  <r>
    <x v="0"/>
    <s v="2025-06-09 14:43:37"/>
    <n v="12"/>
    <x v="11"/>
    <x v="2"/>
    <x v="0"/>
    <n v="1"/>
    <n v="2E+20"/>
    <n v="1"/>
    <n v="1"/>
    <n v="1"/>
    <n v="0"/>
    <s v="Unnamed ProjectsandblastmachineNumber ScheduledResource"/>
    <n v="15"/>
    <n v="1"/>
    <n v="0"/>
    <n v="0.95"/>
    <n v="0"/>
    <n v="1"/>
    <n v="1"/>
    <n v="0"/>
  </r>
  <r>
    <x v="0"/>
    <s v="2025-06-09 14:43:37"/>
    <n v="12"/>
    <x v="12"/>
    <x v="0"/>
    <x v="0"/>
    <n v="0"/>
    <n v="2E+20"/>
    <n v="0"/>
    <n v="0"/>
    <n v="0"/>
    <n v="0"/>
    <s v="Unnamed ProjectsandblastoperatorInstantaneous UtilizationResource"/>
    <n v="15"/>
    <n v="0"/>
    <n v="0"/>
    <n v="0.95"/>
    <n v="0"/>
    <n v="0"/>
    <n v="0"/>
    <n v="0"/>
  </r>
  <r>
    <x v="0"/>
    <s v="2025-06-09 14:43:37"/>
    <n v="12"/>
    <x v="12"/>
    <x v="1"/>
    <x v="0"/>
    <n v="0"/>
    <n v="2E+20"/>
    <n v="0"/>
    <n v="0"/>
    <n v="0"/>
    <n v="0"/>
    <s v="Unnamed ProjectsandblastoperatorNumber BusyResource"/>
    <n v="15"/>
    <n v="0"/>
    <n v="0"/>
    <n v="0.95"/>
    <n v="0"/>
    <n v="0"/>
    <n v="0"/>
    <n v="0"/>
  </r>
  <r>
    <x v="0"/>
    <s v="2025-06-09 14:43:37"/>
    <n v="12"/>
    <x v="12"/>
    <x v="2"/>
    <x v="0"/>
    <n v="1.5834999999999999"/>
    <n v="3E+20"/>
    <n v="1"/>
    <n v="2"/>
    <n v="2"/>
    <n v="0"/>
    <s v="Unnamed Projectsandblastoperato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12"/>
    <x v="13"/>
    <x v="4"/>
    <x v="2"/>
    <n v="0"/>
    <n v="2E+20"/>
    <n v="0"/>
    <n v="0"/>
    <n v="0"/>
    <n v="0"/>
    <s v="Unnamed Projectseize_assembler.QueueNumber WaitingQueue"/>
    <n v="15"/>
    <n v="0"/>
    <n v="0"/>
    <n v="0.95"/>
    <n v="0"/>
    <n v="0"/>
    <n v="0"/>
    <n v="0"/>
  </r>
  <r>
    <x v="0"/>
    <s v="2025-06-09 14:43:37"/>
    <n v="12"/>
    <x v="14"/>
    <x v="4"/>
    <x v="2"/>
    <n v="0"/>
    <n v="2E+20"/>
    <n v="0"/>
    <n v="0"/>
    <n v="0"/>
    <n v="0"/>
    <s v="Unnamed Projectseize_cutter.QueueNumber WaitingQueue"/>
    <n v="15"/>
    <n v="0"/>
    <n v="0"/>
    <n v="0.95"/>
    <n v="0"/>
    <n v="0"/>
    <n v="0"/>
    <n v="0"/>
  </r>
  <r>
    <x v="0"/>
    <s v="2025-06-09 14:43:37"/>
    <n v="12"/>
    <x v="15"/>
    <x v="4"/>
    <x v="2"/>
    <n v="0"/>
    <n v="2E+20"/>
    <n v="0"/>
    <n v="0"/>
    <n v="0"/>
    <n v="0"/>
    <s v="Unnamed Projectseizeassemblyqcman.QueueNumber WaitingQueue"/>
    <n v="15"/>
    <n v="0"/>
    <n v="0"/>
    <n v="0.95"/>
    <n v="0"/>
    <n v="0"/>
    <n v="0"/>
    <n v="0"/>
  </r>
  <r>
    <x v="0"/>
    <s v="2025-06-09 14:43:37"/>
    <n v="12"/>
    <x v="16"/>
    <x v="4"/>
    <x v="2"/>
    <n v="0"/>
    <n v="2E+20"/>
    <n v="0"/>
    <n v="0"/>
    <n v="0"/>
    <n v="0"/>
    <s v="Unnamed Projectseizecleaner.QueueNumber WaitingQueue"/>
    <n v="15"/>
    <n v="0"/>
    <n v="0"/>
    <n v="0.95"/>
    <n v="0"/>
    <n v="0"/>
    <n v="0"/>
    <n v="0"/>
  </r>
  <r>
    <x v="0"/>
    <s v="2025-06-09 14:43:37"/>
    <n v="12"/>
    <x v="17"/>
    <x v="4"/>
    <x v="2"/>
    <n v="0"/>
    <n v="2E+20"/>
    <n v="0"/>
    <n v="0"/>
    <n v="0"/>
    <n v="0"/>
    <s v="Unnamed Projectseizepainter.QueueNumber WaitingQueue"/>
    <n v="15"/>
    <n v="0"/>
    <n v="0"/>
    <n v="0.95"/>
    <n v="0"/>
    <n v="0"/>
    <n v="0"/>
    <n v="0"/>
  </r>
  <r>
    <x v="0"/>
    <s v="2025-06-09 14:43:37"/>
    <n v="12"/>
    <x v="18"/>
    <x v="4"/>
    <x v="2"/>
    <n v="0"/>
    <n v="2E+20"/>
    <n v="0"/>
    <n v="0"/>
    <n v="0"/>
    <n v="0"/>
    <s v="Unnamed Projectseizeqcman.QueueNumber WaitingQueue"/>
    <n v="15"/>
    <n v="0"/>
    <n v="0"/>
    <n v="0.95"/>
    <n v="0"/>
    <n v="0"/>
    <n v="0"/>
    <n v="0"/>
  </r>
  <r>
    <x v="0"/>
    <s v="2025-06-09 14:43:37"/>
    <n v="12"/>
    <x v="19"/>
    <x v="4"/>
    <x v="2"/>
    <n v="0"/>
    <n v="2E+20"/>
    <n v="0"/>
    <n v="0"/>
    <n v="0"/>
    <n v="0"/>
    <s v="Unnamed Projectseizesandblaster.QueueNumber WaitingQueue"/>
    <n v="15"/>
    <n v="0"/>
    <n v="0"/>
    <n v="0.95"/>
    <n v="0"/>
    <n v="0"/>
    <n v="0"/>
    <n v="0"/>
  </r>
  <r>
    <x v="0"/>
    <s v="2025-06-09 14:43:37"/>
    <n v="12"/>
    <x v="20"/>
    <x v="4"/>
    <x v="2"/>
    <n v="0"/>
    <n v="2E+20"/>
    <n v="0"/>
    <n v="0"/>
    <n v="0"/>
    <n v="0"/>
    <s v="Unnamed Projectseizewelder.QueueNumber WaitingQueue"/>
    <n v="15"/>
    <n v="0"/>
    <n v="0"/>
    <n v="0.95"/>
    <n v="0"/>
    <n v="0"/>
    <n v="0"/>
    <n v="0"/>
  </r>
  <r>
    <x v="0"/>
    <s v="2025-06-09 14:43:37"/>
    <n v="12"/>
    <x v="21"/>
    <x v="3"/>
    <x v="1"/>
    <n v="4"/>
    <n v="2E+20"/>
    <n v="4"/>
    <n v="4"/>
    <n v="4"/>
    <n v="0"/>
    <s v="Unnamed ProjectsteelsheetWIPEntity"/>
    <n v="15"/>
    <n v="6.1333333333333337"/>
    <n v="5.3166405433005028"/>
    <n v="0.95"/>
    <n v="2.944257396015229"/>
    <n v="0"/>
    <n v="16"/>
    <n v="2.944257396015229"/>
  </r>
  <r>
    <x v="0"/>
    <s v="2025-06-09 14:43:37"/>
    <n v="12"/>
    <x v="22"/>
    <x v="0"/>
    <x v="0"/>
    <n v="0"/>
    <n v="2E+20"/>
    <n v="0"/>
    <n v="0"/>
    <n v="0"/>
    <n v="0"/>
    <s v="Unnamed ProjectwelderInstantaneous UtilizationResource"/>
    <n v="15"/>
    <n v="0"/>
    <n v="0"/>
    <n v="0.95"/>
    <n v="0"/>
    <n v="0"/>
    <n v="0"/>
    <n v="0"/>
  </r>
  <r>
    <x v="0"/>
    <s v="2025-06-09 14:43:37"/>
    <n v="12"/>
    <x v="22"/>
    <x v="1"/>
    <x v="0"/>
    <n v="0"/>
    <n v="2E+20"/>
    <n v="0"/>
    <n v="0"/>
    <n v="0"/>
    <n v="0"/>
    <s v="Unnamed ProjectwelderNumber BusyResource"/>
    <n v="15"/>
    <n v="0"/>
    <n v="0"/>
    <n v="0.95"/>
    <n v="0"/>
    <n v="0"/>
    <n v="0"/>
    <n v="0"/>
  </r>
  <r>
    <x v="0"/>
    <s v="2025-06-09 14:43:37"/>
    <n v="12"/>
    <x v="22"/>
    <x v="2"/>
    <x v="0"/>
    <n v="1.5834999999999999"/>
    <n v="3E+20"/>
    <n v="1"/>
    <n v="2"/>
    <n v="2"/>
    <n v="0"/>
    <s v="Unnamed ProjectwelderNumber ScheduledResource"/>
    <n v="15"/>
    <n v="1.5334531146777051"/>
    <n v="0.24154952363702747"/>
    <n v="0.95"/>
    <n v="0.13376566756397254"/>
    <n v="1"/>
    <n v="2"/>
    <n v="0.13376566756397254"/>
  </r>
  <r>
    <x v="0"/>
    <s v="2025-06-09 14:43:37"/>
    <n v="12"/>
    <x v="23"/>
    <x v="0"/>
    <x v="0"/>
    <n v="0"/>
    <n v="2E+20"/>
    <n v="0"/>
    <n v="0"/>
    <n v="0"/>
    <n v="0"/>
    <s v="Unnamed ProjectweldingqcworkerInstantaneous UtilizationResource"/>
    <n v="15"/>
    <n v="0"/>
    <n v="0"/>
    <n v="0.95"/>
    <n v="0"/>
    <n v="0"/>
    <n v="0"/>
    <n v="0"/>
  </r>
  <r>
    <x v="0"/>
    <s v="2025-06-09 14:43:37"/>
    <n v="12"/>
    <x v="23"/>
    <x v="1"/>
    <x v="0"/>
    <n v="0"/>
    <n v="2E+20"/>
    <n v="0"/>
    <n v="0"/>
    <n v="0"/>
    <n v="0"/>
    <s v="Unnamed ProjectweldingqcworkerNumber BusyResource"/>
    <n v="15"/>
    <n v="0"/>
    <n v="0"/>
    <n v="0.95"/>
    <n v="0"/>
    <n v="0"/>
    <n v="0"/>
    <n v="0"/>
  </r>
  <r>
    <x v="0"/>
    <s v="2025-06-09 14:43:37"/>
    <n v="12"/>
    <x v="23"/>
    <x v="2"/>
    <x v="0"/>
    <n v="1.5834999999999999"/>
    <n v="3E+20"/>
    <n v="1"/>
    <n v="2"/>
    <n v="2"/>
    <n v="0"/>
    <s v="Unnamed ProjectweldingqcworkerNumber ScheduledResource"/>
    <n v="15"/>
    <n v="1.5334635492504263"/>
    <n v="0.24155183649982462"/>
    <n v="0.95"/>
    <n v="0.1337669483846978"/>
    <n v="1"/>
    <n v="2"/>
    <n v="0.1337669483846978"/>
  </r>
  <r>
    <x v="0"/>
    <s v="2025-06-09 14:43:37"/>
    <n v="13"/>
    <x v="0"/>
    <x v="0"/>
    <x v="0"/>
    <n v="0"/>
    <n v="2E+20"/>
    <n v="0"/>
    <n v="0"/>
    <n v="0"/>
    <n v="0"/>
    <s v="Unnamed ProjectassemblerInstantaneous UtilizationResource"/>
    <n v="15"/>
    <n v="0"/>
    <n v="0"/>
    <n v="0.95"/>
    <n v="0"/>
    <n v="0"/>
    <n v="0"/>
    <n v="0"/>
  </r>
  <r>
    <x v="0"/>
    <s v="2025-06-09 14:43:37"/>
    <n v="13"/>
    <x v="0"/>
    <x v="1"/>
    <x v="0"/>
    <n v="0"/>
    <n v="2E+20"/>
    <n v="0"/>
    <n v="0"/>
    <n v="0"/>
    <n v="0"/>
    <s v="Unnamed ProjectassemblerNumber BusyResource"/>
    <n v="15"/>
    <n v="0"/>
    <n v="0"/>
    <n v="0.95"/>
    <n v="0"/>
    <n v="0"/>
    <n v="0"/>
    <n v="0"/>
  </r>
  <r>
    <x v="0"/>
    <s v="2025-06-09 14:43:37"/>
    <n v="13"/>
    <x v="0"/>
    <x v="2"/>
    <x v="0"/>
    <n v="1.5832595523092701"/>
    <n v="3E+20"/>
    <n v="1"/>
    <n v="2"/>
    <n v="2"/>
    <n v="0"/>
    <s v="Unnamed ProjectassemblerNumber ScheduledResource"/>
    <n v="15"/>
    <n v="1.5333142680768803"/>
    <n v="0.24151891999367611"/>
    <n v="0.95"/>
    <n v="0.13374871983117992"/>
    <n v="1"/>
    <n v="2"/>
    <n v="0.13374871983117992"/>
  </r>
  <r>
    <x v="0"/>
    <s v="2025-06-09 14:43:37"/>
    <n v="13"/>
    <x v="1"/>
    <x v="0"/>
    <x v="0"/>
    <n v="0"/>
    <n v="2E+20"/>
    <n v="0"/>
    <n v="0"/>
    <n v="0"/>
    <n v="0"/>
    <s v="Unnamed ProjectassemblyqcworkerInstantaneous UtilizationResource"/>
    <n v="15"/>
    <n v="0"/>
    <n v="0"/>
    <n v="0.95"/>
    <n v="0"/>
    <n v="0"/>
    <n v="0"/>
    <n v="0"/>
  </r>
  <r>
    <x v="0"/>
    <s v="2025-06-09 14:43:37"/>
    <n v="13"/>
    <x v="1"/>
    <x v="1"/>
    <x v="0"/>
    <n v="0"/>
    <n v="2E+20"/>
    <n v="0"/>
    <n v="0"/>
    <n v="0"/>
    <n v="0"/>
    <s v="Unnamed ProjectassemblyqcworkerNumber BusyResource"/>
    <n v="15"/>
    <n v="0"/>
    <n v="0"/>
    <n v="0.95"/>
    <n v="0"/>
    <n v="0"/>
    <n v="0"/>
    <n v="0"/>
  </r>
  <r>
    <x v="0"/>
    <s v="2025-06-09 14:43:37"/>
    <n v="13"/>
    <x v="1"/>
    <x v="2"/>
    <x v="0"/>
    <n v="1.5834999999999999"/>
    <n v="3E+20"/>
    <n v="1"/>
    <n v="2"/>
    <n v="2"/>
    <n v="0"/>
    <s v="Unnamed Projectassemblyqcworke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13"/>
    <x v="2"/>
    <x v="3"/>
    <x v="1"/>
    <n v="0"/>
    <n v="2E+20"/>
    <n v="0"/>
    <n v="0"/>
    <n v="0"/>
    <n v="0"/>
    <s v="Unnamed Projectbatched_partsWIPEntity"/>
    <n v="15"/>
    <n v="0"/>
    <n v="0"/>
    <n v="0.95"/>
    <n v="0"/>
    <n v="0"/>
    <n v="0"/>
    <n v="0"/>
  </r>
  <r>
    <x v="0"/>
    <s v="2025-06-09 14:43:37"/>
    <n v="13"/>
    <x v="3"/>
    <x v="0"/>
    <x v="0"/>
    <n v="0"/>
    <n v="2E+20"/>
    <n v="0"/>
    <n v="0"/>
    <n v="0"/>
    <n v="0"/>
    <s v="Unnamed ProjectcleanerInstantaneous UtilizationResource"/>
    <n v="15"/>
    <n v="0"/>
    <n v="0"/>
    <n v="0.95"/>
    <n v="0"/>
    <n v="0"/>
    <n v="0"/>
    <n v="0"/>
  </r>
  <r>
    <x v="0"/>
    <s v="2025-06-09 14:43:37"/>
    <n v="13"/>
    <x v="3"/>
    <x v="1"/>
    <x v="0"/>
    <n v="0"/>
    <n v="2E+20"/>
    <n v="0"/>
    <n v="0"/>
    <n v="0"/>
    <n v="0"/>
    <s v="Unnamed ProjectcleanerNumber BusyResource"/>
    <n v="15"/>
    <n v="0"/>
    <n v="0"/>
    <n v="0.95"/>
    <n v="0"/>
    <n v="0"/>
    <n v="0"/>
    <n v="0"/>
  </r>
  <r>
    <x v="0"/>
    <s v="2025-06-09 14:43:37"/>
    <n v="13"/>
    <x v="3"/>
    <x v="2"/>
    <x v="0"/>
    <n v="1.5834999999999999"/>
    <n v="3E+20"/>
    <n v="1"/>
    <n v="2"/>
    <n v="2"/>
    <n v="0"/>
    <s v="Unnamed ProjectcleanerNumber ScheduledResource"/>
    <n v="15"/>
    <n v="1.5334471868881776"/>
    <n v="0.24154821158553658"/>
    <n v="0.95"/>
    <n v="0.13376494097407529"/>
    <n v="1"/>
    <n v="2"/>
    <n v="0.13376494097407529"/>
  </r>
  <r>
    <x v="0"/>
    <s v="2025-06-09 14:43:37"/>
    <n v="13"/>
    <x v="4"/>
    <x v="0"/>
    <x v="0"/>
    <n v="0"/>
    <n v="2E+20"/>
    <n v="0"/>
    <n v="0"/>
    <n v="0"/>
    <n v="0"/>
    <s v="Unnamed ProjectcutterInstantaneous UtilizationResource"/>
    <n v="15"/>
    <n v="0"/>
    <n v="0"/>
    <n v="0.95"/>
    <n v="0"/>
    <n v="0"/>
    <n v="0"/>
    <n v="0"/>
  </r>
  <r>
    <x v="0"/>
    <s v="2025-06-09 14:43:37"/>
    <n v="13"/>
    <x v="4"/>
    <x v="1"/>
    <x v="0"/>
    <n v="0"/>
    <n v="2E+20"/>
    <n v="0"/>
    <n v="0"/>
    <n v="0"/>
    <n v="0"/>
    <s v="Unnamed ProjectcutterNumber BusyResource"/>
    <n v="15"/>
    <n v="0"/>
    <n v="0"/>
    <n v="0.95"/>
    <n v="0"/>
    <n v="0"/>
    <n v="0"/>
    <n v="0"/>
  </r>
  <r>
    <x v="0"/>
    <s v="2025-06-09 14:43:37"/>
    <n v="13"/>
    <x v="4"/>
    <x v="2"/>
    <x v="0"/>
    <n v="1.58325"/>
    <n v="3E+20"/>
    <n v="1"/>
    <n v="2"/>
    <n v="2"/>
    <n v="0"/>
    <s v="Unnamed ProjectcutterNumber ScheduledResource"/>
    <n v="15"/>
    <n v="1.5332999999999999"/>
    <n v="0.24151556349584294"/>
    <n v="0.95"/>
    <n v="0.1337468610646356"/>
    <n v="1"/>
    <n v="2"/>
    <n v="0.1337468610646356"/>
  </r>
  <r>
    <x v="0"/>
    <s v="2025-06-09 14:43:37"/>
    <n v="13"/>
    <x v="5"/>
    <x v="0"/>
    <x v="0"/>
    <n v="0"/>
    <n v="2E+20"/>
    <n v="0"/>
    <n v="0"/>
    <n v="0"/>
    <n v="0"/>
    <s v="Unnamed ProjectfinalqcmanInstantaneous UtilizationResource"/>
    <n v="15"/>
    <n v="0"/>
    <n v="0"/>
    <n v="0.95"/>
    <n v="0"/>
    <n v="0"/>
    <n v="0"/>
    <n v="0"/>
  </r>
  <r>
    <x v="0"/>
    <s v="2025-06-09 14:43:37"/>
    <n v="13"/>
    <x v="5"/>
    <x v="1"/>
    <x v="0"/>
    <n v="0"/>
    <n v="2E+20"/>
    <n v="0"/>
    <n v="0"/>
    <n v="0"/>
    <n v="0"/>
    <s v="Unnamed ProjectfinalqcmanNumber BusyResource"/>
    <n v="15"/>
    <n v="0"/>
    <n v="0"/>
    <n v="0.95"/>
    <n v="0"/>
    <n v="0"/>
    <n v="0"/>
    <n v="0"/>
  </r>
  <r>
    <x v="0"/>
    <s v="2025-06-09 14:43:37"/>
    <n v="13"/>
    <x v="5"/>
    <x v="2"/>
    <x v="0"/>
    <n v="1.58348588611619"/>
    <n v="3E+20"/>
    <n v="1"/>
    <n v="2"/>
    <n v="2"/>
    <n v="0"/>
    <s v="Unnamed ProjectfinalqcmanNumber ScheduledResource"/>
    <n v="15"/>
    <n v="1.5334510661643974"/>
    <n v="0.24154906725932371"/>
    <n v="0.95"/>
    <n v="0.13376541483042423"/>
    <n v="1"/>
    <n v="2"/>
    <n v="0.13376541483042423"/>
  </r>
  <r>
    <x v="0"/>
    <s v="2025-06-09 14:43:37"/>
    <n v="13"/>
    <x v="6"/>
    <x v="4"/>
    <x v="2"/>
    <n v="0"/>
    <n v="2E+20"/>
    <n v="0"/>
    <n v="0"/>
    <n v="0"/>
    <n v="0"/>
    <s v="Unnamed Projectinspectorseize.QueueNumber WaitingQueue"/>
    <n v="15"/>
    <n v="0"/>
    <n v="0"/>
    <n v="0.95"/>
    <n v="0"/>
    <n v="0"/>
    <n v="0"/>
    <n v="0"/>
  </r>
  <r>
    <x v="0"/>
    <s v="2025-06-09 14:43:37"/>
    <n v="13"/>
    <x v="7"/>
    <x v="4"/>
    <x v="2"/>
    <n v="0"/>
    <n v="2E+20"/>
    <n v="0"/>
    <n v="0"/>
    <n v="0"/>
    <n v="0"/>
    <s v="Unnamed Projectmatch_truckcombo.Queue1Number WaitingQueue"/>
    <n v="15"/>
    <n v="3.3333333333333335"/>
    <n v="4.577377082170635"/>
    <n v="0.95"/>
    <n v="2.5348669368881507"/>
    <n v="0"/>
    <n v="12"/>
    <n v="2.5348669368881507"/>
  </r>
  <r>
    <x v="0"/>
    <s v="2025-06-09 14:43:37"/>
    <n v="13"/>
    <x v="8"/>
    <x v="4"/>
    <x v="2"/>
    <n v="4"/>
    <n v="2E+20"/>
    <n v="4"/>
    <n v="4"/>
    <n v="4"/>
    <n v="0"/>
    <s v="Unnamed Projectmatch_truckcombo.Queue2Number WaitingQueue"/>
    <n v="15"/>
    <n v="2.8"/>
    <n v="5.226307081896902"/>
    <n v="0.95"/>
    <n v="2.8942323925042523"/>
    <n v="0"/>
    <n v="16"/>
    <n v="2.8942323925042523"/>
  </r>
  <r>
    <x v="0"/>
    <s v="2025-06-09 14:43:37"/>
    <n v="13"/>
    <x v="9"/>
    <x v="0"/>
    <x v="0"/>
    <n v="0"/>
    <n v="2E+20"/>
    <n v="0"/>
    <n v="0"/>
    <n v="0"/>
    <n v="0"/>
    <s v="Unnamed ProjectpaintingmachineInstantaneous UtilizationResource"/>
    <n v="15"/>
    <n v="0"/>
    <n v="0"/>
    <n v="0.95"/>
    <n v="0"/>
    <n v="0"/>
    <n v="0"/>
    <n v="0"/>
  </r>
  <r>
    <x v="0"/>
    <s v="2025-06-09 14:43:37"/>
    <n v="13"/>
    <x v="9"/>
    <x v="1"/>
    <x v="0"/>
    <n v="0"/>
    <n v="2E+20"/>
    <n v="0"/>
    <n v="0"/>
    <n v="0"/>
    <n v="0"/>
    <s v="Unnamed ProjectpaintingmachineNumber BusyResource"/>
    <n v="15"/>
    <n v="0"/>
    <n v="0"/>
    <n v="0.95"/>
    <n v="0"/>
    <n v="0"/>
    <n v="0"/>
    <n v="0"/>
  </r>
  <r>
    <x v="0"/>
    <s v="2025-06-09 14:43:37"/>
    <n v="13"/>
    <x v="9"/>
    <x v="2"/>
    <x v="0"/>
    <n v="1"/>
    <n v="2E+20"/>
    <n v="1"/>
    <n v="1"/>
    <n v="1"/>
    <n v="0"/>
    <s v="Unnamed ProjectpaintingmachineNumber ScheduledResource"/>
    <n v="15"/>
    <n v="1"/>
    <n v="0"/>
    <n v="0.95"/>
    <n v="0"/>
    <n v="1"/>
    <n v="1"/>
    <n v="0"/>
  </r>
  <r>
    <x v="0"/>
    <s v="2025-06-09 14:43:37"/>
    <n v="13"/>
    <x v="10"/>
    <x v="0"/>
    <x v="0"/>
    <n v="0"/>
    <n v="2E+20"/>
    <n v="0"/>
    <n v="0"/>
    <n v="0"/>
    <n v="0"/>
    <s v="Unnamed ProjectpaintingoperatorInstantaneous UtilizationResource"/>
    <n v="15"/>
    <n v="0"/>
    <n v="0"/>
    <n v="0.95"/>
    <n v="0"/>
    <n v="0"/>
    <n v="0"/>
    <n v="0"/>
  </r>
  <r>
    <x v="0"/>
    <s v="2025-06-09 14:43:37"/>
    <n v="13"/>
    <x v="10"/>
    <x v="1"/>
    <x v="0"/>
    <n v="0"/>
    <n v="2E+20"/>
    <n v="0"/>
    <n v="0"/>
    <n v="0"/>
    <n v="0"/>
    <s v="Unnamed ProjectpaintingoperatorNumber BusyResource"/>
    <n v="15"/>
    <n v="0"/>
    <n v="0"/>
    <n v="0.95"/>
    <n v="0"/>
    <n v="0"/>
    <n v="0"/>
    <n v="0"/>
  </r>
  <r>
    <x v="0"/>
    <s v="2025-06-09 14:43:37"/>
    <n v="13"/>
    <x v="10"/>
    <x v="2"/>
    <x v="0"/>
    <n v="1.5834999999999999"/>
    <n v="3E+20"/>
    <n v="1"/>
    <n v="2"/>
    <n v="2"/>
    <n v="0"/>
    <s v="Unnamed Projectpaintingoperato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13"/>
    <x v="11"/>
    <x v="0"/>
    <x v="0"/>
    <n v="0"/>
    <n v="2E+20"/>
    <n v="0"/>
    <n v="0"/>
    <n v="0"/>
    <n v="0"/>
    <s v="Unnamed ProjectsandblastmachineInstantaneous UtilizationResource"/>
    <n v="15"/>
    <n v="0"/>
    <n v="0"/>
    <n v="0.95"/>
    <n v="0"/>
    <n v="0"/>
    <n v="0"/>
    <n v="0"/>
  </r>
  <r>
    <x v="0"/>
    <s v="2025-06-09 14:43:37"/>
    <n v="13"/>
    <x v="11"/>
    <x v="1"/>
    <x v="0"/>
    <n v="0"/>
    <n v="2E+20"/>
    <n v="0"/>
    <n v="0"/>
    <n v="0"/>
    <n v="0"/>
    <s v="Unnamed ProjectsandblastmachineNumber BusyResource"/>
    <n v="15"/>
    <n v="0"/>
    <n v="0"/>
    <n v="0.95"/>
    <n v="0"/>
    <n v="0"/>
    <n v="0"/>
    <n v="0"/>
  </r>
  <r>
    <x v="0"/>
    <s v="2025-06-09 14:43:37"/>
    <n v="13"/>
    <x v="11"/>
    <x v="2"/>
    <x v="0"/>
    <n v="1"/>
    <n v="2E+20"/>
    <n v="1"/>
    <n v="1"/>
    <n v="1"/>
    <n v="0"/>
    <s v="Unnamed ProjectsandblastmachineNumber ScheduledResource"/>
    <n v="15"/>
    <n v="1"/>
    <n v="0"/>
    <n v="0.95"/>
    <n v="0"/>
    <n v="1"/>
    <n v="1"/>
    <n v="0"/>
  </r>
  <r>
    <x v="0"/>
    <s v="2025-06-09 14:43:37"/>
    <n v="13"/>
    <x v="12"/>
    <x v="0"/>
    <x v="0"/>
    <n v="0"/>
    <n v="2E+20"/>
    <n v="0"/>
    <n v="0"/>
    <n v="0"/>
    <n v="0"/>
    <s v="Unnamed ProjectsandblastoperatorInstantaneous UtilizationResource"/>
    <n v="15"/>
    <n v="0"/>
    <n v="0"/>
    <n v="0.95"/>
    <n v="0"/>
    <n v="0"/>
    <n v="0"/>
    <n v="0"/>
  </r>
  <r>
    <x v="0"/>
    <s v="2025-06-09 14:43:37"/>
    <n v="13"/>
    <x v="12"/>
    <x v="1"/>
    <x v="0"/>
    <n v="0"/>
    <n v="2E+20"/>
    <n v="0"/>
    <n v="0"/>
    <n v="0"/>
    <n v="0"/>
    <s v="Unnamed ProjectsandblastoperatorNumber BusyResource"/>
    <n v="15"/>
    <n v="0"/>
    <n v="0"/>
    <n v="0.95"/>
    <n v="0"/>
    <n v="0"/>
    <n v="0"/>
    <n v="0"/>
  </r>
  <r>
    <x v="0"/>
    <s v="2025-06-09 14:43:37"/>
    <n v="13"/>
    <x v="12"/>
    <x v="2"/>
    <x v="0"/>
    <n v="1.5834999999999999"/>
    <n v="3E+20"/>
    <n v="1"/>
    <n v="2"/>
    <n v="2"/>
    <n v="0"/>
    <s v="Unnamed Projectsandblastoperato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13"/>
    <x v="13"/>
    <x v="4"/>
    <x v="2"/>
    <n v="0"/>
    <n v="2E+20"/>
    <n v="0"/>
    <n v="0"/>
    <n v="0"/>
    <n v="0"/>
    <s v="Unnamed Projectseize_assembler.QueueNumber WaitingQueue"/>
    <n v="15"/>
    <n v="0"/>
    <n v="0"/>
    <n v="0.95"/>
    <n v="0"/>
    <n v="0"/>
    <n v="0"/>
    <n v="0"/>
  </r>
  <r>
    <x v="0"/>
    <s v="2025-06-09 14:43:37"/>
    <n v="13"/>
    <x v="14"/>
    <x v="4"/>
    <x v="2"/>
    <n v="0"/>
    <n v="2E+20"/>
    <n v="0"/>
    <n v="0"/>
    <n v="0"/>
    <n v="0"/>
    <s v="Unnamed Projectseize_cutter.QueueNumber WaitingQueue"/>
    <n v="15"/>
    <n v="0"/>
    <n v="0"/>
    <n v="0.95"/>
    <n v="0"/>
    <n v="0"/>
    <n v="0"/>
    <n v="0"/>
  </r>
  <r>
    <x v="0"/>
    <s v="2025-06-09 14:43:37"/>
    <n v="13"/>
    <x v="15"/>
    <x v="4"/>
    <x v="2"/>
    <n v="0"/>
    <n v="2E+20"/>
    <n v="0"/>
    <n v="0"/>
    <n v="0"/>
    <n v="0"/>
    <s v="Unnamed Projectseizeassemblyqcman.QueueNumber WaitingQueue"/>
    <n v="15"/>
    <n v="0"/>
    <n v="0"/>
    <n v="0.95"/>
    <n v="0"/>
    <n v="0"/>
    <n v="0"/>
    <n v="0"/>
  </r>
  <r>
    <x v="0"/>
    <s v="2025-06-09 14:43:37"/>
    <n v="13"/>
    <x v="16"/>
    <x v="4"/>
    <x v="2"/>
    <n v="0"/>
    <n v="2E+20"/>
    <n v="0"/>
    <n v="0"/>
    <n v="0"/>
    <n v="0"/>
    <s v="Unnamed Projectseizecleaner.QueueNumber WaitingQueue"/>
    <n v="15"/>
    <n v="0"/>
    <n v="0"/>
    <n v="0.95"/>
    <n v="0"/>
    <n v="0"/>
    <n v="0"/>
    <n v="0"/>
  </r>
  <r>
    <x v="0"/>
    <s v="2025-06-09 14:43:37"/>
    <n v="13"/>
    <x v="17"/>
    <x v="4"/>
    <x v="2"/>
    <n v="0"/>
    <n v="2E+20"/>
    <n v="0"/>
    <n v="0"/>
    <n v="0"/>
    <n v="0"/>
    <s v="Unnamed Projectseizepainter.QueueNumber WaitingQueue"/>
    <n v="15"/>
    <n v="0"/>
    <n v="0"/>
    <n v="0.95"/>
    <n v="0"/>
    <n v="0"/>
    <n v="0"/>
    <n v="0"/>
  </r>
  <r>
    <x v="0"/>
    <s v="2025-06-09 14:43:37"/>
    <n v="13"/>
    <x v="18"/>
    <x v="4"/>
    <x v="2"/>
    <n v="0"/>
    <n v="2E+20"/>
    <n v="0"/>
    <n v="0"/>
    <n v="0"/>
    <n v="0"/>
    <s v="Unnamed Projectseizeqcman.QueueNumber WaitingQueue"/>
    <n v="15"/>
    <n v="0"/>
    <n v="0"/>
    <n v="0.95"/>
    <n v="0"/>
    <n v="0"/>
    <n v="0"/>
    <n v="0"/>
  </r>
  <r>
    <x v="0"/>
    <s v="2025-06-09 14:43:37"/>
    <n v="13"/>
    <x v="19"/>
    <x v="4"/>
    <x v="2"/>
    <n v="0"/>
    <n v="2E+20"/>
    <n v="0"/>
    <n v="0"/>
    <n v="0"/>
    <n v="0"/>
    <s v="Unnamed Projectseizesandblaster.QueueNumber WaitingQueue"/>
    <n v="15"/>
    <n v="0"/>
    <n v="0"/>
    <n v="0.95"/>
    <n v="0"/>
    <n v="0"/>
    <n v="0"/>
    <n v="0"/>
  </r>
  <r>
    <x v="0"/>
    <s v="2025-06-09 14:43:37"/>
    <n v="13"/>
    <x v="20"/>
    <x v="4"/>
    <x v="2"/>
    <n v="0"/>
    <n v="2E+20"/>
    <n v="0"/>
    <n v="0"/>
    <n v="0"/>
    <n v="0"/>
    <s v="Unnamed Projectseizewelder.QueueNumber WaitingQueue"/>
    <n v="15"/>
    <n v="0"/>
    <n v="0"/>
    <n v="0.95"/>
    <n v="0"/>
    <n v="0"/>
    <n v="0"/>
    <n v="0"/>
  </r>
  <r>
    <x v="0"/>
    <s v="2025-06-09 14:43:37"/>
    <n v="13"/>
    <x v="21"/>
    <x v="3"/>
    <x v="1"/>
    <n v="4"/>
    <n v="2E+20"/>
    <n v="4"/>
    <n v="4"/>
    <n v="4"/>
    <n v="0"/>
    <s v="Unnamed ProjectsteelsheetWIPEntity"/>
    <n v="15"/>
    <n v="6.1333333333333337"/>
    <n v="5.3166405433005028"/>
    <n v="0.95"/>
    <n v="2.944257396015229"/>
    <n v="0"/>
    <n v="16"/>
    <n v="2.944257396015229"/>
  </r>
  <r>
    <x v="0"/>
    <s v="2025-06-09 14:43:37"/>
    <n v="13"/>
    <x v="22"/>
    <x v="0"/>
    <x v="0"/>
    <n v="0"/>
    <n v="2E+20"/>
    <n v="0"/>
    <n v="0"/>
    <n v="0"/>
    <n v="0"/>
    <s v="Unnamed ProjectwelderInstantaneous UtilizationResource"/>
    <n v="15"/>
    <n v="0"/>
    <n v="0"/>
    <n v="0.95"/>
    <n v="0"/>
    <n v="0"/>
    <n v="0"/>
    <n v="0"/>
  </r>
  <r>
    <x v="0"/>
    <s v="2025-06-09 14:43:37"/>
    <n v="13"/>
    <x v="22"/>
    <x v="1"/>
    <x v="0"/>
    <n v="0"/>
    <n v="2E+20"/>
    <n v="0"/>
    <n v="0"/>
    <n v="0"/>
    <n v="0"/>
    <s v="Unnamed ProjectwelderNumber BusyResource"/>
    <n v="15"/>
    <n v="0"/>
    <n v="0"/>
    <n v="0.95"/>
    <n v="0"/>
    <n v="0"/>
    <n v="0"/>
    <n v="0"/>
  </r>
  <r>
    <x v="0"/>
    <s v="2025-06-09 14:43:37"/>
    <n v="13"/>
    <x v="22"/>
    <x v="2"/>
    <x v="0"/>
    <n v="1.5834999999999999"/>
    <n v="3E+20"/>
    <n v="1"/>
    <n v="2"/>
    <n v="2"/>
    <n v="0"/>
    <s v="Unnamed ProjectwelderNumber ScheduledResource"/>
    <n v="15"/>
    <n v="1.5334531146777051"/>
    <n v="0.24154952363702747"/>
    <n v="0.95"/>
    <n v="0.13376566756397254"/>
    <n v="1"/>
    <n v="2"/>
    <n v="0.13376566756397254"/>
  </r>
  <r>
    <x v="0"/>
    <s v="2025-06-09 14:43:37"/>
    <n v="13"/>
    <x v="23"/>
    <x v="0"/>
    <x v="0"/>
    <n v="0"/>
    <n v="2E+20"/>
    <n v="0"/>
    <n v="0"/>
    <n v="0"/>
    <n v="0"/>
    <s v="Unnamed ProjectweldingqcworkerInstantaneous UtilizationResource"/>
    <n v="15"/>
    <n v="0"/>
    <n v="0"/>
    <n v="0.95"/>
    <n v="0"/>
    <n v="0"/>
    <n v="0"/>
    <n v="0"/>
  </r>
  <r>
    <x v="0"/>
    <s v="2025-06-09 14:43:37"/>
    <n v="13"/>
    <x v="23"/>
    <x v="1"/>
    <x v="0"/>
    <n v="0"/>
    <n v="2E+20"/>
    <n v="0"/>
    <n v="0"/>
    <n v="0"/>
    <n v="0"/>
    <s v="Unnamed ProjectweldingqcworkerNumber BusyResource"/>
    <n v="15"/>
    <n v="0"/>
    <n v="0"/>
    <n v="0.95"/>
    <n v="0"/>
    <n v="0"/>
    <n v="0"/>
    <n v="0"/>
  </r>
  <r>
    <x v="0"/>
    <s v="2025-06-09 14:43:37"/>
    <n v="13"/>
    <x v="23"/>
    <x v="2"/>
    <x v="0"/>
    <n v="1.5834999999999999"/>
    <n v="3E+20"/>
    <n v="1"/>
    <n v="2"/>
    <n v="2"/>
    <n v="0"/>
    <s v="Unnamed ProjectweldingqcworkerNumber ScheduledResource"/>
    <n v="15"/>
    <n v="1.5334635492504263"/>
    <n v="0.24155183649982462"/>
    <n v="0.95"/>
    <n v="0.1337669483846978"/>
    <n v="1"/>
    <n v="2"/>
    <n v="0.1337669483846978"/>
  </r>
  <r>
    <x v="0"/>
    <s v="2025-06-09 14:43:37"/>
    <n v="14"/>
    <x v="0"/>
    <x v="0"/>
    <x v="0"/>
    <n v="0"/>
    <n v="2E+20"/>
    <n v="0"/>
    <n v="0"/>
    <n v="0"/>
    <n v="0"/>
    <s v="Unnamed ProjectassemblerInstantaneous UtilizationResource"/>
    <n v="15"/>
    <n v="0"/>
    <n v="0"/>
    <n v="0.95"/>
    <n v="0"/>
    <n v="0"/>
    <n v="0"/>
    <n v="0"/>
  </r>
  <r>
    <x v="0"/>
    <s v="2025-06-09 14:43:37"/>
    <n v="14"/>
    <x v="0"/>
    <x v="1"/>
    <x v="0"/>
    <n v="0"/>
    <n v="2E+20"/>
    <n v="0"/>
    <n v="0"/>
    <n v="0"/>
    <n v="0"/>
    <s v="Unnamed ProjectassemblerNumber BusyResource"/>
    <n v="15"/>
    <n v="0"/>
    <n v="0"/>
    <n v="0.95"/>
    <n v="0"/>
    <n v="0"/>
    <n v="0"/>
    <n v="0"/>
  </r>
  <r>
    <x v="0"/>
    <s v="2025-06-09 14:43:37"/>
    <n v="14"/>
    <x v="0"/>
    <x v="2"/>
    <x v="0"/>
    <n v="1"/>
    <n v="2E+20"/>
    <n v="1"/>
    <n v="1"/>
    <n v="1"/>
    <n v="0"/>
    <s v="Unnamed ProjectassemblerNumber ScheduledResource"/>
    <n v="15"/>
    <n v="1.5333142680768803"/>
    <n v="0.24151891999367611"/>
    <n v="0.95"/>
    <n v="0.13374871983117992"/>
    <n v="1"/>
    <n v="2"/>
    <n v="0.13374871983117992"/>
  </r>
  <r>
    <x v="0"/>
    <s v="2025-06-09 14:43:37"/>
    <n v="14"/>
    <x v="1"/>
    <x v="0"/>
    <x v="0"/>
    <n v="0"/>
    <n v="2E+20"/>
    <n v="0"/>
    <n v="0"/>
    <n v="0"/>
    <n v="0"/>
    <s v="Unnamed ProjectassemblyqcworkerInstantaneous UtilizationResource"/>
    <n v="15"/>
    <n v="0"/>
    <n v="0"/>
    <n v="0.95"/>
    <n v="0"/>
    <n v="0"/>
    <n v="0"/>
    <n v="0"/>
  </r>
  <r>
    <x v="0"/>
    <s v="2025-06-09 14:43:37"/>
    <n v="14"/>
    <x v="1"/>
    <x v="1"/>
    <x v="0"/>
    <n v="0"/>
    <n v="2E+20"/>
    <n v="0"/>
    <n v="0"/>
    <n v="0"/>
    <n v="0"/>
    <s v="Unnamed ProjectassemblyqcworkerNumber BusyResource"/>
    <n v="15"/>
    <n v="0"/>
    <n v="0"/>
    <n v="0.95"/>
    <n v="0"/>
    <n v="0"/>
    <n v="0"/>
    <n v="0"/>
  </r>
  <r>
    <x v="0"/>
    <s v="2025-06-09 14:43:37"/>
    <n v="14"/>
    <x v="1"/>
    <x v="2"/>
    <x v="0"/>
    <n v="2"/>
    <n v="2E+20"/>
    <n v="2"/>
    <n v="2"/>
    <n v="2"/>
    <n v="0"/>
    <s v="Unnamed Projectassemblyqcworke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14"/>
    <x v="2"/>
    <x v="3"/>
    <x v="1"/>
    <n v="0"/>
    <n v="2E+20"/>
    <n v="0"/>
    <n v="0"/>
    <n v="0"/>
    <n v="0"/>
    <s v="Unnamed Projectbatched_partsWIPEntity"/>
    <n v="15"/>
    <n v="0"/>
    <n v="0"/>
    <n v="0.95"/>
    <n v="0"/>
    <n v="0"/>
    <n v="0"/>
    <n v="0"/>
  </r>
  <r>
    <x v="0"/>
    <s v="2025-06-09 14:43:37"/>
    <n v="14"/>
    <x v="3"/>
    <x v="0"/>
    <x v="0"/>
    <n v="0"/>
    <n v="2E+20"/>
    <n v="0"/>
    <n v="0"/>
    <n v="0"/>
    <n v="0"/>
    <s v="Unnamed ProjectcleanerInstantaneous UtilizationResource"/>
    <n v="15"/>
    <n v="0"/>
    <n v="0"/>
    <n v="0.95"/>
    <n v="0"/>
    <n v="0"/>
    <n v="0"/>
    <n v="0"/>
  </r>
  <r>
    <x v="0"/>
    <s v="2025-06-09 14:43:37"/>
    <n v="14"/>
    <x v="3"/>
    <x v="1"/>
    <x v="0"/>
    <n v="0"/>
    <n v="2E+20"/>
    <n v="0"/>
    <n v="0"/>
    <n v="0"/>
    <n v="0"/>
    <s v="Unnamed ProjectcleanerNumber BusyResource"/>
    <n v="15"/>
    <n v="0"/>
    <n v="0"/>
    <n v="0.95"/>
    <n v="0"/>
    <n v="0"/>
    <n v="0"/>
    <n v="0"/>
  </r>
  <r>
    <x v="0"/>
    <s v="2025-06-09 14:43:37"/>
    <n v="14"/>
    <x v="3"/>
    <x v="2"/>
    <x v="0"/>
    <n v="2"/>
    <n v="2E+20"/>
    <n v="2"/>
    <n v="2"/>
    <n v="2"/>
    <n v="0"/>
    <s v="Unnamed ProjectcleanerNumber ScheduledResource"/>
    <n v="15"/>
    <n v="1.5334471868881776"/>
    <n v="0.24154821158553658"/>
    <n v="0.95"/>
    <n v="0.13376494097407529"/>
    <n v="1"/>
    <n v="2"/>
    <n v="0.13376494097407529"/>
  </r>
  <r>
    <x v="0"/>
    <s v="2025-06-09 14:43:37"/>
    <n v="14"/>
    <x v="4"/>
    <x v="0"/>
    <x v="0"/>
    <n v="0"/>
    <n v="2E+20"/>
    <n v="0"/>
    <n v="0"/>
    <n v="0"/>
    <n v="0"/>
    <s v="Unnamed ProjectcutterInstantaneous UtilizationResource"/>
    <n v="15"/>
    <n v="0"/>
    <n v="0"/>
    <n v="0.95"/>
    <n v="0"/>
    <n v="0"/>
    <n v="0"/>
    <n v="0"/>
  </r>
  <r>
    <x v="0"/>
    <s v="2025-06-09 14:43:37"/>
    <n v="14"/>
    <x v="4"/>
    <x v="1"/>
    <x v="0"/>
    <n v="0"/>
    <n v="2E+20"/>
    <n v="0"/>
    <n v="0"/>
    <n v="0"/>
    <n v="0"/>
    <s v="Unnamed ProjectcutterNumber BusyResource"/>
    <n v="15"/>
    <n v="0"/>
    <n v="0"/>
    <n v="0.95"/>
    <n v="0"/>
    <n v="0"/>
    <n v="0"/>
    <n v="0"/>
  </r>
  <r>
    <x v="0"/>
    <s v="2025-06-09 14:43:37"/>
    <n v="14"/>
    <x v="4"/>
    <x v="2"/>
    <x v="0"/>
    <n v="2"/>
    <n v="2E+20"/>
    <n v="2"/>
    <n v="2"/>
    <n v="2"/>
    <n v="0"/>
    <s v="Unnamed ProjectcutterNumber ScheduledResource"/>
    <n v="15"/>
    <n v="1.5332999999999999"/>
    <n v="0.24151556349584294"/>
    <n v="0.95"/>
    <n v="0.1337468610646356"/>
    <n v="1"/>
    <n v="2"/>
    <n v="0.1337468610646356"/>
  </r>
  <r>
    <x v="0"/>
    <s v="2025-06-09 14:43:37"/>
    <n v="14"/>
    <x v="5"/>
    <x v="0"/>
    <x v="0"/>
    <n v="0"/>
    <n v="2E+20"/>
    <n v="0"/>
    <n v="0"/>
    <n v="0"/>
    <n v="0"/>
    <s v="Unnamed ProjectfinalqcmanInstantaneous UtilizationResource"/>
    <n v="15"/>
    <n v="0"/>
    <n v="0"/>
    <n v="0.95"/>
    <n v="0"/>
    <n v="0"/>
    <n v="0"/>
    <n v="0"/>
  </r>
  <r>
    <x v="0"/>
    <s v="2025-06-09 14:43:37"/>
    <n v="14"/>
    <x v="5"/>
    <x v="1"/>
    <x v="0"/>
    <n v="0"/>
    <n v="2E+20"/>
    <n v="0"/>
    <n v="0"/>
    <n v="0"/>
    <n v="0"/>
    <s v="Unnamed ProjectfinalqcmanNumber BusyResource"/>
    <n v="15"/>
    <n v="0"/>
    <n v="0"/>
    <n v="0.95"/>
    <n v="0"/>
    <n v="0"/>
    <n v="0"/>
    <n v="0"/>
  </r>
  <r>
    <x v="0"/>
    <s v="2025-06-09 14:43:37"/>
    <n v="14"/>
    <x v="5"/>
    <x v="2"/>
    <x v="0"/>
    <n v="2"/>
    <n v="2E+20"/>
    <n v="2"/>
    <n v="2"/>
    <n v="2"/>
    <n v="0"/>
    <s v="Unnamed ProjectfinalqcmanNumber ScheduledResource"/>
    <n v="15"/>
    <n v="1.5334510661643974"/>
    <n v="0.24154906725932371"/>
    <n v="0.95"/>
    <n v="0.13376541483042423"/>
    <n v="1"/>
    <n v="2"/>
    <n v="0.13376541483042423"/>
  </r>
  <r>
    <x v="0"/>
    <s v="2025-06-09 14:43:37"/>
    <n v="14"/>
    <x v="6"/>
    <x v="4"/>
    <x v="2"/>
    <n v="0"/>
    <n v="2E+20"/>
    <n v="0"/>
    <n v="0"/>
    <n v="0"/>
    <n v="0"/>
    <s v="Unnamed Projectinspectorseize.QueueNumber WaitingQueue"/>
    <n v="15"/>
    <n v="0"/>
    <n v="0"/>
    <n v="0.95"/>
    <n v="0"/>
    <n v="0"/>
    <n v="0"/>
    <n v="0"/>
  </r>
  <r>
    <x v="0"/>
    <s v="2025-06-09 14:43:37"/>
    <n v="14"/>
    <x v="7"/>
    <x v="4"/>
    <x v="2"/>
    <n v="0"/>
    <n v="2E+20"/>
    <n v="0"/>
    <n v="0"/>
    <n v="0"/>
    <n v="0"/>
    <s v="Unnamed Projectmatch_truckcombo.Queue1Number WaitingQueue"/>
    <n v="15"/>
    <n v="3.3333333333333335"/>
    <n v="4.577377082170635"/>
    <n v="0.95"/>
    <n v="2.5348669368881507"/>
    <n v="0"/>
    <n v="12"/>
    <n v="2.5348669368881507"/>
  </r>
  <r>
    <x v="0"/>
    <s v="2025-06-09 14:43:37"/>
    <n v="14"/>
    <x v="8"/>
    <x v="4"/>
    <x v="2"/>
    <n v="0"/>
    <n v="2E+20"/>
    <n v="0"/>
    <n v="0"/>
    <n v="0"/>
    <n v="0"/>
    <s v="Unnamed Projectmatch_truckcombo.Queue2Number WaitingQueue"/>
    <n v="15"/>
    <n v="2.8"/>
    <n v="5.226307081896902"/>
    <n v="0.95"/>
    <n v="2.8942323925042523"/>
    <n v="0"/>
    <n v="16"/>
    <n v="2.8942323925042523"/>
  </r>
  <r>
    <x v="0"/>
    <s v="2025-06-09 14:43:37"/>
    <n v="14"/>
    <x v="9"/>
    <x v="0"/>
    <x v="0"/>
    <n v="0"/>
    <n v="2E+20"/>
    <n v="0"/>
    <n v="0"/>
    <n v="0"/>
    <n v="0"/>
    <s v="Unnamed ProjectpaintingmachineInstantaneous UtilizationResource"/>
    <n v="15"/>
    <n v="0"/>
    <n v="0"/>
    <n v="0.95"/>
    <n v="0"/>
    <n v="0"/>
    <n v="0"/>
    <n v="0"/>
  </r>
  <r>
    <x v="0"/>
    <s v="2025-06-09 14:43:37"/>
    <n v="14"/>
    <x v="9"/>
    <x v="1"/>
    <x v="0"/>
    <n v="0"/>
    <n v="2E+20"/>
    <n v="0"/>
    <n v="0"/>
    <n v="0"/>
    <n v="0"/>
    <s v="Unnamed ProjectpaintingmachineNumber BusyResource"/>
    <n v="15"/>
    <n v="0"/>
    <n v="0"/>
    <n v="0.95"/>
    <n v="0"/>
    <n v="0"/>
    <n v="0"/>
    <n v="0"/>
  </r>
  <r>
    <x v="0"/>
    <s v="2025-06-09 14:43:37"/>
    <n v="14"/>
    <x v="9"/>
    <x v="2"/>
    <x v="0"/>
    <n v="1"/>
    <n v="2E+20"/>
    <n v="1"/>
    <n v="1"/>
    <n v="1"/>
    <n v="0"/>
    <s v="Unnamed ProjectpaintingmachineNumber ScheduledResource"/>
    <n v="15"/>
    <n v="1"/>
    <n v="0"/>
    <n v="0.95"/>
    <n v="0"/>
    <n v="1"/>
    <n v="1"/>
    <n v="0"/>
  </r>
  <r>
    <x v="0"/>
    <s v="2025-06-09 14:43:37"/>
    <n v="14"/>
    <x v="10"/>
    <x v="0"/>
    <x v="0"/>
    <n v="0"/>
    <n v="2E+20"/>
    <n v="0"/>
    <n v="0"/>
    <n v="0"/>
    <n v="0"/>
    <s v="Unnamed ProjectpaintingoperatorInstantaneous UtilizationResource"/>
    <n v="15"/>
    <n v="0"/>
    <n v="0"/>
    <n v="0.95"/>
    <n v="0"/>
    <n v="0"/>
    <n v="0"/>
    <n v="0"/>
  </r>
  <r>
    <x v="0"/>
    <s v="2025-06-09 14:43:37"/>
    <n v="14"/>
    <x v="10"/>
    <x v="1"/>
    <x v="0"/>
    <n v="0"/>
    <n v="2E+20"/>
    <n v="0"/>
    <n v="0"/>
    <n v="0"/>
    <n v="0"/>
    <s v="Unnamed ProjectpaintingoperatorNumber BusyResource"/>
    <n v="15"/>
    <n v="0"/>
    <n v="0"/>
    <n v="0.95"/>
    <n v="0"/>
    <n v="0"/>
    <n v="0"/>
    <n v="0"/>
  </r>
  <r>
    <x v="0"/>
    <s v="2025-06-09 14:43:37"/>
    <n v="14"/>
    <x v="10"/>
    <x v="2"/>
    <x v="0"/>
    <n v="2"/>
    <n v="2E+20"/>
    <n v="2"/>
    <n v="2"/>
    <n v="2"/>
    <n v="0"/>
    <s v="Unnamed Projectpaintingoperato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14"/>
    <x v="11"/>
    <x v="0"/>
    <x v="0"/>
    <n v="0"/>
    <n v="2E+20"/>
    <n v="0"/>
    <n v="0"/>
    <n v="0"/>
    <n v="0"/>
    <s v="Unnamed ProjectsandblastmachineInstantaneous UtilizationResource"/>
    <n v="15"/>
    <n v="0"/>
    <n v="0"/>
    <n v="0.95"/>
    <n v="0"/>
    <n v="0"/>
    <n v="0"/>
    <n v="0"/>
  </r>
  <r>
    <x v="0"/>
    <s v="2025-06-09 14:43:37"/>
    <n v="14"/>
    <x v="11"/>
    <x v="1"/>
    <x v="0"/>
    <n v="0"/>
    <n v="2E+20"/>
    <n v="0"/>
    <n v="0"/>
    <n v="0"/>
    <n v="0"/>
    <s v="Unnamed ProjectsandblastmachineNumber BusyResource"/>
    <n v="15"/>
    <n v="0"/>
    <n v="0"/>
    <n v="0.95"/>
    <n v="0"/>
    <n v="0"/>
    <n v="0"/>
    <n v="0"/>
  </r>
  <r>
    <x v="0"/>
    <s v="2025-06-09 14:43:37"/>
    <n v="14"/>
    <x v="11"/>
    <x v="2"/>
    <x v="0"/>
    <n v="1"/>
    <n v="2E+20"/>
    <n v="1"/>
    <n v="1"/>
    <n v="1"/>
    <n v="0"/>
    <s v="Unnamed ProjectsandblastmachineNumber ScheduledResource"/>
    <n v="15"/>
    <n v="1"/>
    <n v="0"/>
    <n v="0.95"/>
    <n v="0"/>
    <n v="1"/>
    <n v="1"/>
    <n v="0"/>
  </r>
  <r>
    <x v="0"/>
    <s v="2025-06-09 14:43:37"/>
    <n v="14"/>
    <x v="12"/>
    <x v="0"/>
    <x v="0"/>
    <n v="0"/>
    <n v="2E+20"/>
    <n v="0"/>
    <n v="0"/>
    <n v="0"/>
    <n v="0"/>
    <s v="Unnamed ProjectsandblastoperatorInstantaneous UtilizationResource"/>
    <n v="15"/>
    <n v="0"/>
    <n v="0"/>
    <n v="0.95"/>
    <n v="0"/>
    <n v="0"/>
    <n v="0"/>
    <n v="0"/>
  </r>
  <r>
    <x v="0"/>
    <s v="2025-06-09 14:43:37"/>
    <n v="14"/>
    <x v="12"/>
    <x v="1"/>
    <x v="0"/>
    <n v="0"/>
    <n v="2E+20"/>
    <n v="0"/>
    <n v="0"/>
    <n v="0"/>
    <n v="0"/>
    <s v="Unnamed ProjectsandblastoperatorNumber BusyResource"/>
    <n v="15"/>
    <n v="0"/>
    <n v="0"/>
    <n v="0.95"/>
    <n v="0"/>
    <n v="0"/>
    <n v="0"/>
    <n v="0"/>
  </r>
  <r>
    <x v="0"/>
    <s v="2025-06-09 14:43:37"/>
    <n v="14"/>
    <x v="12"/>
    <x v="2"/>
    <x v="0"/>
    <n v="2"/>
    <n v="2E+20"/>
    <n v="2"/>
    <n v="2"/>
    <n v="2"/>
    <n v="0"/>
    <s v="Unnamed Projectsandblastoperato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14"/>
    <x v="13"/>
    <x v="4"/>
    <x v="2"/>
    <n v="0"/>
    <n v="2E+20"/>
    <n v="0"/>
    <n v="0"/>
    <n v="0"/>
    <n v="0"/>
    <s v="Unnamed Projectseize_assembler.QueueNumber WaitingQueue"/>
    <n v="15"/>
    <n v="0"/>
    <n v="0"/>
    <n v="0.95"/>
    <n v="0"/>
    <n v="0"/>
    <n v="0"/>
    <n v="0"/>
  </r>
  <r>
    <x v="0"/>
    <s v="2025-06-09 14:43:37"/>
    <n v="14"/>
    <x v="14"/>
    <x v="4"/>
    <x v="2"/>
    <n v="0"/>
    <n v="2E+20"/>
    <n v="0"/>
    <n v="0"/>
    <n v="0"/>
    <n v="0"/>
    <s v="Unnamed Projectseize_cutter.QueueNumber WaitingQueue"/>
    <n v="15"/>
    <n v="0"/>
    <n v="0"/>
    <n v="0.95"/>
    <n v="0"/>
    <n v="0"/>
    <n v="0"/>
    <n v="0"/>
  </r>
  <r>
    <x v="0"/>
    <s v="2025-06-09 14:43:37"/>
    <n v="14"/>
    <x v="15"/>
    <x v="4"/>
    <x v="2"/>
    <n v="0"/>
    <n v="2E+20"/>
    <n v="0"/>
    <n v="0"/>
    <n v="0"/>
    <n v="0"/>
    <s v="Unnamed Projectseizeassemblyqcman.QueueNumber WaitingQueue"/>
    <n v="15"/>
    <n v="0"/>
    <n v="0"/>
    <n v="0.95"/>
    <n v="0"/>
    <n v="0"/>
    <n v="0"/>
    <n v="0"/>
  </r>
  <r>
    <x v="0"/>
    <s v="2025-06-09 14:43:37"/>
    <n v="14"/>
    <x v="16"/>
    <x v="4"/>
    <x v="2"/>
    <n v="0"/>
    <n v="2E+20"/>
    <n v="0"/>
    <n v="0"/>
    <n v="0"/>
    <n v="0"/>
    <s v="Unnamed Projectseizecleaner.QueueNumber WaitingQueue"/>
    <n v="15"/>
    <n v="0"/>
    <n v="0"/>
    <n v="0.95"/>
    <n v="0"/>
    <n v="0"/>
    <n v="0"/>
    <n v="0"/>
  </r>
  <r>
    <x v="0"/>
    <s v="2025-06-09 14:43:37"/>
    <n v="14"/>
    <x v="17"/>
    <x v="4"/>
    <x v="2"/>
    <n v="0"/>
    <n v="2E+20"/>
    <n v="0"/>
    <n v="0"/>
    <n v="0"/>
    <n v="0"/>
    <s v="Unnamed Projectseizepainter.QueueNumber WaitingQueue"/>
    <n v="15"/>
    <n v="0"/>
    <n v="0"/>
    <n v="0.95"/>
    <n v="0"/>
    <n v="0"/>
    <n v="0"/>
    <n v="0"/>
  </r>
  <r>
    <x v="0"/>
    <s v="2025-06-09 14:43:37"/>
    <n v="14"/>
    <x v="18"/>
    <x v="4"/>
    <x v="2"/>
    <n v="0"/>
    <n v="2E+20"/>
    <n v="0"/>
    <n v="0"/>
    <n v="0"/>
    <n v="0"/>
    <s v="Unnamed Projectseizeqcman.QueueNumber WaitingQueue"/>
    <n v="15"/>
    <n v="0"/>
    <n v="0"/>
    <n v="0.95"/>
    <n v="0"/>
    <n v="0"/>
    <n v="0"/>
    <n v="0"/>
  </r>
  <r>
    <x v="0"/>
    <s v="2025-06-09 14:43:37"/>
    <n v="14"/>
    <x v="19"/>
    <x v="4"/>
    <x v="2"/>
    <n v="0"/>
    <n v="2E+20"/>
    <n v="0"/>
    <n v="0"/>
    <n v="0"/>
    <n v="0"/>
    <s v="Unnamed Projectseizesandblaster.QueueNumber WaitingQueue"/>
    <n v="15"/>
    <n v="0"/>
    <n v="0"/>
    <n v="0.95"/>
    <n v="0"/>
    <n v="0"/>
    <n v="0"/>
    <n v="0"/>
  </r>
  <r>
    <x v="0"/>
    <s v="2025-06-09 14:43:37"/>
    <n v="14"/>
    <x v="20"/>
    <x v="4"/>
    <x v="2"/>
    <n v="0"/>
    <n v="2E+20"/>
    <n v="0"/>
    <n v="0"/>
    <n v="0"/>
    <n v="0"/>
    <s v="Unnamed Projectseizewelder.QueueNumber WaitingQueue"/>
    <n v="15"/>
    <n v="0"/>
    <n v="0"/>
    <n v="0.95"/>
    <n v="0"/>
    <n v="0"/>
    <n v="0"/>
    <n v="0"/>
  </r>
  <r>
    <x v="0"/>
    <s v="2025-06-09 14:43:37"/>
    <n v="14"/>
    <x v="21"/>
    <x v="3"/>
    <x v="1"/>
    <n v="0"/>
    <n v="2E+20"/>
    <n v="0"/>
    <n v="0"/>
    <n v="0"/>
    <n v="0"/>
    <s v="Unnamed ProjectsteelsheetWIPEntity"/>
    <n v="15"/>
    <n v="6.1333333333333337"/>
    <n v="5.3166405433005028"/>
    <n v="0.95"/>
    <n v="2.944257396015229"/>
    <n v="0"/>
    <n v="16"/>
    <n v="2.944257396015229"/>
  </r>
  <r>
    <x v="0"/>
    <s v="2025-06-09 14:43:37"/>
    <n v="14"/>
    <x v="22"/>
    <x v="0"/>
    <x v="0"/>
    <n v="0"/>
    <n v="2E+20"/>
    <n v="0"/>
    <n v="0"/>
    <n v="0"/>
    <n v="0"/>
    <s v="Unnamed ProjectwelderInstantaneous UtilizationResource"/>
    <n v="15"/>
    <n v="0"/>
    <n v="0"/>
    <n v="0.95"/>
    <n v="0"/>
    <n v="0"/>
    <n v="0"/>
    <n v="0"/>
  </r>
  <r>
    <x v="0"/>
    <s v="2025-06-09 14:43:37"/>
    <n v="14"/>
    <x v="22"/>
    <x v="1"/>
    <x v="0"/>
    <n v="0"/>
    <n v="2E+20"/>
    <n v="0"/>
    <n v="0"/>
    <n v="0"/>
    <n v="0"/>
    <s v="Unnamed ProjectwelderNumber BusyResource"/>
    <n v="15"/>
    <n v="0"/>
    <n v="0"/>
    <n v="0.95"/>
    <n v="0"/>
    <n v="0"/>
    <n v="0"/>
    <n v="0"/>
  </r>
  <r>
    <x v="0"/>
    <s v="2025-06-09 14:43:37"/>
    <n v="14"/>
    <x v="22"/>
    <x v="2"/>
    <x v="0"/>
    <n v="2"/>
    <n v="2E+20"/>
    <n v="2"/>
    <n v="2"/>
    <n v="2"/>
    <n v="0"/>
    <s v="Unnamed ProjectwelderNumber ScheduledResource"/>
    <n v="15"/>
    <n v="1.5334531146777051"/>
    <n v="0.24154952363702747"/>
    <n v="0.95"/>
    <n v="0.13376566756397254"/>
    <n v="1"/>
    <n v="2"/>
    <n v="0.13376566756397254"/>
  </r>
  <r>
    <x v="0"/>
    <s v="2025-06-09 14:43:37"/>
    <n v="14"/>
    <x v="23"/>
    <x v="0"/>
    <x v="0"/>
    <n v="0"/>
    <n v="2E+20"/>
    <n v="0"/>
    <n v="0"/>
    <n v="0"/>
    <n v="0"/>
    <s v="Unnamed ProjectweldingqcworkerInstantaneous UtilizationResource"/>
    <n v="15"/>
    <n v="0"/>
    <n v="0"/>
    <n v="0.95"/>
    <n v="0"/>
    <n v="0"/>
    <n v="0"/>
    <n v="0"/>
  </r>
  <r>
    <x v="0"/>
    <s v="2025-06-09 14:43:37"/>
    <n v="14"/>
    <x v="23"/>
    <x v="1"/>
    <x v="0"/>
    <n v="0"/>
    <n v="2E+20"/>
    <n v="0"/>
    <n v="0"/>
    <n v="0"/>
    <n v="0"/>
    <s v="Unnamed ProjectweldingqcworkerNumber BusyResource"/>
    <n v="15"/>
    <n v="0"/>
    <n v="0"/>
    <n v="0.95"/>
    <n v="0"/>
    <n v="0"/>
    <n v="0"/>
    <n v="0"/>
  </r>
  <r>
    <x v="0"/>
    <s v="2025-06-09 14:43:37"/>
    <n v="14"/>
    <x v="23"/>
    <x v="2"/>
    <x v="0"/>
    <n v="2"/>
    <n v="2E+20"/>
    <n v="2"/>
    <n v="2"/>
    <n v="2"/>
    <n v="0"/>
    <s v="Unnamed ProjectweldingqcworkerNumber ScheduledResource"/>
    <n v="15"/>
    <n v="1.5334635492504263"/>
    <n v="0.24155183649982462"/>
    <n v="0.95"/>
    <n v="0.1337669483846978"/>
    <n v="1"/>
    <n v="2"/>
    <n v="0.1337669483846978"/>
  </r>
  <r>
    <x v="0"/>
    <s v="2025-06-09 14:43:37"/>
    <n v="15"/>
    <x v="0"/>
    <x v="0"/>
    <x v="0"/>
    <n v="0"/>
    <n v="2E+20"/>
    <n v="0"/>
    <n v="0"/>
    <n v="0"/>
    <n v="0"/>
    <s v="Unnamed ProjectassemblerInstantaneous UtilizationResource"/>
    <n v="15"/>
    <n v="0"/>
    <n v="0"/>
    <n v="0.95"/>
    <n v="0"/>
    <n v="0"/>
    <n v="0"/>
    <n v="0"/>
  </r>
  <r>
    <x v="0"/>
    <s v="2025-06-09 14:43:37"/>
    <n v="15"/>
    <x v="0"/>
    <x v="1"/>
    <x v="0"/>
    <n v="0"/>
    <n v="2E+20"/>
    <n v="0"/>
    <n v="0"/>
    <n v="0"/>
    <n v="0"/>
    <s v="Unnamed ProjectassemblerNumber BusyResource"/>
    <n v="15"/>
    <n v="0"/>
    <n v="0"/>
    <n v="0.95"/>
    <n v="0"/>
    <n v="0"/>
    <n v="0"/>
    <n v="0"/>
  </r>
  <r>
    <x v="0"/>
    <s v="2025-06-09 14:43:37"/>
    <n v="15"/>
    <x v="0"/>
    <x v="2"/>
    <x v="0"/>
    <n v="2"/>
    <n v="2E+20"/>
    <n v="2"/>
    <n v="2"/>
    <n v="2"/>
    <n v="0"/>
    <s v="Unnamed ProjectassemblerNumber ScheduledResource"/>
    <n v="15"/>
    <n v="1.5333142680768803"/>
    <n v="0.24151891999367611"/>
    <n v="0.95"/>
    <n v="0.13374871983117992"/>
    <n v="1"/>
    <n v="2"/>
    <n v="0.13374871983117992"/>
  </r>
  <r>
    <x v="0"/>
    <s v="2025-06-09 14:43:37"/>
    <n v="15"/>
    <x v="1"/>
    <x v="0"/>
    <x v="0"/>
    <n v="0"/>
    <n v="2E+20"/>
    <n v="0"/>
    <n v="0"/>
    <n v="0"/>
    <n v="0"/>
    <s v="Unnamed ProjectassemblyqcworkerInstantaneous UtilizationResource"/>
    <n v="15"/>
    <n v="0"/>
    <n v="0"/>
    <n v="0.95"/>
    <n v="0"/>
    <n v="0"/>
    <n v="0"/>
    <n v="0"/>
  </r>
  <r>
    <x v="0"/>
    <s v="2025-06-09 14:43:37"/>
    <n v="15"/>
    <x v="1"/>
    <x v="1"/>
    <x v="0"/>
    <n v="0"/>
    <n v="2E+20"/>
    <n v="0"/>
    <n v="0"/>
    <n v="0"/>
    <n v="0"/>
    <s v="Unnamed ProjectassemblyqcworkerNumber BusyResource"/>
    <n v="15"/>
    <n v="0"/>
    <n v="0"/>
    <n v="0.95"/>
    <n v="0"/>
    <n v="0"/>
    <n v="0"/>
    <n v="0"/>
  </r>
  <r>
    <x v="0"/>
    <s v="2025-06-09 14:43:37"/>
    <n v="15"/>
    <x v="1"/>
    <x v="2"/>
    <x v="0"/>
    <n v="1"/>
    <n v="2E+20"/>
    <n v="1"/>
    <n v="1"/>
    <n v="1"/>
    <n v="0"/>
    <s v="Unnamed Projectassemblyqcworke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15"/>
    <x v="2"/>
    <x v="3"/>
    <x v="1"/>
    <n v="0"/>
    <n v="2E+20"/>
    <n v="0"/>
    <n v="0"/>
    <n v="0"/>
    <n v="0"/>
    <s v="Unnamed Projectbatched_partsWIPEntity"/>
    <n v="15"/>
    <n v="0"/>
    <n v="0"/>
    <n v="0.95"/>
    <n v="0"/>
    <n v="0"/>
    <n v="0"/>
    <n v="0"/>
  </r>
  <r>
    <x v="0"/>
    <s v="2025-06-09 14:43:37"/>
    <n v="15"/>
    <x v="3"/>
    <x v="0"/>
    <x v="0"/>
    <n v="0"/>
    <n v="2E+20"/>
    <n v="0"/>
    <n v="0"/>
    <n v="0"/>
    <n v="0"/>
    <s v="Unnamed ProjectcleanerInstantaneous UtilizationResource"/>
    <n v="15"/>
    <n v="0"/>
    <n v="0"/>
    <n v="0.95"/>
    <n v="0"/>
    <n v="0"/>
    <n v="0"/>
    <n v="0"/>
  </r>
  <r>
    <x v="0"/>
    <s v="2025-06-09 14:43:37"/>
    <n v="15"/>
    <x v="3"/>
    <x v="1"/>
    <x v="0"/>
    <n v="0"/>
    <n v="2E+20"/>
    <n v="0"/>
    <n v="0"/>
    <n v="0"/>
    <n v="0"/>
    <s v="Unnamed ProjectcleanerNumber BusyResource"/>
    <n v="15"/>
    <n v="0"/>
    <n v="0"/>
    <n v="0.95"/>
    <n v="0"/>
    <n v="0"/>
    <n v="0"/>
    <n v="0"/>
  </r>
  <r>
    <x v="0"/>
    <s v="2025-06-09 14:43:37"/>
    <n v="15"/>
    <x v="3"/>
    <x v="2"/>
    <x v="0"/>
    <n v="1"/>
    <n v="2E+20"/>
    <n v="1"/>
    <n v="1"/>
    <n v="1"/>
    <n v="0"/>
    <s v="Unnamed ProjectcleanerNumber ScheduledResource"/>
    <n v="15"/>
    <n v="1.5334471868881776"/>
    <n v="0.24154821158553658"/>
    <n v="0.95"/>
    <n v="0.13376494097407529"/>
    <n v="1"/>
    <n v="2"/>
    <n v="0.13376494097407529"/>
  </r>
  <r>
    <x v="0"/>
    <s v="2025-06-09 14:43:37"/>
    <n v="15"/>
    <x v="4"/>
    <x v="0"/>
    <x v="0"/>
    <n v="0"/>
    <n v="2E+20"/>
    <n v="0"/>
    <n v="0"/>
    <n v="0"/>
    <n v="0"/>
    <s v="Unnamed ProjectcutterInstantaneous UtilizationResource"/>
    <n v="15"/>
    <n v="0"/>
    <n v="0"/>
    <n v="0.95"/>
    <n v="0"/>
    <n v="0"/>
    <n v="0"/>
    <n v="0"/>
  </r>
  <r>
    <x v="0"/>
    <s v="2025-06-09 14:43:37"/>
    <n v="15"/>
    <x v="4"/>
    <x v="1"/>
    <x v="0"/>
    <n v="0"/>
    <n v="2E+20"/>
    <n v="0"/>
    <n v="0"/>
    <n v="0"/>
    <n v="0"/>
    <s v="Unnamed ProjectcutterNumber BusyResource"/>
    <n v="15"/>
    <n v="0"/>
    <n v="0"/>
    <n v="0.95"/>
    <n v="0"/>
    <n v="0"/>
    <n v="0"/>
    <n v="0"/>
  </r>
  <r>
    <x v="0"/>
    <s v="2025-06-09 14:43:37"/>
    <n v="15"/>
    <x v="4"/>
    <x v="2"/>
    <x v="0"/>
    <n v="1"/>
    <n v="2E+20"/>
    <n v="1"/>
    <n v="1"/>
    <n v="1"/>
    <n v="0"/>
    <s v="Unnamed ProjectcutterNumber ScheduledResource"/>
    <n v="15"/>
    <n v="1.5332999999999999"/>
    <n v="0.24151556349584294"/>
    <n v="0.95"/>
    <n v="0.1337468610646356"/>
    <n v="1"/>
    <n v="2"/>
    <n v="0.1337468610646356"/>
  </r>
  <r>
    <x v="0"/>
    <s v="2025-06-09 14:43:37"/>
    <n v="15"/>
    <x v="5"/>
    <x v="0"/>
    <x v="0"/>
    <n v="0"/>
    <n v="2E+20"/>
    <n v="0"/>
    <n v="0"/>
    <n v="0"/>
    <n v="0"/>
    <s v="Unnamed ProjectfinalqcmanInstantaneous UtilizationResource"/>
    <n v="15"/>
    <n v="0"/>
    <n v="0"/>
    <n v="0.95"/>
    <n v="0"/>
    <n v="0"/>
    <n v="0"/>
    <n v="0"/>
  </r>
  <r>
    <x v="0"/>
    <s v="2025-06-09 14:43:37"/>
    <n v="15"/>
    <x v="5"/>
    <x v="1"/>
    <x v="0"/>
    <n v="0"/>
    <n v="2E+20"/>
    <n v="0"/>
    <n v="0"/>
    <n v="0"/>
    <n v="0"/>
    <s v="Unnamed ProjectfinalqcmanNumber BusyResource"/>
    <n v="15"/>
    <n v="0"/>
    <n v="0"/>
    <n v="0.95"/>
    <n v="0"/>
    <n v="0"/>
    <n v="0"/>
    <n v="0"/>
  </r>
  <r>
    <x v="0"/>
    <s v="2025-06-09 14:43:37"/>
    <n v="15"/>
    <x v="5"/>
    <x v="2"/>
    <x v="0"/>
    <n v="1"/>
    <n v="2E+20"/>
    <n v="1"/>
    <n v="1"/>
    <n v="1"/>
    <n v="0"/>
    <s v="Unnamed ProjectfinalqcmanNumber ScheduledResource"/>
    <n v="15"/>
    <n v="1.5334510661643974"/>
    <n v="0.24154906725932371"/>
    <n v="0.95"/>
    <n v="0.13376541483042423"/>
    <n v="1"/>
    <n v="2"/>
    <n v="0.13376541483042423"/>
  </r>
  <r>
    <x v="0"/>
    <s v="2025-06-09 14:43:37"/>
    <n v="15"/>
    <x v="6"/>
    <x v="4"/>
    <x v="2"/>
    <n v="0"/>
    <n v="2E+20"/>
    <n v="0"/>
    <n v="0"/>
    <n v="0"/>
    <n v="0"/>
    <s v="Unnamed Projectinspectorseize.QueueNumber WaitingQueue"/>
    <n v="15"/>
    <n v="0"/>
    <n v="0"/>
    <n v="0.95"/>
    <n v="0"/>
    <n v="0"/>
    <n v="0"/>
    <n v="0"/>
  </r>
  <r>
    <x v="0"/>
    <s v="2025-06-09 14:43:37"/>
    <n v="15"/>
    <x v="7"/>
    <x v="4"/>
    <x v="2"/>
    <n v="0"/>
    <n v="2E+20"/>
    <n v="0"/>
    <n v="0"/>
    <n v="0"/>
    <n v="0"/>
    <s v="Unnamed Projectmatch_truckcombo.Queue1Number WaitingQueue"/>
    <n v="15"/>
    <n v="3.3333333333333335"/>
    <n v="4.577377082170635"/>
    <n v="0.95"/>
    <n v="2.5348669368881507"/>
    <n v="0"/>
    <n v="12"/>
    <n v="2.5348669368881507"/>
  </r>
  <r>
    <x v="0"/>
    <s v="2025-06-09 14:43:37"/>
    <n v="15"/>
    <x v="8"/>
    <x v="4"/>
    <x v="2"/>
    <n v="0"/>
    <n v="2E+20"/>
    <n v="0"/>
    <n v="0"/>
    <n v="0"/>
    <n v="0"/>
    <s v="Unnamed Projectmatch_truckcombo.Queue2Number WaitingQueue"/>
    <n v="15"/>
    <n v="2.8"/>
    <n v="5.226307081896902"/>
    <n v="0.95"/>
    <n v="2.8942323925042523"/>
    <n v="0"/>
    <n v="16"/>
    <n v="2.8942323925042523"/>
  </r>
  <r>
    <x v="0"/>
    <s v="2025-06-09 14:43:37"/>
    <n v="15"/>
    <x v="9"/>
    <x v="0"/>
    <x v="0"/>
    <n v="0"/>
    <n v="2E+20"/>
    <n v="0"/>
    <n v="0"/>
    <n v="0"/>
    <n v="0"/>
    <s v="Unnamed ProjectpaintingmachineInstantaneous UtilizationResource"/>
    <n v="15"/>
    <n v="0"/>
    <n v="0"/>
    <n v="0.95"/>
    <n v="0"/>
    <n v="0"/>
    <n v="0"/>
    <n v="0"/>
  </r>
  <r>
    <x v="0"/>
    <s v="2025-06-09 14:43:37"/>
    <n v="15"/>
    <x v="9"/>
    <x v="1"/>
    <x v="0"/>
    <n v="0"/>
    <n v="2E+20"/>
    <n v="0"/>
    <n v="0"/>
    <n v="0"/>
    <n v="0"/>
    <s v="Unnamed ProjectpaintingmachineNumber BusyResource"/>
    <n v="15"/>
    <n v="0"/>
    <n v="0"/>
    <n v="0.95"/>
    <n v="0"/>
    <n v="0"/>
    <n v="0"/>
    <n v="0"/>
  </r>
  <r>
    <x v="0"/>
    <s v="2025-06-09 14:43:37"/>
    <n v="15"/>
    <x v="9"/>
    <x v="2"/>
    <x v="0"/>
    <n v="1"/>
    <n v="2E+20"/>
    <n v="1"/>
    <n v="1"/>
    <n v="1"/>
    <n v="0"/>
    <s v="Unnamed ProjectpaintingmachineNumber ScheduledResource"/>
    <n v="15"/>
    <n v="1"/>
    <n v="0"/>
    <n v="0.95"/>
    <n v="0"/>
    <n v="1"/>
    <n v="1"/>
    <n v="0"/>
  </r>
  <r>
    <x v="0"/>
    <s v="2025-06-09 14:43:37"/>
    <n v="15"/>
    <x v="10"/>
    <x v="0"/>
    <x v="0"/>
    <n v="0"/>
    <n v="2E+20"/>
    <n v="0"/>
    <n v="0"/>
    <n v="0"/>
    <n v="0"/>
    <s v="Unnamed ProjectpaintingoperatorInstantaneous UtilizationResource"/>
    <n v="15"/>
    <n v="0"/>
    <n v="0"/>
    <n v="0.95"/>
    <n v="0"/>
    <n v="0"/>
    <n v="0"/>
    <n v="0"/>
  </r>
  <r>
    <x v="0"/>
    <s v="2025-06-09 14:43:37"/>
    <n v="15"/>
    <x v="10"/>
    <x v="1"/>
    <x v="0"/>
    <n v="0"/>
    <n v="2E+20"/>
    <n v="0"/>
    <n v="0"/>
    <n v="0"/>
    <n v="0"/>
    <s v="Unnamed ProjectpaintingoperatorNumber BusyResource"/>
    <n v="15"/>
    <n v="0"/>
    <n v="0"/>
    <n v="0.95"/>
    <n v="0"/>
    <n v="0"/>
    <n v="0"/>
    <n v="0"/>
  </r>
  <r>
    <x v="0"/>
    <s v="2025-06-09 14:43:37"/>
    <n v="15"/>
    <x v="10"/>
    <x v="2"/>
    <x v="0"/>
    <n v="1"/>
    <n v="2E+20"/>
    <n v="1"/>
    <n v="1"/>
    <n v="1"/>
    <n v="0"/>
    <s v="Unnamed Projectpaintingoperato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15"/>
    <x v="11"/>
    <x v="0"/>
    <x v="0"/>
    <n v="0"/>
    <n v="2E+20"/>
    <n v="0"/>
    <n v="0"/>
    <n v="0"/>
    <n v="0"/>
    <s v="Unnamed ProjectsandblastmachineInstantaneous UtilizationResource"/>
    <n v="15"/>
    <n v="0"/>
    <n v="0"/>
    <n v="0.95"/>
    <n v="0"/>
    <n v="0"/>
    <n v="0"/>
    <n v="0"/>
  </r>
  <r>
    <x v="0"/>
    <s v="2025-06-09 14:43:37"/>
    <n v="15"/>
    <x v="11"/>
    <x v="1"/>
    <x v="0"/>
    <n v="0"/>
    <n v="2E+20"/>
    <n v="0"/>
    <n v="0"/>
    <n v="0"/>
    <n v="0"/>
    <s v="Unnamed ProjectsandblastmachineNumber BusyResource"/>
    <n v="15"/>
    <n v="0"/>
    <n v="0"/>
    <n v="0.95"/>
    <n v="0"/>
    <n v="0"/>
    <n v="0"/>
    <n v="0"/>
  </r>
  <r>
    <x v="0"/>
    <s v="2025-06-09 14:43:37"/>
    <n v="15"/>
    <x v="11"/>
    <x v="2"/>
    <x v="0"/>
    <n v="1"/>
    <n v="2E+20"/>
    <n v="1"/>
    <n v="1"/>
    <n v="1"/>
    <n v="0"/>
    <s v="Unnamed ProjectsandblastmachineNumber ScheduledResource"/>
    <n v="15"/>
    <n v="1"/>
    <n v="0"/>
    <n v="0.95"/>
    <n v="0"/>
    <n v="1"/>
    <n v="1"/>
    <n v="0"/>
  </r>
  <r>
    <x v="0"/>
    <s v="2025-06-09 14:43:37"/>
    <n v="15"/>
    <x v="12"/>
    <x v="0"/>
    <x v="0"/>
    <n v="0"/>
    <n v="2E+20"/>
    <n v="0"/>
    <n v="0"/>
    <n v="0"/>
    <n v="0"/>
    <s v="Unnamed ProjectsandblastoperatorInstantaneous UtilizationResource"/>
    <n v="15"/>
    <n v="0"/>
    <n v="0"/>
    <n v="0.95"/>
    <n v="0"/>
    <n v="0"/>
    <n v="0"/>
    <n v="0"/>
  </r>
  <r>
    <x v="0"/>
    <s v="2025-06-09 14:43:37"/>
    <n v="15"/>
    <x v="12"/>
    <x v="1"/>
    <x v="0"/>
    <n v="0"/>
    <n v="2E+20"/>
    <n v="0"/>
    <n v="0"/>
    <n v="0"/>
    <n v="0"/>
    <s v="Unnamed ProjectsandblastoperatorNumber BusyResource"/>
    <n v="15"/>
    <n v="0"/>
    <n v="0"/>
    <n v="0.95"/>
    <n v="0"/>
    <n v="0"/>
    <n v="0"/>
    <n v="0"/>
  </r>
  <r>
    <x v="0"/>
    <s v="2025-06-09 14:43:37"/>
    <n v="15"/>
    <x v="12"/>
    <x v="2"/>
    <x v="0"/>
    <n v="1"/>
    <n v="2E+20"/>
    <n v="1"/>
    <n v="1"/>
    <n v="1"/>
    <n v="0"/>
    <s v="Unnamed ProjectsandblastoperatorNumber ScheduledResource"/>
    <n v="15"/>
    <n v="1.5334666666666668"/>
    <n v="0.24155252805450594"/>
    <n v="0.95"/>
    <n v="0.13376733135491528"/>
    <n v="1"/>
    <n v="2"/>
    <n v="0.13376733135491528"/>
  </r>
  <r>
    <x v="0"/>
    <s v="2025-06-09 14:43:37"/>
    <n v="15"/>
    <x v="13"/>
    <x v="4"/>
    <x v="2"/>
    <n v="0"/>
    <n v="2E+20"/>
    <n v="0"/>
    <n v="0"/>
    <n v="0"/>
    <n v="0"/>
    <s v="Unnamed Projectseize_assembler.QueueNumber WaitingQueue"/>
    <n v="15"/>
    <n v="0"/>
    <n v="0"/>
    <n v="0.95"/>
    <n v="0"/>
    <n v="0"/>
    <n v="0"/>
    <n v="0"/>
  </r>
  <r>
    <x v="0"/>
    <s v="2025-06-09 14:43:37"/>
    <n v="15"/>
    <x v="14"/>
    <x v="4"/>
    <x v="2"/>
    <n v="0"/>
    <n v="2E+20"/>
    <n v="0"/>
    <n v="0"/>
    <n v="0"/>
    <n v="0"/>
    <s v="Unnamed Projectseize_cutter.QueueNumber WaitingQueue"/>
    <n v="15"/>
    <n v="0"/>
    <n v="0"/>
    <n v="0.95"/>
    <n v="0"/>
    <n v="0"/>
    <n v="0"/>
    <n v="0"/>
  </r>
  <r>
    <x v="0"/>
    <s v="2025-06-09 14:43:37"/>
    <n v="15"/>
    <x v="15"/>
    <x v="4"/>
    <x v="2"/>
    <n v="0"/>
    <n v="2E+20"/>
    <n v="0"/>
    <n v="0"/>
    <n v="0"/>
    <n v="0"/>
    <s v="Unnamed Projectseizeassemblyqcman.QueueNumber WaitingQueue"/>
    <n v="15"/>
    <n v="0"/>
    <n v="0"/>
    <n v="0.95"/>
    <n v="0"/>
    <n v="0"/>
    <n v="0"/>
    <n v="0"/>
  </r>
  <r>
    <x v="0"/>
    <s v="2025-06-09 14:43:37"/>
    <n v="15"/>
    <x v="16"/>
    <x v="4"/>
    <x v="2"/>
    <n v="0"/>
    <n v="2E+20"/>
    <n v="0"/>
    <n v="0"/>
    <n v="0"/>
    <n v="0"/>
    <s v="Unnamed Projectseizecleaner.QueueNumber WaitingQueue"/>
    <n v="15"/>
    <n v="0"/>
    <n v="0"/>
    <n v="0.95"/>
    <n v="0"/>
    <n v="0"/>
    <n v="0"/>
    <n v="0"/>
  </r>
  <r>
    <x v="0"/>
    <s v="2025-06-09 14:43:37"/>
    <n v="15"/>
    <x v="17"/>
    <x v="4"/>
    <x v="2"/>
    <n v="0"/>
    <n v="2E+20"/>
    <n v="0"/>
    <n v="0"/>
    <n v="0"/>
    <n v="0"/>
    <s v="Unnamed Projectseizepainter.QueueNumber WaitingQueue"/>
    <n v="15"/>
    <n v="0"/>
    <n v="0"/>
    <n v="0.95"/>
    <n v="0"/>
    <n v="0"/>
    <n v="0"/>
    <n v="0"/>
  </r>
  <r>
    <x v="0"/>
    <s v="2025-06-09 14:43:37"/>
    <n v="15"/>
    <x v="18"/>
    <x v="4"/>
    <x v="2"/>
    <n v="0"/>
    <n v="2E+20"/>
    <n v="0"/>
    <n v="0"/>
    <n v="0"/>
    <n v="0"/>
    <s v="Unnamed Projectseizeqcman.QueueNumber WaitingQueue"/>
    <n v="15"/>
    <n v="0"/>
    <n v="0"/>
    <n v="0.95"/>
    <n v="0"/>
    <n v="0"/>
    <n v="0"/>
    <n v="0"/>
  </r>
  <r>
    <x v="0"/>
    <s v="2025-06-09 14:43:37"/>
    <n v="15"/>
    <x v="19"/>
    <x v="4"/>
    <x v="2"/>
    <n v="0"/>
    <n v="2E+20"/>
    <n v="0"/>
    <n v="0"/>
    <n v="0"/>
    <n v="0"/>
    <s v="Unnamed Projectseizesandblaster.QueueNumber WaitingQueue"/>
    <n v="15"/>
    <n v="0"/>
    <n v="0"/>
    <n v="0.95"/>
    <n v="0"/>
    <n v="0"/>
    <n v="0"/>
    <n v="0"/>
  </r>
  <r>
    <x v="0"/>
    <s v="2025-06-09 14:43:37"/>
    <n v="15"/>
    <x v="20"/>
    <x v="4"/>
    <x v="2"/>
    <n v="0"/>
    <n v="2E+20"/>
    <n v="0"/>
    <n v="0"/>
    <n v="0"/>
    <n v="0"/>
    <s v="Unnamed Projectseizewelder.QueueNumber WaitingQueue"/>
    <n v="15"/>
    <n v="0"/>
    <n v="0"/>
    <n v="0.95"/>
    <n v="0"/>
    <n v="0"/>
    <n v="0"/>
    <n v="0"/>
  </r>
  <r>
    <x v="0"/>
    <s v="2025-06-09 14:43:37"/>
    <n v="15"/>
    <x v="21"/>
    <x v="3"/>
    <x v="1"/>
    <n v="0"/>
    <n v="2E+20"/>
    <n v="0"/>
    <n v="0"/>
    <n v="0"/>
    <n v="0"/>
    <s v="Unnamed ProjectsteelsheetWIPEntity"/>
    <n v="15"/>
    <n v="6.1333333333333337"/>
    <n v="5.3166405433005028"/>
    <n v="0.95"/>
    <n v="2.944257396015229"/>
    <n v="0"/>
    <n v="16"/>
    <n v="2.944257396015229"/>
  </r>
  <r>
    <x v="0"/>
    <s v="2025-06-09 14:43:37"/>
    <n v="15"/>
    <x v="22"/>
    <x v="0"/>
    <x v="0"/>
    <n v="0"/>
    <n v="2E+20"/>
    <n v="0"/>
    <n v="0"/>
    <n v="0"/>
    <n v="0"/>
    <s v="Unnamed ProjectwelderInstantaneous UtilizationResource"/>
    <n v="15"/>
    <n v="0"/>
    <n v="0"/>
    <n v="0.95"/>
    <n v="0"/>
    <n v="0"/>
    <n v="0"/>
    <n v="0"/>
  </r>
  <r>
    <x v="0"/>
    <s v="2025-06-09 14:43:37"/>
    <n v="15"/>
    <x v="22"/>
    <x v="1"/>
    <x v="0"/>
    <n v="0"/>
    <n v="2E+20"/>
    <n v="0"/>
    <n v="0"/>
    <n v="0"/>
    <n v="0"/>
    <s v="Unnamed ProjectwelderNumber BusyResource"/>
    <n v="15"/>
    <n v="0"/>
    <n v="0"/>
    <n v="0.95"/>
    <n v="0"/>
    <n v="0"/>
    <n v="0"/>
    <n v="0"/>
  </r>
  <r>
    <x v="0"/>
    <s v="2025-06-09 14:43:37"/>
    <n v="15"/>
    <x v="22"/>
    <x v="2"/>
    <x v="0"/>
    <n v="1"/>
    <n v="2E+20"/>
    <n v="1"/>
    <n v="1"/>
    <n v="1"/>
    <n v="0"/>
    <s v="Unnamed ProjectwelderNumber ScheduledResource"/>
    <n v="15"/>
    <n v="1.5334531146777051"/>
    <n v="0.24154952363702747"/>
    <n v="0.95"/>
    <n v="0.13376566756397254"/>
    <n v="1"/>
    <n v="2"/>
    <n v="0.13376566756397254"/>
  </r>
  <r>
    <x v="0"/>
    <s v="2025-06-09 14:43:37"/>
    <n v="15"/>
    <x v="23"/>
    <x v="0"/>
    <x v="0"/>
    <n v="0"/>
    <n v="2E+20"/>
    <n v="0"/>
    <n v="0"/>
    <n v="0"/>
    <n v="0"/>
    <s v="Unnamed ProjectweldingqcworkerInstantaneous UtilizationResource"/>
    <n v="15"/>
    <n v="0"/>
    <n v="0"/>
    <n v="0.95"/>
    <n v="0"/>
    <n v="0"/>
    <n v="0"/>
    <n v="0"/>
  </r>
  <r>
    <x v="0"/>
    <s v="2025-06-09 14:43:37"/>
    <n v="15"/>
    <x v="23"/>
    <x v="1"/>
    <x v="0"/>
    <n v="0"/>
    <n v="2E+20"/>
    <n v="0"/>
    <n v="0"/>
    <n v="0"/>
    <n v="0"/>
    <s v="Unnamed ProjectweldingqcworkerNumber BusyResource"/>
    <n v="15"/>
    <n v="0"/>
    <n v="0"/>
    <n v="0.95"/>
    <n v="0"/>
    <n v="0"/>
    <n v="0"/>
    <n v="0"/>
  </r>
  <r>
    <x v="0"/>
    <s v="2025-06-09 14:43:37"/>
    <n v="15"/>
    <x v="23"/>
    <x v="2"/>
    <x v="0"/>
    <n v="1"/>
    <n v="2E+20"/>
    <n v="1"/>
    <n v="1"/>
    <n v="1"/>
    <n v="0"/>
    <s v="Unnamed ProjectweldingqcworkerNumber ScheduledResource"/>
    <n v="15"/>
    <n v="1.5334635492504263"/>
    <n v="0.24155183649982462"/>
    <n v="0.95"/>
    <n v="0.1337669483846978"/>
    <n v="1"/>
    <n v="2"/>
    <n v="0.133766948384697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x v="0"/>
    <m/>
    <m/>
    <x v="0"/>
    <x v="0"/>
    <x v="0"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  <m/>
    <m/>
    <x v="0"/>
    <x v="0"/>
    <x v="0"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405">
  <r>
    <x v="0"/>
    <s v="2025-06-09 14:43:37"/>
    <n v="1"/>
    <x v="0"/>
    <x v="0"/>
    <x v="0"/>
    <n v="0"/>
    <n v="0"/>
    <s v="Unnamed ProjectSystem.NumberOutNumber OutSystem"/>
    <n v="15"/>
    <n v="0"/>
    <n v="0"/>
    <n v="0.95"/>
    <n v="0"/>
    <n v="0"/>
    <n v="0"/>
  </r>
  <r>
    <x v="0"/>
    <s v="2025-06-09 14:43:37"/>
    <n v="1"/>
    <x v="1"/>
    <x v="1"/>
    <x v="1"/>
    <n v="0"/>
    <n v="0"/>
    <s v="Unnamed Projectassembler.NumberSeizedTotal Number SeizedResource"/>
    <n v="15"/>
    <n v="0"/>
    <n v="0"/>
    <n v="0.95"/>
    <n v="0"/>
    <n v="0"/>
    <n v="0"/>
  </r>
  <r>
    <x v="0"/>
    <s v="2025-06-09 14:43:37"/>
    <n v="1"/>
    <x v="2"/>
    <x v="2"/>
    <x v="1"/>
    <n v="0"/>
    <n v="0"/>
    <s v="Unnamed Projectassembler.ScheduledUtilizationScheduled UtilizationResource"/>
    <n v="15"/>
    <n v="0"/>
    <n v="0"/>
    <n v="0.95"/>
    <n v="0"/>
    <n v="0"/>
    <n v="0"/>
  </r>
  <r>
    <x v="0"/>
    <s v="2025-06-09 14:43:37"/>
    <n v="1"/>
    <x v="3"/>
    <x v="1"/>
    <x v="1"/>
    <n v="0"/>
    <n v="0"/>
    <s v="Unnamed Projectassemblyqcworker.NumberSeizedTotal Number SeizedResource"/>
    <n v="15"/>
    <n v="0"/>
    <n v="0"/>
    <n v="0.95"/>
    <n v="0"/>
    <n v="0"/>
    <n v="0"/>
  </r>
  <r>
    <x v="0"/>
    <s v="2025-06-09 14:43:37"/>
    <n v="1"/>
    <x v="4"/>
    <x v="2"/>
    <x v="1"/>
    <n v="0"/>
    <n v="0"/>
    <s v="Unnamed Projectassemblyqcworker.ScheduledUtilizationScheduled UtilizationResource"/>
    <n v="15"/>
    <n v="0"/>
    <n v="0"/>
    <n v="0.95"/>
    <n v="0"/>
    <n v="0"/>
    <n v="0"/>
  </r>
  <r>
    <x v="0"/>
    <s v="2025-06-09 14:43:37"/>
    <n v="1"/>
    <x v="5"/>
    <x v="3"/>
    <x v="2"/>
    <n v="0"/>
    <n v="0"/>
    <s v="Unnamed Projectbatched_parts.NumberInNumber InEntity"/>
    <n v="15"/>
    <n v="0"/>
    <n v="0"/>
    <n v="0.95"/>
    <n v="0"/>
    <n v="0"/>
    <n v="0"/>
  </r>
  <r>
    <x v="0"/>
    <s v="2025-06-09 14:43:37"/>
    <n v="1"/>
    <x v="6"/>
    <x v="0"/>
    <x v="2"/>
    <n v="0"/>
    <n v="0"/>
    <s v="Unnamed Projectbatched_parts.NumberOutNumber OutEntity"/>
    <n v="15"/>
    <n v="0"/>
    <n v="0"/>
    <n v="0.95"/>
    <n v="0"/>
    <n v="0"/>
    <n v="0"/>
  </r>
  <r>
    <x v="0"/>
    <s v="2025-06-09 14:43:37"/>
    <n v="1"/>
    <x v="7"/>
    <x v="1"/>
    <x v="1"/>
    <n v="0"/>
    <n v="0"/>
    <s v="Unnamed Projectcleaner.NumberSeizedTotal Number SeizedResource"/>
    <n v="15"/>
    <n v="0"/>
    <n v="0"/>
    <n v="0.95"/>
    <n v="0"/>
    <n v="0"/>
    <n v="0"/>
  </r>
  <r>
    <x v="0"/>
    <s v="2025-06-09 14:43:37"/>
    <n v="1"/>
    <x v="8"/>
    <x v="2"/>
    <x v="1"/>
    <n v="0"/>
    <n v="0"/>
    <s v="Unnamed Projectcleaner.ScheduledUtilizationScheduled UtilizationResource"/>
    <n v="15"/>
    <n v="0"/>
    <n v="0"/>
    <n v="0.95"/>
    <n v="0"/>
    <n v="0"/>
    <n v="0"/>
  </r>
  <r>
    <x v="0"/>
    <s v="2025-06-09 14:43:37"/>
    <n v="1"/>
    <x v="9"/>
    <x v="1"/>
    <x v="1"/>
    <n v="0"/>
    <n v="0"/>
    <s v="Unnamed Projectcutter.NumberSeizedTotal Number SeizedResource"/>
    <n v="15"/>
    <n v="0"/>
    <n v="0"/>
    <n v="0.95"/>
    <n v="0"/>
    <n v="0"/>
    <n v="0"/>
  </r>
  <r>
    <x v="0"/>
    <s v="2025-06-09 14:43:37"/>
    <n v="1"/>
    <x v="10"/>
    <x v="2"/>
    <x v="1"/>
    <n v="0"/>
    <n v="0"/>
    <s v="Unnamed Projectcutter.ScheduledUtilizationScheduled UtilizationResource"/>
    <n v="15"/>
    <n v="0"/>
    <n v="0"/>
    <n v="0.95"/>
    <n v="0"/>
    <n v="0"/>
    <n v="0"/>
  </r>
  <r>
    <x v="0"/>
    <s v="2025-06-09 14:43:37"/>
    <n v="1"/>
    <x v="11"/>
    <x v="1"/>
    <x v="1"/>
    <n v="0"/>
    <n v="0"/>
    <s v="Unnamed Projectfinalqcman.NumberSeizedTotal Number SeizedResource"/>
    <n v="15"/>
    <n v="0"/>
    <n v="0"/>
    <n v="0.95"/>
    <n v="0"/>
    <n v="0"/>
    <n v="0"/>
  </r>
  <r>
    <x v="0"/>
    <s v="2025-06-09 14:43:37"/>
    <n v="1"/>
    <x v="12"/>
    <x v="2"/>
    <x v="1"/>
    <n v="0"/>
    <n v="0"/>
    <s v="Unnamed Projectfinalqcman.ScheduledUtilizationScheduled UtilizationResource"/>
    <n v="15"/>
    <n v="0"/>
    <n v="0"/>
    <n v="0.95"/>
    <n v="0"/>
    <n v="0"/>
    <n v="0"/>
  </r>
  <r>
    <x v="0"/>
    <s v="2025-06-09 14:43:37"/>
    <n v="1"/>
    <x v="13"/>
    <x v="1"/>
    <x v="1"/>
    <n v="0"/>
    <n v="0"/>
    <s v="Unnamed Projectpaintingmachine.NumberSeizedTotal Number SeizedResource"/>
    <n v="15"/>
    <n v="0"/>
    <n v="0"/>
    <n v="0.95"/>
    <n v="0"/>
    <n v="0"/>
    <n v="0"/>
  </r>
  <r>
    <x v="0"/>
    <s v="2025-06-09 14:43:37"/>
    <n v="1"/>
    <x v="14"/>
    <x v="2"/>
    <x v="1"/>
    <n v="0"/>
    <n v="0"/>
    <s v="Unnamed Projectpaintingmachine.ScheduledUtilizationScheduled UtilizationResource"/>
    <n v="15"/>
    <n v="0"/>
    <n v="0"/>
    <n v="0.95"/>
    <n v="0"/>
    <n v="0"/>
    <n v="0"/>
  </r>
  <r>
    <x v="0"/>
    <s v="2025-06-09 14:43:37"/>
    <n v="1"/>
    <x v="15"/>
    <x v="1"/>
    <x v="1"/>
    <n v="0"/>
    <n v="0"/>
    <s v="Unnamed Projectpaintingoperator.NumberSeizedTotal Number SeizedResource"/>
    <n v="15"/>
    <n v="0"/>
    <n v="0"/>
    <n v="0.95"/>
    <n v="0"/>
    <n v="0"/>
    <n v="0"/>
  </r>
  <r>
    <x v="0"/>
    <s v="2025-06-09 14:43:37"/>
    <n v="1"/>
    <x v="16"/>
    <x v="2"/>
    <x v="1"/>
    <n v="0"/>
    <n v="0"/>
    <s v="Unnamed Projectpaintingoperator.ScheduledUtilizationScheduled UtilizationResource"/>
    <n v="15"/>
    <n v="0"/>
    <n v="0"/>
    <n v="0.95"/>
    <n v="0"/>
    <n v="0"/>
    <n v="0"/>
  </r>
  <r>
    <x v="0"/>
    <s v="2025-06-09 14:43:37"/>
    <n v="1"/>
    <x v="17"/>
    <x v="1"/>
    <x v="1"/>
    <n v="0"/>
    <n v="0"/>
    <s v="Unnamed Projectsandblastmachine.NumberSeizedTotal Number SeizedResource"/>
    <n v="15"/>
    <n v="0"/>
    <n v="0"/>
    <n v="0.95"/>
    <n v="0"/>
    <n v="0"/>
    <n v="0"/>
  </r>
  <r>
    <x v="0"/>
    <s v="2025-06-09 14:43:37"/>
    <n v="1"/>
    <x v="18"/>
    <x v="2"/>
    <x v="1"/>
    <n v="0"/>
    <n v="0"/>
    <s v="Unnamed Projectsandblastmachine.ScheduledUtilizationScheduled UtilizationResource"/>
    <n v="15"/>
    <n v="0"/>
    <n v="0"/>
    <n v="0.95"/>
    <n v="0"/>
    <n v="0"/>
    <n v="0"/>
  </r>
  <r>
    <x v="0"/>
    <s v="2025-06-09 14:43:37"/>
    <n v="1"/>
    <x v="19"/>
    <x v="1"/>
    <x v="1"/>
    <n v="0"/>
    <n v="0"/>
    <s v="Unnamed Projectsandblastoperator.NumberSeizedTotal Number SeizedResource"/>
    <n v="15"/>
    <n v="0"/>
    <n v="0"/>
    <n v="0.95"/>
    <n v="0"/>
    <n v="0"/>
    <n v="0"/>
  </r>
  <r>
    <x v="0"/>
    <s v="2025-06-09 14:43:37"/>
    <n v="1"/>
    <x v="20"/>
    <x v="2"/>
    <x v="1"/>
    <n v="0"/>
    <n v="0"/>
    <s v="Unnamed Projectsandblastoperator.ScheduledUtilizationScheduled UtilizationResource"/>
    <n v="15"/>
    <n v="0"/>
    <n v="0"/>
    <n v="0.95"/>
    <n v="0"/>
    <n v="0"/>
    <n v="0"/>
  </r>
  <r>
    <x v="0"/>
    <s v="2025-06-09 14:43:37"/>
    <n v="1"/>
    <x v="21"/>
    <x v="3"/>
    <x v="2"/>
    <n v="0"/>
    <n v="0"/>
    <s v="Unnamed Projectsteelsheet.NumberInNumber InEntity"/>
    <n v="15"/>
    <n v="0"/>
    <n v="0"/>
    <n v="0.95"/>
    <n v="0"/>
    <n v="0"/>
    <n v="0"/>
  </r>
  <r>
    <x v="0"/>
    <s v="2025-06-09 14:43:37"/>
    <n v="1"/>
    <x v="22"/>
    <x v="0"/>
    <x v="2"/>
    <n v="0"/>
    <n v="0"/>
    <s v="Unnamed Projectsteelsheet.NumberOutNumber OutEntity"/>
    <n v="15"/>
    <n v="0"/>
    <n v="0"/>
    <n v="0.95"/>
    <n v="0"/>
    <n v="0"/>
    <n v="0"/>
  </r>
  <r>
    <x v="0"/>
    <s v="2025-06-09 14:43:37"/>
    <n v="1"/>
    <x v="23"/>
    <x v="1"/>
    <x v="1"/>
    <n v="0"/>
    <n v="0"/>
    <s v="Unnamed Projectwelder.NumberSeizedTotal Number SeizedResource"/>
    <n v="15"/>
    <n v="0"/>
    <n v="0"/>
    <n v="0.95"/>
    <n v="0"/>
    <n v="0"/>
    <n v="0"/>
  </r>
  <r>
    <x v="0"/>
    <s v="2025-06-09 14:43:37"/>
    <n v="1"/>
    <x v="24"/>
    <x v="2"/>
    <x v="1"/>
    <n v="0"/>
    <n v="0"/>
    <s v="Unnamed Projectwelder.ScheduledUtilizationScheduled UtilizationResource"/>
    <n v="15"/>
    <n v="0"/>
    <n v="0"/>
    <n v="0.95"/>
    <n v="0"/>
    <n v="0"/>
    <n v="0"/>
  </r>
  <r>
    <x v="0"/>
    <s v="2025-06-09 14:43:37"/>
    <n v="1"/>
    <x v="25"/>
    <x v="1"/>
    <x v="1"/>
    <n v="0"/>
    <n v="0"/>
    <s v="Unnamed Projectweldingqcworker.NumberSeizedTotal Number SeizedResource"/>
    <n v="15"/>
    <n v="0"/>
    <n v="0"/>
    <n v="0.95"/>
    <n v="0"/>
    <n v="0"/>
    <n v="0"/>
  </r>
  <r>
    <x v="0"/>
    <s v="2025-06-09 14:43:37"/>
    <n v="1"/>
    <x v="26"/>
    <x v="2"/>
    <x v="1"/>
    <n v="0"/>
    <n v="0"/>
    <s v="Unnamed Projectweldingqcworker.ScheduledUtilizationScheduled UtilizationResource"/>
    <n v="15"/>
    <n v="0"/>
    <n v="0"/>
    <n v="0.95"/>
    <n v="0"/>
    <n v="0"/>
    <n v="0"/>
  </r>
  <r>
    <x v="0"/>
    <s v="2025-06-09 14:43:37"/>
    <n v="2"/>
    <x v="0"/>
    <x v="0"/>
    <x v="0"/>
    <n v="0"/>
    <n v="0"/>
    <s v="Unnamed ProjectSystem.NumberOutNumber OutSystem"/>
    <n v="15"/>
    <n v="0"/>
    <n v="0"/>
    <n v="0.95"/>
    <n v="0"/>
    <n v="0"/>
    <n v="0"/>
  </r>
  <r>
    <x v="0"/>
    <s v="2025-06-09 14:43:37"/>
    <n v="2"/>
    <x v="1"/>
    <x v="1"/>
    <x v="1"/>
    <n v="0"/>
    <n v="0"/>
    <s v="Unnamed Projectassembler.NumberSeizedTotal Number SeizedResource"/>
    <n v="15"/>
    <n v="0"/>
    <n v="0"/>
    <n v="0.95"/>
    <n v="0"/>
    <n v="0"/>
    <n v="0"/>
  </r>
  <r>
    <x v="0"/>
    <s v="2025-06-09 14:43:37"/>
    <n v="2"/>
    <x v="2"/>
    <x v="2"/>
    <x v="1"/>
    <n v="0"/>
    <n v="0"/>
    <s v="Unnamed Projectassembler.ScheduledUtilizationScheduled UtilizationResource"/>
    <n v="15"/>
    <n v="0"/>
    <n v="0"/>
    <n v="0.95"/>
    <n v="0"/>
    <n v="0"/>
    <n v="0"/>
  </r>
  <r>
    <x v="0"/>
    <s v="2025-06-09 14:43:37"/>
    <n v="2"/>
    <x v="3"/>
    <x v="1"/>
    <x v="1"/>
    <n v="0"/>
    <n v="0"/>
    <s v="Unnamed Projectassemblyqcworker.NumberSeizedTotal Number SeizedResource"/>
    <n v="15"/>
    <n v="0"/>
    <n v="0"/>
    <n v="0.95"/>
    <n v="0"/>
    <n v="0"/>
    <n v="0"/>
  </r>
  <r>
    <x v="0"/>
    <s v="2025-06-09 14:43:37"/>
    <n v="2"/>
    <x v="4"/>
    <x v="2"/>
    <x v="1"/>
    <n v="0"/>
    <n v="0"/>
    <s v="Unnamed Projectassemblyqcworker.ScheduledUtilizationScheduled UtilizationResource"/>
    <n v="15"/>
    <n v="0"/>
    <n v="0"/>
    <n v="0.95"/>
    <n v="0"/>
    <n v="0"/>
    <n v="0"/>
  </r>
  <r>
    <x v="0"/>
    <s v="2025-06-09 14:43:37"/>
    <n v="2"/>
    <x v="5"/>
    <x v="3"/>
    <x v="2"/>
    <n v="0"/>
    <n v="0"/>
    <s v="Unnamed Projectbatched_parts.NumberInNumber InEntity"/>
    <n v="15"/>
    <n v="0"/>
    <n v="0"/>
    <n v="0.95"/>
    <n v="0"/>
    <n v="0"/>
    <n v="0"/>
  </r>
  <r>
    <x v="0"/>
    <s v="2025-06-09 14:43:37"/>
    <n v="2"/>
    <x v="6"/>
    <x v="0"/>
    <x v="2"/>
    <n v="0"/>
    <n v="0"/>
    <s v="Unnamed Projectbatched_parts.NumberOutNumber OutEntity"/>
    <n v="15"/>
    <n v="0"/>
    <n v="0"/>
    <n v="0.95"/>
    <n v="0"/>
    <n v="0"/>
    <n v="0"/>
  </r>
  <r>
    <x v="0"/>
    <s v="2025-06-09 14:43:37"/>
    <n v="2"/>
    <x v="7"/>
    <x v="1"/>
    <x v="1"/>
    <n v="0"/>
    <n v="0"/>
    <s v="Unnamed Projectcleaner.NumberSeizedTotal Number SeizedResource"/>
    <n v="15"/>
    <n v="0"/>
    <n v="0"/>
    <n v="0.95"/>
    <n v="0"/>
    <n v="0"/>
    <n v="0"/>
  </r>
  <r>
    <x v="0"/>
    <s v="2025-06-09 14:43:37"/>
    <n v="2"/>
    <x v="8"/>
    <x v="2"/>
    <x v="1"/>
    <n v="0"/>
    <n v="0"/>
    <s v="Unnamed Projectcleaner.ScheduledUtilizationScheduled UtilizationResource"/>
    <n v="15"/>
    <n v="0"/>
    <n v="0"/>
    <n v="0.95"/>
    <n v="0"/>
    <n v="0"/>
    <n v="0"/>
  </r>
  <r>
    <x v="0"/>
    <s v="2025-06-09 14:43:37"/>
    <n v="2"/>
    <x v="9"/>
    <x v="1"/>
    <x v="1"/>
    <n v="0"/>
    <n v="0"/>
    <s v="Unnamed Projectcutter.NumberSeizedTotal Number SeizedResource"/>
    <n v="15"/>
    <n v="0"/>
    <n v="0"/>
    <n v="0.95"/>
    <n v="0"/>
    <n v="0"/>
    <n v="0"/>
  </r>
  <r>
    <x v="0"/>
    <s v="2025-06-09 14:43:37"/>
    <n v="2"/>
    <x v="10"/>
    <x v="2"/>
    <x v="1"/>
    <n v="0"/>
    <n v="0"/>
    <s v="Unnamed Projectcutter.ScheduledUtilizationScheduled UtilizationResource"/>
    <n v="15"/>
    <n v="0"/>
    <n v="0"/>
    <n v="0.95"/>
    <n v="0"/>
    <n v="0"/>
    <n v="0"/>
  </r>
  <r>
    <x v="0"/>
    <s v="2025-06-09 14:43:37"/>
    <n v="2"/>
    <x v="11"/>
    <x v="1"/>
    <x v="1"/>
    <n v="0"/>
    <n v="0"/>
    <s v="Unnamed Projectfinalqcman.NumberSeizedTotal Number SeizedResource"/>
    <n v="15"/>
    <n v="0"/>
    <n v="0"/>
    <n v="0.95"/>
    <n v="0"/>
    <n v="0"/>
    <n v="0"/>
  </r>
  <r>
    <x v="0"/>
    <s v="2025-06-09 14:43:37"/>
    <n v="2"/>
    <x v="12"/>
    <x v="2"/>
    <x v="1"/>
    <n v="0"/>
    <n v="0"/>
    <s v="Unnamed Projectfinalqcman.ScheduledUtilizationScheduled UtilizationResource"/>
    <n v="15"/>
    <n v="0"/>
    <n v="0"/>
    <n v="0.95"/>
    <n v="0"/>
    <n v="0"/>
    <n v="0"/>
  </r>
  <r>
    <x v="0"/>
    <s v="2025-06-09 14:43:37"/>
    <n v="2"/>
    <x v="13"/>
    <x v="1"/>
    <x v="1"/>
    <n v="0"/>
    <n v="0"/>
    <s v="Unnamed Projectpaintingmachine.NumberSeizedTotal Number SeizedResource"/>
    <n v="15"/>
    <n v="0"/>
    <n v="0"/>
    <n v="0.95"/>
    <n v="0"/>
    <n v="0"/>
    <n v="0"/>
  </r>
  <r>
    <x v="0"/>
    <s v="2025-06-09 14:43:37"/>
    <n v="2"/>
    <x v="14"/>
    <x v="2"/>
    <x v="1"/>
    <n v="0"/>
    <n v="0"/>
    <s v="Unnamed Projectpaintingmachine.ScheduledUtilizationScheduled UtilizationResource"/>
    <n v="15"/>
    <n v="0"/>
    <n v="0"/>
    <n v="0.95"/>
    <n v="0"/>
    <n v="0"/>
    <n v="0"/>
  </r>
  <r>
    <x v="0"/>
    <s v="2025-06-09 14:43:37"/>
    <n v="2"/>
    <x v="15"/>
    <x v="1"/>
    <x v="1"/>
    <n v="0"/>
    <n v="0"/>
    <s v="Unnamed Projectpaintingoperator.NumberSeizedTotal Number SeizedResource"/>
    <n v="15"/>
    <n v="0"/>
    <n v="0"/>
    <n v="0.95"/>
    <n v="0"/>
    <n v="0"/>
    <n v="0"/>
  </r>
  <r>
    <x v="0"/>
    <s v="2025-06-09 14:43:37"/>
    <n v="2"/>
    <x v="16"/>
    <x v="2"/>
    <x v="1"/>
    <n v="0"/>
    <n v="0"/>
    <s v="Unnamed Projectpaintingoperator.ScheduledUtilizationScheduled UtilizationResource"/>
    <n v="15"/>
    <n v="0"/>
    <n v="0"/>
    <n v="0.95"/>
    <n v="0"/>
    <n v="0"/>
    <n v="0"/>
  </r>
  <r>
    <x v="0"/>
    <s v="2025-06-09 14:43:37"/>
    <n v="2"/>
    <x v="17"/>
    <x v="1"/>
    <x v="1"/>
    <n v="0"/>
    <n v="0"/>
    <s v="Unnamed Projectsandblastmachine.NumberSeizedTotal Number SeizedResource"/>
    <n v="15"/>
    <n v="0"/>
    <n v="0"/>
    <n v="0.95"/>
    <n v="0"/>
    <n v="0"/>
    <n v="0"/>
  </r>
  <r>
    <x v="0"/>
    <s v="2025-06-09 14:43:37"/>
    <n v="2"/>
    <x v="18"/>
    <x v="2"/>
    <x v="1"/>
    <n v="0"/>
    <n v="0"/>
    <s v="Unnamed Projectsandblastmachine.ScheduledUtilizationScheduled UtilizationResource"/>
    <n v="15"/>
    <n v="0"/>
    <n v="0"/>
    <n v="0.95"/>
    <n v="0"/>
    <n v="0"/>
    <n v="0"/>
  </r>
  <r>
    <x v="0"/>
    <s v="2025-06-09 14:43:37"/>
    <n v="2"/>
    <x v="19"/>
    <x v="1"/>
    <x v="1"/>
    <n v="0"/>
    <n v="0"/>
    <s v="Unnamed Projectsandblastoperator.NumberSeizedTotal Number SeizedResource"/>
    <n v="15"/>
    <n v="0"/>
    <n v="0"/>
    <n v="0.95"/>
    <n v="0"/>
    <n v="0"/>
    <n v="0"/>
  </r>
  <r>
    <x v="0"/>
    <s v="2025-06-09 14:43:37"/>
    <n v="2"/>
    <x v="20"/>
    <x v="2"/>
    <x v="1"/>
    <n v="0"/>
    <n v="0"/>
    <s v="Unnamed Projectsandblastoperator.ScheduledUtilizationScheduled UtilizationResource"/>
    <n v="15"/>
    <n v="0"/>
    <n v="0"/>
    <n v="0.95"/>
    <n v="0"/>
    <n v="0"/>
    <n v="0"/>
  </r>
  <r>
    <x v="0"/>
    <s v="2025-06-09 14:43:37"/>
    <n v="2"/>
    <x v="21"/>
    <x v="3"/>
    <x v="2"/>
    <n v="0"/>
    <n v="0"/>
    <s v="Unnamed Projectsteelsheet.NumberInNumber InEntity"/>
    <n v="15"/>
    <n v="0"/>
    <n v="0"/>
    <n v="0.95"/>
    <n v="0"/>
    <n v="0"/>
    <n v="0"/>
  </r>
  <r>
    <x v="0"/>
    <s v="2025-06-09 14:43:37"/>
    <n v="2"/>
    <x v="22"/>
    <x v="0"/>
    <x v="2"/>
    <n v="0"/>
    <n v="0"/>
    <s v="Unnamed Projectsteelsheet.NumberOutNumber OutEntity"/>
    <n v="15"/>
    <n v="0"/>
    <n v="0"/>
    <n v="0.95"/>
    <n v="0"/>
    <n v="0"/>
    <n v="0"/>
  </r>
  <r>
    <x v="0"/>
    <s v="2025-06-09 14:43:37"/>
    <n v="2"/>
    <x v="23"/>
    <x v="1"/>
    <x v="1"/>
    <n v="0"/>
    <n v="0"/>
    <s v="Unnamed Projectwelder.NumberSeizedTotal Number SeizedResource"/>
    <n v="15"/>
    <n v="0"/>
    <n v="0"/>
    <n v="0.95"/>
    <n v="0"/>
    <n v="0"/>
    <n v="0"/>
  </r>
  <r>
    <x v="0"/>
    <s v="2025-06-09 14:43:37"/>
    <n v="2"/>
    <x v="24"/>
    <x v="2"/>
    <x v="1"/>
    <n v="0"/>
    <n v="0"/>
    <s v="Unnamed Projectwelder.ScheduledUtilizationScheduled UtilizationResource"/>
    <n v="15"/>
    <n v="0"/>
    <n v="0"/>
    <n v="0.95"/>
    <n v="0"/>
    <n v="0"/>
    <n v="0"/>
  </r>
  <r>
    <x v="0"/>
    <s v="2025-06-09 14:43:37"/>
    <n v="2"/>
    <x v="25"/>
    <x v="1"/>
    <x v="1"/>
    <n v="0"/>
    <n v="0"/>
    <s v="Unnamed Projectweldingqcworker.NumberSeizedTotal Number SeizedResource"/>
    <n v="15"/>
    <n v="0"/>
    <n v="0"/>
    <n v="0.95"/>
    <n v="0"/>
    <n v="0"/>
    <n v="0"/>
  </r>
  <r>
    <x v="0"/>
    <s v="2025-06-09 14:43:37"/>
    <n v="2"/>
    <x v="26"/>
    <x v="2"/>
    <x v="1"/>
    <n v="0"/>
    <n v="0"/>
    <s v="Unnamed Projectweldingqcworker.ScheduledUtilizationScheduled UtilizationResource"/>
    <n v="15"/>
    <n v="0"/>
    <n v="0"/>
    <n v="0.95"/>
    <n v="0"/>
    <n v="0"/>
    <n v="0"/>
  </r>
  <r>
    <x v="0"/>
    <s v="2025-06-09 14:43:37"/>
    <n v="3"/>
    <x v="0"/>
    <x v="0"/>
    <x v="0"/>
    <n v="0"/>
    <n v="0"/>
    <s v="Unnamed ProjectSystem.NumberOutNumber OutSystem"/>
    <n v="15"/>
    <n v="0"/>
    <n v="0"/>
    <n v="0.95"/>
    <n v="0"/>
    <n v="0"/>
    <n v="0"/>
  </r>
  <r>
    <x v="0"/>
    <s v="2025-06-09 14:43:37"/>
    <n v="3"/>
    <x v="1"/>
    <x v="1"/>
    <x v="1"/>
    <n v="0"/>
    <n v="0"/>
    <s v="Unnamed Projectassembler.NumberSeizedTotal Number SeizedResource"/>
    <n v="15"/>
    <n v="0"/>
    <n v="0"/>
    <n v="0.95"/>
    <n v="0"/>
    <n v="0"/>
    <n v="0"/>
  </r>
  <r>
    <x v="0"/>
    <s v="2025-06-09 14:43:37"/>
    <n v="3"/>
    <x v="2"/>
    <x v="2"/>
    <x v="1"/>
    <n v="0"/>
    <n v="0"/>
    <s v="Unnamed Projectassembler.ScheduledUtilizationScheduled UtilizationResource"/>
    <n v="15"/>
    <n v="0"/>
    <n v="0"/>
    <n v="0.95"/>
    <n v="0"/>
    <n v="0"/>
    <n v="0"/>
  </r>
  <r>
    <x v="0"/>
    <s v="2025-06-09 14:43:37"/>
    <n v="3"/>
    <x v="3"/>
    <x v="1"/>
    <x v="1"/>
    <n v="0"/>
    <n v="0"/>
    <s v="Unnamed Projectassemblyqcworker.NumberSeizedTotal Number SeizedResource"/>
    <n v="15"/>
    <n v="0"/>
    <n v="0"/>
    <n v="0.95"/>
    <n v="0"/>
    <n v="0"/>
    <n v="0"/>
  </r>
  <r>
    <x v="0"/>
    <s v="2025-06-09 14:43:37"/>
    <n v="3"/>
    <x v="4"/>
    <x v="2"/>
    <x v="1"/>
    <n v="0"/>
    <n v="0"/>
    <s v="Unnamed Projectassemblyqcworker.ScheduledUtilizationScheduled UtilizationResource"/>
    <n v="15"/>
    <n v="0"/>
    <n v="0"/>
    <n v="0.95"/>
    <n v="0"/>
    <n v="0"/>
    <n v="0"/>
  </r>
  <r>
    <x v="0"/>
    <s v="2025-06-09 14:43:37"/>
    <n v="3"/>
    <x v="5"/>
    <x v="3"/>
    <x v="2"/>
    <n v="0"/>
    <n v="0"/>
    <s v="Unnamed Projectbatched_parts.NumberInNumber InEntity"/>
    <n v="15"/>
    <n v="0"/>
    <n v="0"/>
    <n v="0.95"/>
    <n v="0"/>
    <n v="0"/>
    <n v="0"/>
  </r>
  <r>
    <x v="0"/>
    <s v="2025-06-09 14:43:37"/>
    <n v="3"/>
    <x v="6"/>
    <x v="0"/>
    <x v="2"/>
    <n v="0"/>
    <n v="0"/>
    <s v="Unnamed Projectbatched_parts.NumberOutNumber OutEntity"/>
    <n v="15"/>
    <n v="0"/>
    <n v="0"/>
    <n v="0.95"/>
    <n v="0"/>
    <n v="0"/>
    <n v="0"/>
  </r>
  <r>
    <x v="0"/>
    <s v="2025-06-09 14:43:37"/>
    <n v="3"/>
    <x v="7"/>
    <x v="1"/>
    <x v="1"/>
    <n v="0"/>
    <n v="0"/>
    <s v="Unnamed Projectcleaner.NumberSeizedTotal Number SeizedResource"/>
    <n v="15"/>
    <n v="0"/>
    <n v="0"/>
    <n v="0.95"/>
    <n v="0"/>
    <n v="0"/>
    <n v="0"/>
  </r>
  <r>
    <x v="0"/>
    <s v="2025-06-09 14:43:37"/>
    <n v="3"/>
    <x v="8"/>
    <x v="2"/>
    <x v="1"/>
    <n v="0"/>
    <n v="0"/>
    <s v="Unnamed Projectcleaner.ScheduledUtilizationScheduled UtilizationResource"/>
    <n v="15"/>
    <n v="0"/>
    <n v="0"/>
    <n v="0.95"/>
    <n v="0"/>
    <n v="0"/>
    <n v="0"/>
  </r>
  <r>
    <x v="0"/>
    <s v="2025-06-09 14:43:37"/>
    <n v="3"/>
    <x v="9"/>
    <x v="1"/>
    <x v="1"/>
    <n v="0"/>
    <n v="0"/>
    <s v="Unnamed Projectcutter.NumberSeizedTotal Number SeizedResource"/>
    <n v="15"/>
    <n v="0"/>
    <n v="0"/>
    <n v="0.95"/>
    <n v="0"/>
    <n v="0"/>
    <n v="0"/>
  </r>
  <r>
    <x v="0"/>
    <s v="2025-06-09 14:43:37"/>
    <n v="3"/>
    <x v="10"/>
    <x v="2"/>
    <x v="1"/>
    <n v="0"/>
    <n v="0"/>
    <s v="Unnamed Projectcutter.ScheduledUtilizationScheduled UtilizationResource"/>
    <n v="15"/>
    <n v="0"/>
    <n v="0"/>
    <n v="0.95"/>
    <n v="0"/>
    <n v="0"/>
    <n v="0"/>
  </r>
  <r>
    <x v="0"/>
    <s v="2025-06-09 14:43:37"/>
    <n v="3"/>
    <x v="11"/>
    <x v="1"/>
    <x v="1"/>
    <n v="0"/>
    <n v="0"/>
    <s v="Unnamed Projectfinalqcman.NumberSeizedTotal Number SeizedResource"/>
    <n v="15"/>
    <n v="0"/>
    <n v="0"/>
    <n v="0.95"/>
    <n v="0"/>
    <n v="0"/>
    <n v="0"/>
  </r>
  <r>
    <x v="0"/>
    <s v="2025-06-09 14:43:37"/>
    <n v="3"/>
    <x v="12"/>
    <x v="2"/>
    <x v="1"/>
    <n v="0"/>
    <n v="0"/>
    <s v="Unnamed Projectfinalqcman.ScheduledUtilizationScheduled UtilizationResource"/>
    <n v="15"/>
    <n v="0"/>
    <n v="0"/>
    <n v="0.95"/>
    <n v="0"/>
    <n v="0"/>
    <n v="0"/>
  </r>
  <r>
    <x v="0"/>
    <s v="2025-06-09 14:43:37"/>
    <n v="3"/>
    <x v="13"/>
    <x v="1"/>
    <x v="1"/>
    <n v="0"/>
    <n v="0"/>
    <s v="Unnamed Projectpaintingmachine.NumberSeizedTotal Number SeizedResource"/>
    <n v="15"/>
    <n v="0"/>
    <n v="0"/>
    <n v="0.95"/>
    <n v="0"/>
    <n v="0"/>
    <n v="0"/>
  </r>
  <r>
    <x v="0"/>
    <s v="2025-06-09 14:43:37"/>
    <n v="3"/>
    <x v="14"/>
    <x v="2"/>
    <x v="1"/>
    <n v="0"/>
    <n v="0"/>
    <s v="Unnamed Projectpaintingmachine.ScheduledUtilizationScheduled UtilizationResource"/>
    <n v="15"/>
    <n v="0"/>
    <n v="0"/>
    <n v="0.95"/>
    <n v="0"/>
    <n v="0"/>
    <n v="0"/>
  </r>
  <r>
    <x v="0"/>
    <s v="2025-06-09 14:43:37"/>
    <n v="3"/>
    <x v="15"/>
    <x v="1"/>
    <x v="1"/>
    <n v="0"/>
    <n v="0"/>
    <s v="Unnamed Projectpaintingoperator.NumberSeizedTotal Number SeizedResource"/>
    <n v="15"/>
    <n v="0"/>
    <n v="0"/>
    <n v="0.95"/>
    <n v="0"/>
    <n v="0"/>
    <n v="0"/>
  </r>
  <r>
    <x v="0"/>
    <s v="2025-06-09 14:43:37"/>
    <n v="3"/>
    <x v="16"/>
    <x v="2"/>
    <x v="1"/>
    <n v="0"/>
    <n v="0"/>
    <s v="Unnamed Projectpaintingoperator.ScheduledUtilizationScheduled UtilizationResource"/>
    <n v="15"/>
    <n v="0"/>
    <n v="0"/>
    <n v="0.95"/>
    <n v="0"/>
    <n v="0"/>
    <n v="0"/>
  </r>
  <r>
    <x v="0"/>
    <s v="2025-06-09 14:43:37"/>
    <n v="3"/>
    <x v="17"/>
    <x v="1"/>
    <x v="1"/>
    <n v="0"/>
    <n v="0"/>
    <s v="Unnamed Projectsandblastmachine.NumberSeizedTotal Number SeizedResource"/>
    <n v="15"/>
    <n v="0"/>
    <n v="0"/>
    <n v="0.95"/>
    <n v="0"/>
    <n v="0"/>
    <n v="0"/>
  </r>
  <r>
    <x v="0"/>
    <s v="2025-06-09 14:43:37"/>
    <n v="3"/>
    <x v="18"/>
    <x v="2"/>
    <x v="1"/>
    <n v="0"/>
    <n v="0"/>
    <s v="Unnamed Projectsandblastmachine.ScheduledUtilizationScheduled UtilizationResource"/>
    <n v="15"/>
    <n v="0"/>
    <n v="0"/>
    <n v="0.95"/>
    <n v="0"/>
    <n v="0"/>
    <n v="0"/>
  </r>
  <r>
    <x v="0"/>
    <s v="2025-06-09 14:43:37"/>
    <n v="3"/>
    <x v="19"/>
    <x v="1"/>
    <x v="1"/>
    <n v="0"/>
    <n v="0"/>
    <s v="Unnamed Projectsandblastoperator.NumberSeizedTotal Number SeizedResource"/>
    <n v="15"/>
    <n v="0"/>
    <n v="0"/>
    <n v="0.95"/>
    <n v="0"/>
    <n v="0"/>
    <n v="0"/>
  </r>
  <r>
    <x v="0"/>
    <s v="2025-06-09 14:43:37"/>
    <n v="3"/>
    <x v="20"/>
    <x v="2"/>
    <x v="1"/>
    <n v="0"/>
    <n v="0"/>
    <s v="Unnamed Projectsandblastoperator.ScheduledUtilizationScheduled UtilizationResource"/>
    <n v="15"/>
    <n v="0"/>
    <n v="0"/>
    <n v="0.95"/>
    <n v="0"/>
    <n v="0"/>
    <n v="0"/>
  </r>
  <r>
    <x v="0"/>
    <s v="2025-06-09 14:43:37"/>
    <n v="3"/>
    <x v="21"/>
    <x v="3"/>
    <x v="2"/>
    <n v="0"/>
    <n v="0"/>
    <s v="Unnamed Projectsteelsheet.NumberInNumber InEntity"/>
    <n v="15"/>
    <n v="0"/>
    <n v="0"/>
    <n v="0.95"/>
    <n v="0"/>
    <n v="0"/>
    <n v="0"/>
  </r>
  <r>
    <x v="0"/>
    <s v="2025-06-09 14:43:37"/>
    <n v="3"/>
    <x v="22"/>
    <x v="0"/>
    <x v="2"/>
    <n v="0"/>
    <n v="0"/>
    <s v="Unnamed Projectsteelsheet.NumberOutNumber OutEntity"/>
    <n v="15"/>
    <n v="0"/>
    <n v="0"/>
    <n v="0.95"/>
    <n v="0"/>
    <n v="0"/>
    <n v="0"/>
  </r>
  <r>
    <x v="0"/>
    <s v="2025-06-09 14:43:37"/>
    <n v="3"/>
    <x v="23"/>
    <x v="1"/>
    <x v="1"/>
    <n v="0"/>
    <n v="0"/>
    <s v="Unnamed Projectwelder.NumberSeizedTotal Number SeizedResource"/>
    <n v="15"/>
    <n v="0"/>
    <n v="0"/>
    <n v="0.95"/>
    <n v="0"/>
    <n v="0"/>
    <n v="0"/>
  </r>
  <r>
    <x v="0"/>
    <s v="2025-06-09 14:43:37"/>
    <n v="3"/>
    <x v="24"/>
    <x v="2"/>
    <x v="1"/>
    <n v="0"/>
    <n v="0"/>
    <s v="Unnamed Projectwelder.ScheduledUtilizationScheduled UtilizationResource"/>
    <n v="15"/>
    <n v="0"/>
    <n v="0"/>
    <n v="0.95"/>
    <n v="0"/>
    <n v="0"/>
    <n v="0"/>
  </r>
  <r>
    <x v="0"/>
    <s v="2025-06-09 14:43:37"/>
    <n v="3"/>
    <x v="25"/>
    <x v="1"/>
    <x v="1"/>
    <n v="0"/>
    <n v="0"/>
    <s v="Unnamed Projectweldingqcworker.NumberSeizedTotal Number SeizedResource"/>
    <n v="15"/>
    <n v="0"/>
    <n v="0"/>
    <n v="0.95"/>
    <n v="0"/>
    <n v="0"/>
    <n v="0"/>
  </r>
  <r>
    <x v="0"/>
    <s v="2025-06-09 14:43:37"/>
    <n v="3"/>
    <x v="26"/>
    <x v="2"/>
    <x v="1"/>
    <n v="0"/>
    <n v="0"/>
    <s v="Unnamed Projectweldingqcworker.ScheduledUtilizationScheduled UtilizationResource"/>
    <n v="15"/>
    <n v="0"/>
    <n v="0"/>
    <n v="0.95"/>
    <n v="0"/>
    <n v="0"/>
    <n v="0"/>
  </r>
  <r>
    <x v="0"/>
    <s v="2025-06-09 14:43:37"/>
    <n v="4"/>
    <x v="0"/>
    <x v="0"/>
    <x v="0"/>
    <n v="0"/>
    <n v="0"/>
    <s v="Unnamed ProjectSystem.NumberOutNumber OutSystem"/>
    <n v="15"/>
    <n v="0"/>
    <n v="0"/>
    <n v="0.95"/>
    <n v="0"/>
    <n v="0"/>
    <n v="0"/>
  </r>
  <r>
    <x v="0"/>
    <s v="2025-06-09 14:43:37"/>
    <n v="4"/>
    <x v="1"/>
    <x v="1"/>
    <x v="1"/>
    <n v="0"/>
    <n v="0"/>
    <s v="Unnamed Projectassembler.NumberSeizedTotal Number SeizedResource"/>
    <n v="15"/>
    <n v="0"/>
    <n v="0"/>
    <n v="0.95"/>
    <n v="0"/>
    <n v="0"/>
    <n v="0"/>
  </r>
  <r>
    <x v="0"/>
    <s v="2025-06-09 14:43:37"/>
    <n v="4"/>
    <x v="2"/>
    <x v="2"/>
    <x v="1"/>
    <n v="0"/>
    <n v="0"/>
    <s v="Unnamed Projectassembler.ScheduledUtilizationScheduled UtilizationResource"/>
    <n v="15"/>
    <n v="0"/>
    <n v="0"/>
    <n v="0.95"/>
    <n v="0"/>
    <n v="0"/>
    <n v="0"/>
  </r>
  <r>
    <x v="0"/>
    <s v="2025-06-09 14:43:37"/>
    <n v="4"/>
    <x v="3"/>
    <x v="1"/>
    <x v="1"/>
    <n v="0"/>
    <n v="0"/>
    <s v="Unnamed Projectassemblyqcworker.NumberSeizedTotal Number SeizedResource"/>
    <n v="15"/>
    <n v="0"/>
    <n v="0"/>
    <n v="0.95"/>
    <n v="0"/>
    <n v="0"/>
    <n v="0"/>
  </r>
  <r>
    <x v="0"/>
    <s v="2025-06-09 14:43:37"/>
    <n v="4"/>
    <x v="4"/>
    <x v="2"/>
    <x v="1"/>
    <n v="0"/>
    <n v="0"/>
    <s v="Unnamed Projectassemblyqcworker.ScheduledUtilizationScheduled UtilizationResource"/>
    <n v="15"/>
    <n v="0"/>
    <n v="0"/>
    <n v="0.95"/>
    <n v="0"/>
    <n v="0"/>
    <n v="0"/>
  </r>
  <r>
    <x v="0"/>
    <s v="2025-06-09 14:43:37"/>
    <n v="4"/>
    <x v="5"/>
    <x v="3"/>
    <x v="2"/>
    <n v="0"/>
    <n v="0"/>
    <s v="Unnamed Projectbatched_parts.NumberInNumber InEntity"/>
    <n v="15"/>
    <n v="0"/>
    <n v="0"/>
    <n v="0.95"/>
    <n v="0"/>
    <n v="0"/>
    <n v="0"/>
  </r>
  <r>
    <x v="0"/>
    <s v="2025-06-09 14:43:37"/>
    <n v="4"/>
    <x v="6"/>
    <x v="0"/>
    <x v="2"/>
    <n v="0"/>
    <n v="0"/>
    <s v="Unnamed Projectbatched_parts.NumberOutNumber OutEntity"/>
    <n v="15"/>
    <n v="0"/>
    <n v="0"/>
    <n v="0.95"/>
    <n v="0"/>
    <n v="0"/>
    <n v="0"/>
  </r>
  <r>
    <x v="0"/>
    <s v="2025-06-09 14:43:37"/>
    <n v="4"/>
    <x v="7"/>
    <x v="1"/>
    <x v="1"/>
    <n v="0"/>
    <n v="0"/>
    <s v="Unnamed Projectcleaner.NumberSeizedTotal Number SeizedResource"/>
    <n v="15"/>
    <n v="0"/>
    <n v="0"/>
    <n v="0.95"/>
    <n v="0"/>
    <n v="0"/>
    <n v="0"/>
  </r>
  <r>
    <x v="0"/>
    <s v="2025-06-09 14:43:37"/>
    <n v="4"/>
    <x v="8"/>
    <x v="2"/>
    <x v="1"/>
    <n v="0"/>
    <n v="0"/>
    <s v="Unnamed Projectcleaner.ScheduledUtilizationScheduled UtilizationResource"/>
    <n v="15"/>
    <n v="0"/>
    <n v="0"/>
    <n v="0.95"/>
    <n v="0"/>
    <n v="0"/>
    <n v="0"/>
  </r>
  <r>
    <x v="0"/>
    <s v="2025-06-09 14:43:37"/>
    <n v="4"/>
    <x v="9"/>
    <x v="1"/>
    <x v="1"/>
    <n v="0"/>
    <n v="0"/>
    <s v="Unnamed Projectcutter.NumberSeizedTotal Number SeizedResource"/>
    <n v="15"/>
    <n v="0"/>
    <n v="0"/>
    <n v="0.95"/>
    <n v="0"/>
    <n v="0"/>
    <n v="0"/>
  </r>
  <r>
    <x v="0"/>
    <s v="2025-06-09 14:43:37"/>
    <n v="4"/>
    <x v="10"/>
    <x v="2"/>
    <x v="1"/>
    <n v="0"/>
    <n v="0"/>
    <s v="Unnamed Projectcutter.ScheduledUtilizationScheduled UtilizationResource"/>
    <n v="15"/>
    <n v="0"/>
    <n v="0"/>
    <n v="0.95"/>
    <n v="0"/>
    <n v="0"/>
    <n v="0"/>
  </r>
  <r>
    <x v="0"/>
    <s v="2025-06-09 14:43:37"/>
    <n v="4"/>
    <x v="11"/>
    <x v="1"/>
    <x v="1"/>
    <n v="0"/>
    <n v="0"/>
    <s v="Unnamed Projectfinalqcman.NumberSeizedTotal Number SeizedResource"/>
    <n v="15"/>
    <n v="0"/>
    <n v="0"/>
    <n v="0.95"/>
    <n v="0"/>
    <n v="0"/>
    <n v="0"/>
  </r>
  <r>
    <x v="0"/>
    <s v="2025-06-09 14:43:37"/>
    <n v="4"/>
    <x v="12"/>
    <x v="2"/>
    <x v="1"/>
    <n v="0"/>
    <n v="0"/>
    <s v="Unnamed Projectfinalqcman.ScheduledUtilizationScheduled UtilizationResource"/>
    <n v="15"/>
    <n v="0"/>
    <n v="0"/>
    <n v="0.95"/>
    <n v="0"/>
    <n v="0"/>
    <n v="0"/>
  </r>
  <r>
    <x v="0"/>
    <s v="2025-06-09 14:43:37"/>
    <n v="4"/>
    <x v="13"/>
    <x v="1"/>
    <x v="1"/>
    <n v="0"/>
    <n v="0"/>
    <s v="Unnamed Projectpaintingmachine.NumberSeizedTotal Number SeizedResource"/>
    <n v="15"/>
    <n v="0"/>
    <n v="0"/>
    <n v="0.95"/>
    <n v="0"/>
    <n v="0"/>
    <n v="0"/>
  </r>
  <r>
    <x v="0"/>
    <s v="2025-06-09 14:43:37"/>
    <n v="4"/>
    <x v="14"/>
    <x v="2"/>
    <x v="1"/>
    <n v="0"/>
    <n v="0"/>
    <s v="Unnamed Projectpaintingmachine.ScheduledUtilizationScheduled UtilizationResource"/>
    <n v="15"/>
    <n v="0"/>
    <n v="0"/>
    <n v="0.95"/>
    <n v="0"/>
    <n v="0"/>
    <n v="0"/>
  </r>
  <r>
    <x v="0"/>
    <s v="2025-06-09 14:43:37"/>
    <n v="4"/>
    <x v="15"/>
    <x v="1"/>
    <x v="1"/>
    <n v="0"/>
    <n v="0"/>
    <s v="Unnamed Projectpaintingoperator.NumberSeizedTotal Number SeizedResource"/>
    <n v="15"/>
    <n v="0"/>
    <n v="0"/>
    <n v="0.95"/>
    <n v="0"/>
    <n v="0"/>
    <n v="0"/>
  </r>
  <r>
    <x v="0"/>
    <s v="2025-06-09 14:43:37"/>
    <n v="4"/>
    <x v="16"/>
    <x v="2"/>
    <x v="1"/>
    <n v="0"/>
    <n v="0"/>
    <s v="Unnamed Projectpaintingoperator.ScheduledUtilizationScheduled UtilizationResource"/>
    <n v="15"/>
    <n v="0"/>
    <n v="0"/>
    <n v="0.95"/>
    <n v="0"/>
    <n v="0"/>
    <n v="0"/>
  </r>
  <r>
    <x v="0"/>
    <s v="2025-06-09 14:43:37"/>
    <n v="4"/>
    <x v="17"/>
    <x v="1"/>
    <x v="1"/>
    <n v="0"/>
    <n v="0"/>
    <s v="Unnamed Projectsandblastmachine.NumberSeizedTotal Number SeizedResource"/>
    <n v="15"/>
    <n v="0"/>
    <n v="0"/>
    <n v="0.95"/>
    <n v="0"/>
    <n v="0"/>
    <n v="0"/>
  </r>
  <r>
    <x v="0"/>
    <s v="2025-06-09 14:43:37"/>
    <n v="4"/>
    <x v="18"/>
    <x v="2"/>
    <x v="1"/>
    <n v="0"/>
    <n v="0"/>
    <s v="Unnamed Projectsandblastmachine.ScheduledUtilizationScheduled UtilizationResource"/>
    <n v="15"/>
    <n v="0"/>
    <n v="0"/>
    <n v="0.95"/>
    <n v="0"/>
    <n v="0"/>
    <n v="0"/>
  </r>
  <r>
    <x v="0"/>
    <s v="2025-06-09 14:43:37"/>
    <n v="4"/>
    <x v="19"/>
    <x v="1"/>
    <x v="1"/>
    <n v="0"/>
    <n v="0"/>
    <s v="Unnamed Projectsandblastoperator.NumberSeizedTotal Number SeizedResource"/>
    <n v="15"/>
    <n v="0"/>
    <n v="0"/>
    <n v="0.95"/>
    <n v="0"/>
    <n v="0"/>
    <n v="0"/>
  </r>
  <r>
    <x v="0"/>
    <s v="2025-06-09 14:43:37"/>
    <n v="4"/>
    <x v="20"/>
    <x v="2"/>
    <x v="1"/>
    <n v="0"/>
    <n v="0"/>
    <s v="Unnamed Projectsandblastoperator.ScheduledUtilizationScheduled UtilizationResource"/>
    <n v="15"/>
    <n v="0"/>
    <n v="0"/>
    <n v="0.95"/>
    <n v="0"/>
    <n v="0"/>
    <n v="0"/>
  </r>
  <r>
    <x v="0"/>
    <s v="2025-06-09 14:43:37"/>
    <n v="4"/>
    <x v="21"/>
    <x v="3"/>
    <x v="2"/>
    <n v="0"/>
    <n v="0"/>
    <s v="Unnamed Projectsteelsheet.NumberInNumber InEntity"/>
    <n v="15"/>
    <n v="0"/>
    <n v="0"/>
    <n v="0.95"/>
    <n v="0"/>
    <n v="0"/>
    <n v="0"/>
  </r>
  <r>
    <x v="0"/>
    <s v="2025-06-09 14:43:37"/>
    <n v="4"/>
    <x v="22"/>
    <x v="0"/>
    <x v="2"/>
    <n v="0"/>
    <n v="0"/>
    <s v="Unnamed Projectsteelsheet.NumberOutNumber OutEntity"/>
    <n v="15"/>
    <n v="0"/>
    <n v="0"/>
    <n v="0.95"/>
    <n v="0"/>
    <n v="0"/>
    <n v="0"/>
  </r>
  <r>
    <x v="0"/>
    <s v="2025-06-09 14:43:37"/>
    <n v="4"/>
    <x v="23"/>
    <x v="1"/>
    <x v="1"/>
    <n v="0"/>
    <n v="0"/>
    <s v="Unnamed Projectwelder.NumberSeizedTotal Number SeizedResource"/>
    <n v="15"/>
    <n v="0"/>
    <n v="0"/>
    <n v="0.95"/>
    <n v="0"/>
    <n v="0"/>
    <n v="0"/>
  </r>
  <r>
    <x v="0"/>
    <s v="2025-06-09 14:43:37"/>
    <n v="4"/>
    <x v="24"/>
    <x v="2"/>
    <x v="1"/>
    <n v="0"/>
    <n v="0"/>
    <s v="Unnamed Projectwelder.ScheduledUtilizationScheduled UtilizationResource"/>
    <n v="15"/>
    <n v="0"/>
    <n v="0"/>
    <n v="0.95"/>
    <n v="0"/>
    <n v="0"/>
    <n v="0"/>
  </r>
  <r>
    <x v="0"/>
    <s v="2025-06-09 14:43:37"/>
    <n v="4"/>
    <x v="25"/>
    <x v="1"/>
    <x v="1"/>
    <n v="0"/>
    <n v="0"/>
    <s v="Unnamed Projectweldingqcworker.NumberSeizedTotal Number SeizedResource"/>
    <n v="15"/>
    <n v="0"/>
    <n v="0"/>
    <n v="0.95"/>
    <n v="0"/>
    <n v="0"/>
    <n v="0"/>
  </r>
  <r>
    <x v="0"/>
    <s v="2025-06-09 14:43:37"/>
    <n v="4"/>
    <x v="26"/>
    <x v="2"/>
    <x v="1"/>
    <n v="0"/>
    <n v="0"/>
    <s v="Unnamed Projectweldingqcworker.ScheduledUtilizationScheduled UtilizationResource"/>
    <n v="15"/>
    <n v="0"/>
    <n v="0"/>
    <n v="0.95"/>
    <n v="0"/>
    <n v="0"/>
    <n v="0"/>
  </r>
  <r>
    <x v="0"/>
    <s v="2025-06-09 14:43:37"/>
    <n v="5"/>
    <x v="0"/>
    <x v="0"/>
    <x v="0"/>
    <n v="0"/>
    <n v="0"/>
    <s v="Unnamed ProjectSystem.NumberOutNumber OutSystem"/>
    <n v="15"/>
    <n v="0"/>
    <n v="0"/>
    <n v="0.95"/>
    <n v="0"/>
    <n v="0"/>
    <n v="0"/>
  </r>
  <r>
    <x v="0"/>
    <s v="2025-06-09 14:43:37"/>
    <n v="5"/>
    <x v="1"/>
    <x v="1"/>
    <x v="1"/>
    <n v="0"/>
    <n v="0"/>
    <s v="Unnamed Projectassembler.NumberSeizedTotal Number SeizedResource"/>
    <n v="15"/>
    <n v="0"/>
    <n v="0"/>
    <n v="0.95"/>
    <n v="0"/>
    <n v="0"/>
    <n v="0"/>
  </r>
  <r>
    <x v="0"/>
    <s v="2025-06-09 14:43:37"/>
    <n v="5"/>
    <x v="2"/>
    <x v="2"/>
    <x v="1"/>
    <n v="0"/>
    <n v="0"/>
    <s v="Unnamed Projectassembler.ScheduledUtilizationScheduled UtilizationResource"/>
    <n v="15"/>
    <n v="0"/>
    <n v="0"/>
    <n v="0.95"/>
    <n v="0"/>
    <n v="0"/>
    <n v="0"/>
  </r>
  <r>
    <x v="0"/>
    <s v="2025-06-09 14:43:37"/>
    <n v="5"/>
    <x v="3"/>
    <x v="1"/>
    <x v="1"/>
    <n v="0"/>
    <n v="0"/>
    <s v="Unnamed Projectassemblyqcworker.NumberSeizedTotal Number SeizedResource"/>
    <n v="15"/>
    <n v="0"/>
    <n v="0"/>
    <n v="0.95"/>
    <n v="0"/>
    <n v="0"/>
    <n v="0"/>
  </r>
  <r>
    <x v="0"/>
    <s v="2025-06-09 14:43:37"/>
    <n v="5"/>
    <x v="4"/>
    <x v="2"/>
    <x v="1"/>
    <n v="0"/>
    <n v="0"/>
    <s v="Unnamed Projectassemblyqcworker.ScheduledUtilizationScheduled UtilizationResource"/>
    <n v="15"/>
    <n v="0"/>
    <n v="0"/>
    <n v="0.95"/>
    <n v="0"/>
    <n v="0"/>
    <n v="0"/>
  </r>
  <r>
    <x v="0"/>
    <s v="2025-06-09 14:43:37"/>
    <n v="5"/>
    <x v="5"/>
    <x v="3"/>
    <x v="2"/>
    <n v="0"/>
    <n v="0"/>
    <s v="Unnamed Projectbatched_parts.NumberInNumber InEntity"/>
    <n v="15"/>
    <n v="0"/>
    <n v="0"/>
    <n v="0.95"/>
    <n v="0"/>
    <n v="0"/>
    <n v="0"/>
  </r>
  <r>
    <x v="0"/>
    <s v="2025-06-09 14:43:37"/>
    <n v="5"/>
    <x v="6"/>
    <x v="0"/>
    <x v="2"/>
    <n v="0"/>
    <n v="0"/>
    <s v="Unnamed Projectbatched_parts.NumberOutNumber OutEntity"/>
    <n v="15"/>
    <n v="0"/>
    <n v="0"/>
    <n v="0.95"/>
    <n v="0"/>
    <n v="0"/>
    <n v="0"/>
  </r>
  <r>
    <x v="0"/>
    <s v="2025-06-09 14:43:37"/>
    <n v="5"/>
    <x v="7"/>
    <x v="1"/>
    <x v="1"/>
    <n v="0"/>
    <n v="0"/>
    <s v="Unnamed Projectcleaner.NumberSeizedTotal Number SeizedResource"/>
    <n v="15"/>
    <n v="0"/>
    <n v="0"/>
    <n v="0.95"/>
    <n v="0"/>
    <n v="0"/>
    <n v="0"/>
  </r>
  <r>
    <x v="0"/>
    <s v="2025-06-09 14:43:37"/>
    <n v="5"/>
    <x v="8"/>
    <x v="2"/>
    <x v="1"/>
    <n v="0"/>
    <n v="0"/>
    <s v="Unnamed Projectcleaner.ScheduledUtilizationScheduled UtilizationResource"/>
    <n v="15"/>
    <n v="0"/>
    <n v="0"/>
    <n v="0.95"/>
    <n v="0"/>
    <n v="0"/>
    <n v="0"/>
  </r>
  <r>
    <x v="0"/>
    <s v="2025-06-09 14:43:37"/>
    <n v="5"/>
    <x v="9"/>
    <x v="1"/>
    <x v="1"/>
    <n v="0"/>
    <n v="0"/>
    <s v="Unnamed Projectcutter.NumberSeizedTotal Number SeizedResource"/>
    <n v="15"/>
    <n v="0"/>
    <n v="0"/>
    <n v="0.95"/>
    <n v="0"/>
    <n v="0"/>
    <n v="0"/>
  </r>
  <r>
    <x v="0"/>
    <s v="2025-06-09 14:43:37"/>
    <n v="5"/>
    <x v="10"/>
    <x v="2"/>
    <x v="1"/>
    <n v="0"/>
    <n v="0"/>
    <s v="Unnamed Projectcutter.ScheduledUtilizationScheduled UtilizationResource"/>
    <n v="15"/>
    <n v="0"/>
    <n v="0"/>
    <n v="0.95"/>
    <n v="0"/>
    <n v="0"/>
    <n v="0"/>
  </r>
  <r>
    <x v="0"/>
    <s v="2025-06-09 14:43:37"/>
    <n v="5"/>
    <x v="11"/>
    <x v="1"/>
    <x v="1"/>
    <n v="0"/>
    <n v="0"/>
    <s v="Unnamed Projectfinalqcman.NumberSeizedTotal Number SeizedResource"/>
    <n v="15"/>
    <n v="0"/>
    <n v="0"/>
    <n v="0.95"/>
    <n v="0"/>
    <n v="0"/>
    <n v="0"/>
  </r>
  <r>
    <x v="0"/>
    <s v="2025-06-09 14:43:37"/>
    <n v="5"/>
    <x v="12"/>
    <x v="2"/>
    <x v="1"/>
    <n v="0"/>
    <n v="0"/>
    <s v="Unnamed Projectfinalqcman.ScheduledUtilizationScheduled UtilizationResource"/>
    <n v="15"/>
    <n v="0"/>
    <n v="0"/>
    <n v="0.95"/>
    <n v="0"/>
    <n v="0"/>
    <n v="0"/>
  </r>
  <r>
    <x v="0"/>
    <s v="2025-06-09 14:43:37"/>
    <n v="5"/>
    <x v="13"/>
    <x v="1"/>
    <x v="1"/>
    <n v="0"/>
    <n v="0"/>
    <s v="Unnamed Projectpaintingmachine.NumberSeizedTotal Number SeizedResource"/>
    <n v="15"/>
    <n v="0"/>
    <n v="0"/>
    <n v="0.95"/>
    <n v="0"/>
    <n v="0"/>
    <n v="0"/>
  </r>
  <r>
    <x v="0"/>
    <s v="2025-06-09 14:43:37"/>
    <n v="5"/>
    <x v="14"/>
    <x v="2"/>
    <x v="1"/>
    <n v="0"/>
    <n v="0"/>
    <s v="Unnamed Projectpaintingmachine.ScheduledUtilizationScheduled UtilizationResource"/>
    <n v="15"/>
    <n v="0"/>
    <n v="0"/>
    <n v="0.95"/>
    <n v="0"/>
    <n v="0"/>
    <n v="0"/>
  </r>
  <r>
    <x v="0"/>
    <s v="2025-06-09 14:43:37"/>
    <n v="5"/>
    <x v="15"/>
    <x v="1"/>
    <x v="1"/>
    <n v="0"/>
    <n v="0"/>
    <s v="Unnamed Projectpaintingoperator.NumberSeizedTotal Number SeizedResource"/>
    <n v="15"/>
    <n v="0"/>
    <n v="0"/>
    <n v="0.95"/>
    <n v="0"/>
    <n v="0"/>
    <n v="0"/>
  </r>
  <r>
    <x v="0"/>
    <s v="2025-06-09 14:43:37"/>
    <n v="5"/>
    <x v="16"/>
    <x v="2"/>
    <x v="1"/>
    <n v="0"/>
    <n v="0"/>
    <s v="Unnamed Projectpaintingoperator.ScheduledUtilizationScheduled UtilizationResource"/>
    <n v="15"/>
    <n v="0"/>
    <n v="0"/>
    <n v="0.95"/>
    <n v="0"/>
    <n v="0"/>
    <n v="0"/>
  </r>
  <r>
    <x v="0"/>
    <s v="2025-06-09 14:43:37"/>
    <n v="5"/>
    <x v="17"/>
    <x v="1"/>
    <x v="1"/>
    <n v="0"/>
    <n v="0"/>
    <s v="Unnamed Projectsandblastmachine.NumberSeizedTotal Number SeizedResource"/>
    <n v="15"/>
    <n v="0"/>
    <n v="0"/>
    <n v="0.95"/>
    <n v="0"/>
    <n v="0"/>
    <n v="0"/>
  </r>
  <r>
    <x v="0"/>
    <s v="2025-06-09 14:43:37"/>
    <n v="5"/>
    <x v="18"/>
    <x v="2"/>
    <x v="1"/>
    <n v="0"/>
    <n v="0"/>
    <s v="Unnamed Projectsandblastmachine.ScheduledUtilizationScheduled UtilizationResource"/>
    <n v="15"/>
    <n v="0"/>
    <n v="0"/>
    <n v="0.95"/>
    <n v="0"/>
    <n v="0"/>
    <n v="0"/>
  </r>
  <r>
    <x v="0"/>
    <s v="2025-06-09 14:43:37"/>
    <n v="5"/>
    <x v="19"/>
    <x v="1"/>
    <x v="1"/>
    <n v="0"/>
    <n v="0"/>
    <s v="Unnamed Projectsandblastoperator.NumberSeizedTotal Number SeizedResource"/>
    <n v="15"/>
    <n v="0"/>
    <n v="0"/>
    <n v="0.95"/>
    <n v="0"/>
    <n v="0"/>
    <n v="0"/>
  </r>
  <r>
    <x v="0"/>
    <s v="2025-06-09 14:43:37"/>
    <n v="5"/>
    <x v="20"/>
    <x v="2"/>
    <x v="1"/>
    <n v="0"/>
    <n v="0"/>
    <s v="Unnamed Projectsandblastoperator.ScheduledUtilizationScheduled UtilizationResource"/>
    <n v="15"/>
    <n v="0"/>
    <n v="0"/>
    <n v="0.95"/>
    <n v="0"/>
    <n v="0"/>
    <n v="0"/>
  </r>
  <r>
    <x v="0"/>
    <s v="2025-06-09 14:43:37"/>
    <n v="5"/>
    <x v="21"/>
    <x v="3"/>
    <x v="2"/>
    <n v="0"/>
    <n v="0"/>
    <s v="Unnamed Projectsteelsheet.NumberInNumber InEntity"/>
    <n v="15"/>
    <n v="0"/>
    <n v="0"/>
    <n v="0.95"/>
    <n v="0"/>
    <n v="0"/>
    <n v="0"/>
  </r>
  <r>
    <x v="0"/>
    <s v="2025-06-09 14:43:37"/>
    <n v="5"/>
    <x v="22"/>
    <x v="0"/>
    <x v="2"/>
    <n v="0"/>
    <n v="0"/>
    <s v="Unnamed Projectsteelsheet.NumberOutNumber OutEntity"/>
    <n v="15"/>
    <n v="0"/>
    <n v="0"/>
    <n v="0.95"/>
    <n v="0"/>
    <n v="0"/>
    <n v="0"/>
  </r>
  <r>
    <x v="0"/>
    <s v="2025-06-09 14:43:37"/>
    <n v="5"/>
    <x v="23"/>
    <x v="1"/>
    <x v="1"/>
    <n v="0"/>
    <n v="0"/>
    <s v="Unnamed Projectwelder.NumberSeizedTotal Number SeizedResource"/>
    <n v="15"/>
    <n v="0"/>
    <n v="0"/>
    <n v="0.95"/>
    <n v="0"/>
    <n v="0"/>
    <n v="0"/>
  </r>
  <r>
    <x v="0"/>
    <s v="2025-06-09 14:43:37"/>
    <n v="5"/>
    <x v="24"/>
    <x v="2"/>
    <x v="1"/>
    <n v="0"/>
    <n v="0"/>
    <s v="Unnamed Projectwelder.ScheduledUtilizationScheduled UtilizationResource"/>
    <n v="15"/>
    <n v="0"/>
    <n v="0"/>
    <n v="0.95"/>
    <n v="0"/>
    <n v="0"/>
    <n v="0"/>
  </r>
  <r>
    <x v="0"/>
    <s v="2025-06-09 14:43:37"/>
    <n v="5"/>
    <x v="25"/>
    <x v="1"/>
    <x v="1"/>
    <n v="0"/>
    <n v="0"/>
    <s v="Unnamed Projectweldingqcworker.NumberSeizedTotal Number SeizedResource"/>
    <n v="15"/>
    <n v="0"/>
    <n v="0"/>
    <n v="0.95"/>
    <n v="0"/>
    <n v="0"/>
    <n v="0"/>
  </r>
  <r>
    <x v="0"/>
    <s v="2025-06-09 14:43:37"/>
    <n v="5"/>
    <x v="26"/>
    <x v="2"/>
    <x v="1"/>
    <n v="0"/>
    <n v="0"/>
    <s v="Unnamed Projectweldingqcworker.ScheduledUtilizationScheduled UtilizationResource"/>
    <n v="15"/>
    <n v="0"/>
    <n v="0"/>
    <n v="0.95"/>
    <n v="0"/>
    <n v="0"/>
    <n v="0"/>
  </r>
  <r>
    <x v="0"/>
    <s v="2025-06-09 14:43:37"/>
    <n v="6"/>
    <x v="0"/>
    <x v="0"/>
    <x v="0"/>
    <n v="0"/>
    <n v="0"/>
    <s v="Unnamed ProjectSystem.NumberOutNumber OutSystem"/>
    <n v="15"/>
    <n v="0"/>
    <n v="0"/>
    <n v="0.95"/>
    <n v="0"/>
    <n v="0"/>
    <n v="0"/>
  </r>
  <r>
    <x v="0"/>
    <s v="2025-06-09 14:43:37"/>
    <n v="6"/>
    <x v="1"/>
    <x v="1"/>
    <x v="1"/>
    <n v="0"/>
    <n v="0"/>
    <s v="Unnamed Projectassembler.NumberSeizedTotal Number SeizedResource"/>
    <n v="15"/>
    <n v="0"/>
    <n v="0"/>
    <n v="0.95"/>
    <n v="0"/>
    <n v="0"/>
    <n v="0"/>
  </r>
  <r>
    <x v="0"/>
    <s v="2025-06-09 14:43:37"/>
    <n v="6"/>
    <x v="2"/>
    <x v="2"/>
    <x v="1"/>
    <n v="0"/>
    <n v="0"/>
    <s v="Unnamed Projectassembler.ScheduledUtilizationScheduled UtilizationResource"/>
    <n v="15"/>
    <n v="0"/>
    <n v="0"/>
    <n v="0.95"/>
    <n v="0"/>
    <n v="0"/>
    <n v="0"/>
  </r>
  <r>
    <x v="0"/>
    <s v="2025-06-09 14:43:37"/>
    <n v="6"/>
    <x v="3"/>
    <x v="1"/>
    <x v="1"/>
    <n v="0"/>
    <n v="0"/>
    <s v="Unnamed Projectassemblyqcworker.NumberSeizedTotal Number SeizedResource"/>
    <n v="15"/>
    <n v="0"/>
    <n v="0"/>
    <n v="0.95"/>
    <n v="0"/>
    <n v="0"/>
    <n v="0"/>
  </r>
  <r>
    <x v="0"/>
    <s v="2025-06-09 14:43:37"/>
    <n v="6"/>
    <x v="4"/>
    <x v="2"/>
    <x v="1"/>
    <n v="0"/>
    <n v="0"/>
    <s v="Unnamed Projectassemblyqcworker.ScheduledUtilizationScheduled UtilizationResource"/>
    <n v="15"/>
    <n v="0"/>
    <n v="0"/>
    <n v="0.95"/>
    <n v="0"/>
    <n v="0"/>
    <n v="0"/>
  </r>
  <r>
    <x v="0"/>
    <s v="2025-06-09 14:43:37"/>
    <n v="6"/>
    <x v="5"/>
    <x v="3"/>
    <x v="2"/>
    <n v="0"/>
    <n v="0"/>
    <s v="Unnamed Projectbatched_parts.NumberInNumber InEntity"/>
    <n v="15"/>
    <n v="0"/>
    <n v="0"/>
    <n v="0.95"/>
    <n v="0"/>
    <n v="0"/>
    <n v="0"/>
  </r>
  <r>
    <x v="0"/>
    <s v="2025-06-09 14:43:37"/>
    <n v="6"/>
    <x v="6"/>
    <x v="0"/>
    <x v="2"/>
    <n v="0"/>
    <n v="0"/>
    <s v="Unnamed Projectbatched_parts.NumberOutNumber OutEntity"/>
    <n v="15"/>
    <n v="0"/>
    <n v="0"/>
    <n v="0.95"/>
    <n v="0"/>
    <n v="0"/>
    <n v="0"/>
  </r>
  <r>
    <x v="0"/>
    <s v="2025-06-09 14:43:37"/>
    <n v="6"/>
    <x v="7"/>
    <x v="1"/>
    <x v="1"/>
    <n v="0"/>
    <n v="0"/>
    <s v="Unnamed Projectcleaner.NumberSeizedTotal Number SeizedResource"/>
    <n v="15"/>
    <n v="0"/>
    <n v="0"/>
    <n v="0.95"/>
    <n v="0"/>
    <n v="0"/>
    <n v="0"/>
  </r>
  <r>
    <x v="0"/>
    <s v="2025-06-09 14:43:37"/>
    <n v="6"/>
    <x v="8"/>
    <x v="2"/>
    <x v="1"/>
    <n v="0"/>
    <n v="0"/>
    <s v="Unnamed Projectcleaner.ScheduledUtilizationScheduled UtilizationResource"/>
    <n v="15"/>
    <n v="0"/>
    <n v="0"/>
    <n v="0.95"/>
    <n v="0"/>
    <n v="0"/>
    <n v="0"/>
  </r>
  <r>
    <x v="0"/>
    <s v="2025-06-09 14:43:37"/>
    <n v="6"/>
    <x v="9"/>
    <x v="1"/>
    <x v="1"/>
    <n v="0"/>
    <n v="0"/>
    <s v="Unnamed Projectcutter.NumberSeizedTotal Number SeizedResource"/>
    <n v="15"/>
    <n v="0"/>
    <n v="0"/>
    <n v="0.95"/>
    <n v="0"/>
    <n v="0"/>
    <n v="0"/>
  </r>
  <r>
    <x v="0"/>
    <s v="2025-06-09 14:43:37"/>
    <n v="6"/>
    <x v="10"/>
    <x v="2"/>
    <x v="1"/>
    <n v="0"/>
    <n v="0"/>
    <s v="Unnamed Projectcutter.ScheduledUtilizationScheduled UtilizationResource"/>
    <n v="15"/>
    <n v="0"/>
    <n v="0"/>
    <n v="0.95"/>
    <n v="0"/>
    <n v="0"/>
    <n v="0"/>
  </r>
  <r>
    <x v="0"/>
    <s v="2025-06-09 14:43:37"/>
    <n v="6"/>
    <x v="11"/>
    <x v="1"/>
    <x v="1"/>
    <n v="0"/>
    <n v="0"/>
    <s v="Unnamed Projectfinalqcman.NumberSeizedTotal Number SeizedResource"/>
    <n v="15"/>
    <n v="0"/>
    <n v="0"/>
    <n v="0.95"/>
    <n v="0"/>
    <n v="0"/>
    <n v="0"/>
  </r>
  <r>
    <x v="0"/>
    <s v="2025-06-09 14:43:37"/>
    <n v="6"/>
    <x v="12"/>
    <x v="2"/>
    <x v="1"/>
    <n v="0"/>
    <n v="0"/>
    <s v="Unnamed Projectfinalqcman.ScheduledUtilizationScheduled UtilizationResource"/>
    <n v="15"/>
    <n v="0"/>
    <n v="0"/>
    <n v="0.95"/>
    <n v="0"/>
    <n v="0"/>
    <n v="0"/>
  </r>
  <r>
    <x v="0"/>
    <s v="2025-06-09 14:43:37"/>
    <n v="6"/>
    <x v="13"/>
    <x v="1"/>
    <x v="1"/>
    <n v="0"/>
    <n v="0"/>
    <s v="Unnamed Projectpaintingmachine.NumberSeizedTotal Number SeizedResource"/>
    <n v="15"/>
    <n v="0"/>
    <n v="0"/>
    <n v="0.95"/>
    <n v="0"/>
    <n v="0"/>
    <n v="0"/>
  </r>
  <r>
    <x v="0"/>
    <s v="2025-06-09 14:43:37"/>
    <n v="6"/>
    <x v="14"/>
    <x v="2"/>
    <x v="1"/>
    <n v="0"/>
    <n v="0"/>
    <s v="Unnamed Projectpaintingmachine.ScheduledUtilizationScheduled UtilizationResource"/>
    <n v="15"/>
    <n v="0"/>
    <n v="0"/>
    <n v="0.95"/>
    <n v="0"/>
    <n v="0"/>
    <n v="0"/>
  </r>
  <r>
    <x v="0"/>
    <s v="2025-06-09 14:43:37"/>
    <n v="6"/>
    <x v="15"/>
    <x v="1"/>
    <x v="1"/>
    <n v="0"/>
    <n v="0"/>
    <s v="Unnamed Projectpaintingoperator.NumberSeizedTotal Number SeizedResource"/>
    <n v="15"/>
    <n v="0"/>
    <n v="0"/>
    <n v="0.95"/>
    <n v="0"/>
    <n v="0"/>
    <n v="0"/>
  </r>
  <r>
    <x v="0"/>
    <s v="2025-06-09 14:43:37"/>
    <n v="6"/>
    <x v="16"/>
    <x v="2"/>
    <x v="1"/>
    <n v="0"/>
    <n v="0"/>
    <s v="Unnamed Projectpaintingoperator.ScheduledUtilizationScheduled UtilizationResource"/>
    <n v="15"/>
    <n v="0"/>
    <n v="0"/>
    <n v="0.95"/>
    <n v="0"/>
    <n v="0"/>
    <n v="0"/>
  </r>
  <r>
    <x v="0"/>
    <s v="2025-06-09 14:43:37"/>
    <n v="6"/>
    <x v="17"/>
    <x v="1"/>
    <x v="1"/>
    <n v="0"/>
    <n v="0"/>
    <s v="Unnamed Projectsandblastmachine.NumberSeizedTotal Number SeizedResource"/>
    <n v="15"/>
    <n v="0"/>
    <n v="0"/>
    <n v="0.95"/>
    <n v="0"/>
    <n v="0"/>
    <n v="0"/>
  </r>
  <r>
    <x v="0"/>
    <s v="2025-06-09 14:43:37"/>
    <n v="6"/>
    <x v="18"/>
    <x v="2"/>
    <x v="1"/>
    <n v="0"/>
    <n v="0"/>
    <s v="Unnamed Projectsandblastmachine.ScheduledUtilizationScheduled UtilizationResource"/>
    <n v="15"/>
    <n v="0"/>
    <n v="0"/>
    <n v="0.95"/>
    <n v="0"/>
    <n v="0"/>
    <n v="0"/>
  </r>
  <r>
    <x v="0"/>
    <s v="2025-06-09 14:43:37"/>
    <n v="6"/>
    <x v="19"/>
    <x v="1"/>
    <x v="1"/>
    <n v="0"/>
    <n v="0"/>
    <s v="Unnamed Projectsandblastoperator.NumberSeizedTotal Number SeizedResource"/>
    <n v="15"/>
    <n v="0"/>
    <n v="0"/>
    <n v="0.95"/>
    <n v="0"/>
    <n v="0"/>
    <n v="0"/>
  </r>
  <r>
    <x v="0"/>
    <s v="2025-06-09 14:43:37"/>
    <n v="6"/>
    <x v="20"/>
    <x v="2"/>
    <x v="1"/>
    <n v="0"/>
    <n v="0"/>
    <s v="Unnamed Projectsandblastoperator.ScheduledUtilizationScheduled UtilizationResource"/>
    <n v="15"/>
    <n v="0"/>
    <n v="0"/>
    <n v="0.95"/>
    <n v="0"/>
    <n v="0"/>
    <n v="0"/>
  </r>
  <r>
    <x v="0"/>
    <s v="2025-06-09 14:43:37"/>
    <n v="6"/>
    <x v="21"/>
    <x v="3"/>
    <x v="2"/>
    <n v="0"/>
    <n v="0"/>
    <s v="Unnamed Projectsteelsheet.NumberInNumber InEntity"/>
    <n v="15"/>
    <n v="0"/>
    <n v="0"/>
    <n v="0.95"/>
    <n v="0"/>
    <n v="0"/>
    <n v="0"/>
  </r>
  <r>
    <x v="0"/>
    <s v="2025-06-09 14:43:37"/>
    <n v="6"/>
    <x v="22"/>
    <x v="0"/>
    <x v="2"/>
    <n v="0"/>
    <n v="0"/>
    <s v="Unnamed Projectsteelsheet.NumberOutNumber OutEntity"/>
    <n v="15"/>
    <n v="0"/>
    <n v="0"/>
    <n v="0.95"/>
    <n v="0"/>
    <n v="0"/>
    <n v="0"/>
  </r>
  <r>
    <x v="0"/>
    <s v="2025-06-09 14:43:37"/>
    <n v="6"/>
    <x v="23"/>
    <x v="1"/>
    <x v="1"/>
    <n v="0"/>
    <n v="0"/>
    <s v="Unnamed Projectwelder.NumberSeizedTotal Number SeizedResource"/>
    <n v="15"/>
    <n v="0"/>
    <n v="0"/>
    <n v="0.95"/>
    <n v="0"/>
    <n v="0"/>
    <n v="0"/>
  </r>
  <r>
    <x v="0"/>
    <s v="2025-06-09 14:43:37"/>
    <n v="6"/>
    <x v="24"/>
    <x v="2"/>
    <x v="1"/>
    <n v="0"/>
    <n v="0"/>
    <s v="Unnamed Projectwelder.ScheduledUtilizationScheduled UtilizationResource"/>
    <n v="15"/>
    <n v="0"/>
    <n v="0"/>
    <n v="0.95"/>
    <n v="0"/>
    <n v="0"/>
    <n v="0"/>
  </r>
  <r>
    <x v="0"/>
    <s v="2025-06-09 14:43:37"/>
    <n v="6"/>
    <x v="25"/>
    <x v="1"/>
    <x v="1"/>
    <n v="0"/>
    <n v="0"/>
    <s v="Unnamed Projectweldingqcworker.NumberSeizedTotal Number SeizedResource"/>
    <n v="15"/>
    <n v="0"/>
    <n v="0"/>
    <n v="0.95"/>
    <n v="0"/>
    <n v="0"/>
    <n v="0"/>
  </r>
  <r>
    <x v="0"/>
    <s v="2025-06-09 14:43:37"/>
    <n v="6"/>
    <x v="26"/>
    <x v="2"/>
    <x v="1"/>
    <n v="0"/>
    <n v="0"/>
    <s v="Unnamed Projectweldingqcworker.ScheduledUtilizationScheduled UtilizationResource"/>
    <n v="15"/>
    <n v="0"/>
    <n v="0"/>
    <n v="0.95"/>
    <n v="0"/>
    <n v="0"/>
    <n v="0"/>
  </r>
  <r>
    <x v="0"/>
    <s v="2025-06-09 14:43:37"/>
    <n v="7"/>
    <x v="0"/>
    <x v="0"/>
    <x v="0"/>
    <n v="0"/>
    <n v="0"/>
    <s v="Unnamed ProjectSystem.NumberOutNumber OutSystem"/>
    <n v="15"/>
    <n v="0"/>
    <n v="0"/>
    <n v="0.95"/>
    <n v="0"/>
    <n v="0"/>
    <n v="0"/>
  </r>
  <r>
    <x v="0"/>
    <s v="2025-06-09 14:43:37"/>
    <n v="7"/>
    <x v="1"/>
    <x v="1"/>
    <x v="1"/>
    <n v="0"/>
    <n v="0"/>
    <s v="Unnamed Projectassembler.NumberSeizedTotal Number SeizedResource"/>
    <n v="15"/>
    <n v="0"/>
    <n v="0"/>
    <n v="0.95"/>
    <n v="0"/>
    <n v="0"/>
    <n v="0"/>
  </r>
  <r>
    <x v="0"/>
    <s v="2025-06-09 14:43:37"/>
    <n v="7"/>
    <x v="2"/>
    <x v="2"/>
    <x v="1"/>
    <n v="0"/>
    <n v="0"/>
    <s v="Unnamed Projectassembler.ScheduledUtilizationScheduled UtilizationResource"/>
    <n v="15"/>
    <n v="0"/>
    <n v="0"/>
    <n v="0.95"/>
    <n v="0"/>
    <n v="0"/>
    <n v="0"/>
  </r>
  <r>
    <x v="0"/>
    <s v="2025-06-09 14:43:37"/>
    <n v="7"/>
    <x v="3"/>
    <x v="1"/>
    <x v="1"/>
    <n v="0"/>
    <n v="0"/>
    <s v="Unnamed Projectassemblyqcworker.NumberSeizedTotal Number SeizedResource"/>
    <n v="15"/>
    <n v="0"/>
    <n v="0"/>
    <n v="0.95"/>
    <n v="0"/>
    <n v="0"/>
    <n v="0"/>
  </r>
  <r>
    <x v="0"/>
    <s v="2025-06-09 14:43:37"/>
    <n v="7"/>
    <x v="4"/>
    <x v="2"/>
    <x v="1"/>
    <n v="0"/>
    <n v="0"/>
    <s v="Unnamed Projectassemblyqcworker.ScheduledUtilizationScheduled UtilizationResource"/>
    <n v="15"/>
    <n v="0"/>
    <n v="0"/>
    <n v="0.95"/>
    <n v="0"/>
    <n v="0"/>
    <n v="0"/>
  </r>
  <r>
    <x v="0"/>
    <s v="2025-06-09 14:43:37"/>
    <n v="7"/>
    <x v="5"/>
    <x v="3"/>
    <x v="2"/>
    <n v="0"/>
    <n v="0"/>
    <s v="Unnamed Projectbatched_parts.NumberInNumber InEntity"/>
    <n v="15"/>
    <n v="0"/>
    <n v="0"/>
    <n v="0.95"/>
    <n v="0"/>
    <n v="0"/>
    <n v="0"/>
  </r>
  <r>
    <x v="0"/>
    <s v="2025-06-09 14:43:37"/>
    <n v="7"/>
    <x v="6"/>
    <x v="0"/>
    <x v="2"/>
    <n v="0"/>
    <n v="0"/>
    <s v="Unnamed Projectbatched_parts.NumberOutNumber OutEntity"/>
    <n v="15"/>
    <n v="0"/>
    <n v="0"/>
    <n v="0.95"/>
    <n v="0"/>
    <n v="0"/>
    <n v="0"/>
  </r>
  <r>
    <x v="0"/>
    <s v="2025-06-09 14:43:37"/>
    <n v="7"/>
    <x v="7"/>
    <x v="1"/>
    <x v="1"/>
    <n v="0"/>
    <n v="0"/>
    <s v="Unnamed Projectcleaner.NumberSeizedTotal Number SeizedResource"/>
    <n v="15"/>
    <n v="0"/>
    <n v="0"/>
    <n v="0.95"/>
    <n v="0"/>
    <n v="0"/>
    <n v="0"/>
  </r>
  <r>
    <x v="0"/>
    <s v="2025-06-09 14:43:37"/>
    <n v="7"/>
    <x v="8"/>
    <x v="2"/>
    <x v="1"/>
    <n v="0"/>
    <n v="0"/>
    <s v="Unnamed Projectcleaner.ScheduledUtilizationScheduled UtilizationResource"/>
    <n v="15"/>
    <n v="0"/>
    <n v="0"/>
    <n v="0.95"/>
    <n v="0"/>
    <n v="0"/>
    <n v="0"/>
  </r>
  <r>
    <x v="0"/>
    <s v="2025-06-09 14:43:37"/>
    <n v="7"/>
    <x v="9"/>
    <x v="1"/>
    <x v="1"/>
    <n v="0"/>
    <n v="0"/>
    <s v="Unnamed Projectcutter.NumberSeizedTotal Number SeizedResource"/>
    <n v="15"/>
    <n v="0"/>
    <n v="0"/>
    <n v="0.95"/>
    <n v="0"/>
    <n v="0"/>
    <n v="0"/>
  </r>
  <r>
    <x v="0"/>
    <s v="2025-06-09 14:43:37"/>
    <n v="7"/>
    <x v="10"/>
    <x v="2"/>
    <x v="1"/>
    <n v="0"/>
    <n v="0"/>
    <s v="Unnamed Projectcutter.ScheduledUtilizationScheduled UtilizationResource"/>
    <n v="15"/>
    <n v="0"/>
    <n v="0"/>
    <n v="0.95"/>
    <n v="0"/>
    <n v="0"/>
    <n v="0"/>
  </r>
  <r>
    <x v="0"/>
    <s v="2025-06-09 14:43:37"/>
    <n v="7"/>
    <x v="11"/>
    <x v="1"/>
    <x v="1"/>
    <n v="0"/>
    <n v="0"/>
    <s v="Unnamed Projectfinalqcman.NumberSeizedTotal Number SeizedResource"/>
    <n v="15"/>
    <n v="0"/>
    <n v="0"/>
    <n v="0.95"/>
    <n v="0"/>
    <n v="0"/>
    <n v="0"/>
  </r>
  <r>
    <x v="0"/>
    <s v="2025-06-09 14:43:37"/>
    <n v="7"/>
    <x v="12"/>
    <x v="2"/>
    <x v="1"/>
    <n v="0"/>
    <n v="0"/>
    <s v="Unnamed Projectfinalqcman.ScheduledUtilizationScheduled UtilizationResource"/>
    <n v="15"/>
    <n v="0"/>
    <n v="0"/>
    <n v="0.95"/>
    <n v="0"/>
    <n v="0"/>
    <n v="0"/>
  </r>
  <r>
    <x v="0"/>
    <s v="2025-06-09 14:43:37"/>
    <n v="7"/>
    <x v="13"/>
    <x v="1"/>
    <x v="1"/>
    <n v="0"/>
    <n v="0"/>
    <s v="Unnamed Projectpaintingmachine.NumberSeizedTotal Number SeizedResource"/>
    <n v="15"/>
    <n v="0"/>
    <n v="0"/>
    <n v="0.95"/>
    <n v="0"/>
    <n v="0"/>
    <n v="0"/>
  </r>
  <r>
    <x v="0"/>
    <s v="2025-06-09 14:43:37"/>
    <n v="7"/>
    <x v="14"/>
    <x v="2"/>
    <x v="1"/>
    <n v="0"/>
    <n v="0"/>
    <s v="Unnamed Projectpaintingmachine.ScheduledUtilizationScheduled UtilizationResource"/>
    <n v="15"/>
    <n v="0"/>
    <n v="0"/>
    <n v="0.95"/>
    <n v="0"/>
    <n v="0"/>
    <n v="0"/>
  </r>
  <r>
    <x v="0"/>
    <s v="2025-06-09 14:43:37"/>
    <n v="7"/>
    <x v="15"/>
    <x v="1"/>
    <x v="1"/>
    <n v="0"/>
    <n v="0"/>
    <s v="Unnamed Projectpaintingoperator.NumberSeizedTotal Number SeizedResource"/>
    <n v="15"/>
    <n v="0"/>
    <n v="0"/>
    <n v="0.95"/>
    <n v="0"/>
    <n v="0"/>
    <n v="0"/>
  </r>
  <r>
    <x v="0"/>
    <s v="2025-06-09 14:43:37"/>
    <n v="7"/>
    <x v="16"/>
    <x v="2"/>
    <x v="1"/>
    <n v="0"/>
    <n v="0"/>
    <s v="Unnamed Projectpaintingoperator.ScheduledUtilizationScheduled UtilizationResource"/>
    <n v="15"/>
    <n v="0"/>
    <n v="0"/>
    <n v="0.95"/>
    <n v="0"/>
    <n v="0"/>
    <n v="0"/>
  </r>
  <r>
    <x v="0"/>
    <s v="2025-06-09 14:43:37"/>
    <n v="7"/>
    <x v="17"/>
    <x v="1"/>
    <x v="1"/>
    <n v="0"/>
    <n v="0"/>
    <s v="Unnamed Projectsandblastmachine.NumberSeizedTotal Number SeizedResource"/>
    <n v="15"/>
    <n v="0"/>
    <n v="0"/>
    <n v="0.95"/>
    <n v="0"/>
    <n v="0"/>
    <n v="0"/>
  </r>
  <r>
    <x v="0"/>
    <s v="2025-06-09 14:43:37"/>
    <n v="7"/>
    <x v="18"/>
    <x v="2"/>
    <x v="1"/>
    <n v="0"/>
    <n v="0"/>
    <s v="Unnamed Projectsandblastmachine.ScheduledUtilizationScheduled UtilizationResource"/>
    <n v="15"/>
    <n v="0"/>
    <n v="0"/>
    <n v="0.95"/>
    <n v="0"/>
    <n v="0"/>
    <n v="0"/>
  </r>
  <r>
    <x v="0"/>
    <s v="2025-06-09 14:43:37"/>
    <n v="7"/>
    <x v="19"/>
    <x v="1"/>
    <x v="1"/>
    <n v="0"/>
    <n v="0"/>
    <s v="Unnamed Projectsandblastoperator.NumberSeizedTotal Number SeizedResource"/>
    <n v="15"/>
    <n v="0"/>
    <n v="0"/>
    <n v="0.95"/>
    <n v="0"/>
    <n v="0"/>
    <n v="0"/>
  </r>
  <r>
    <x v="0"/>
    <s v="2025-06-09 14:43:37"/>
    <n v="7"/>
    <x v="20"/>
    <x v="2"/>
    <x v="1"/>
    <n v="0"/>
    <n v="0"/>
    <s v="Unnamed Projectsandblastoperator.ScheduledUtilizationScheduled UtilizationResource"/>
    <n v="15"/>
    <n v="0"/>
    <n v="0"/>
    <n v="0.95"/>
    <n v="0"/>
    <n v="0"/>
    <n v="0"/>
  </r>
  <r>
    <x v="0"/>
    <s v="2025-06-09 14:43:37"/>
    <n v="7"/>
    <x v="21"/>
    <x v="3"/>
    <x v="2"/>
    <n v="0"/>
    <n v="0"/>
    <s v="Unnamed Projectsteelsheet.NumberInNumber InEntity"/>
    <n v="15"/>
    <n v="0"/>
    <n v="0"/>
    <n v="0.95"/>
    <n v="0"/>
    <n v="0"/>
    <n v="0"/>
  </r>
  <r>
    <x v="0"/>
    <s v="2025-06-09 14:43:37"/>
    <n v="7"/>
    <x v="22"/>
    <x v="0"/>
    <x v="2"/>
    <n v="0"/>
    <n v="0"/>
    <s v="Unnamed Projectsteelsheet.NumberOutNumber OutEntity"/>
    <n v="15"/>
    <n v="0"/>
    <n v="0"/>
    <n v="0.95"/>
    <n v="0"/>
    <n v="0"/>
    <n v="0"/>
  </r>
  <r>
    <x v="0"/>
    <s v="2025-06-09 14:43:37"/>
    <n v="7"/>
    <x v="23"/>
    <x v="1"/>
    <x v="1"/>
    <n v="0"/>
    <n v="0"/>
    <s v="Unnamed Projectwelder.NumberSeizedTotal Number SeizedResource"/>
    <n v="15"/>
    <n v="0"/>
    <n v="0"/>
    <n v="0.95"/>
    <n v="0"/>
    <n v="0"/>
    <n v="0"/>
  </r>
  <r>
    <x v="0"/>
    <s v="2025-06-09 14:43:37"/>
    <n v="7"/>
    <x v="24"/>
    <x v="2"/>
    <x v="1"/>
    <n v="0"/>
    <n v="0"/>
    <s v="Unnamed Projectwelder.ScheduledUtilizationScheduled UtilizationResource"/>
    <n v="15"/>
    <n v="0"/>
    <n v="0"/>
    <n v="0.95"/>
    <n v="0"/>
    <n v="0"/>
    <n v="0"/>
  </r>
  <r>
    <x v="0"/>
    <s v="2025-06-09 14:43:37"/>
    <n v="7"/>
    <x v="25"/>
    <x v="1"/>
    <x v="1"/>
    <n v="0"/>
    <n v="0"/>
    <s v="Unnamed Projectweldingqcworker.NumberSeizedTotal Number SeizedResource"/>
    <n v="15"/>
    <n v="0"/>
    <n v="0"/>
    <n v="0.95"/>
    <n v="0"/>
    <n v="0"/>
    <n v="0"/>
  </r>
  <r>
    <x v="0"/>
    <s v="2025-06-09 14:43:37"/>
    <n v="7"/>
    <x v="26"/>
    <x v="2"/>
    <x v="1"/>
    <n v="0"/>
    <n v="0"/>
    <s v="Unnamed Projectweldingqcworker.ScheduledUtilizationScheduled UtilizationResource"/>
    <n v="15"/>
    <n v="0"/>
    <n v="0"/>
    <n v="0.95"/>
    <n v="0"/>
    <n v="0"/>
    <n v="0"/>
  </r>
  <r>
    <x v="0"/>
    <s v="2025-06-09 14:43:37"/>
    <n v="8"/>
    <x v="0"/>
    <x v="0"/>
    <x v="0"/>
    <n v="0"/>
    <n v="0"/>
    <s v="Unnamed ProjectSystem.NumberOutNumber OutSystem"/>
    <n v="15"/>
    <n v="0"/>
    <n v="0"/>
    <n v="0.95"/>
    <n v="0"/>
    <n v="0"/>
    <n v="0"/>
  </r>
  <r>
    <x v="0"/>
    <s v="2025-06-09 14:43:37"/>
    <n v="8"/>
    <x v="1"/>
    <x v="1"/>
    <x v="1"/>
    <n v="0"/>
    <n v="0"/>
    <s v="Unnamed Projectassembler.NumberSeizedTotal Number SeizedResource"/>
    <n v="15"/>
    <n v="0"/>
    <n v="0"/>
    <n v="0.95"/>
    <n v="0"/>
    <n v="0"/>
    <n v="0"/>
  </r>
  <r>
    <x v="0"/>
    <s v="2025-06-09 14:43:37"/>
    <n v="8"/>
    <x v="2"/>
    <x v="2"/>
    <x v="1"/>
    <n v="0"/>
    <n v="0"/>
    <s v="Unnamed Projectassembler.ScheduledUtilizationScheduled UtilizationResource"/>
    <n v="15"/>
    <n v="0"/>
    <n v="0"/>
    <n v="0.95"/>
    <n v="0"/>
    <n v="0"/>
    <n v="0"/>
  </r>
  <r>
    <x v="0"/>
    <s v="2025-06-09 14:43:37"/>
    <n v="8"/>
    <x v="3"/>
    <x v="1"/>
    <x v="1"/>
    <n v="0"/>
    <n v="0"/>
    <s v="Unnamed Projectassemblyqcworker.NumberSeizedTotal Number SeizedResource"/>
    <n v="15"/>
    <n v="0"/>
    <n v="0"/>
    <n v="0.95"/>
    <n v="0"/>
    <n v="0"/>
    <n v="0"/>
  </r>
  <r>
    <x v="0"/>
    <s v="2025-06-09 14:43:37"/>
    <n v="8"/>
    <x v="4"/>
    <x v="2"/>
    <x v="1"/>
    <n v="0"/>
    <n v="0"/>
    <s v="Unnamed Projectassemblyqcworker.ScheduledUtilizationScheduled UtilizationResource"/>
    <n v="15"/>
    <n v="0"/>
    <n v="0"/>
    <n v="0.95"/>
    <n v="0"/>
    <n v="0"/>
    <n v="0"/>
  </r>
  <r>
    <x v="0"/>
    <s v="2025-06-09 14:43:37"/>
    <n v="8"/>
    <x v="5"/>
    <x v="3"/>
    <x v="2"/>
    <n v="0"/>
    <n v="0"/>
    <s v="Unnamed Projectbatched_parts.NumberInNumber InEntity"/>
    <n v="15"/>
    <n v="0"/>
    <n v="0"/>
    <n v="0.95"/>
    <n v="0"/>
    <n v="0"/>
    <n v="0"/>
  </r>
  <r>
    <x v="0"/>
    <s v="2025-06-09 14:43:37"/>
    <n v="8"/>
    <x v="6"/>
    <x v="0"/>
    <x v="2"/>
    <n v="0"/>
    <n v="0"/>
    <s v="Unnamed Projectbatched_parts.NumberOutNumber OutEntity"/>
    <n v="15"/>
    <n v="0"/>
    <n v="0"/>
    <n v="0.95"/>
    <n v="0"/>
    <n v="0"/>
    <n v="0"/>
  </r>
  <r>
    <x v="0"/>
    <s v="2025-06-09 14:43:37"/>
    <n v="8"/>
    <x v="7"/>
    <x v="1"/>
    <x v="1"/>
    <n v="0"/>
    <n v="0"/>
    <s v="Unnamed Projectcleaner.NumberSeizedTotal Number SeizedResource"/>
    <n v="15"/>
    <n v="0"/>
    <n v="0"/>
    <n v="0.95"/>
    <n v="0"/>
    <n v="0"/>
    <n v="0"/>
  </r>
  <r>
    <x v="0"/>
    <s v="2025-06-09 14:43:37"/>
    <n v="8"/>
    <x v="8"/>
    <x v="2"/>
    <x v="1"/>
    <n v="0"/>
    <n v="0"/>
    <s v="Unnamed Projectcleaner.ScheduledUtilizationScheduled UtilizationResource"/>
    <n v="15"/>
    <n v="0"/>
    <n v="0"/>
    <n v="0.95"/>
    <n v="0"/>
    <n v="0"/>
    <n v="0"/>
  </r>
  <r>
    <x v="0"/>
    <s v="2025-06-09 14:43:37"/>
    <n v="8"/>
    <x v="9"/>
    <x v="1"/>
    <x v="1"/>
    <n v="0"/>
    <n v="0"/>
    <s v="Unnamed Projectcutter.NumberSeizedTotal Number SeizedResource"/>
    <n v="15"/>
    <n v="0"/>
    <n v="0"/>
    <n v="0.95"/>
    <n v="0"/>
    <n v="0"/>
    <n v="0"/>
  </r>
  <r>
    <x v="0"/>
    <s v="2025-06-09 14:43:37"/>
    <n v="8"/>
    <x v="10"/>
    <x v="2"/>
    <x v="1"/>
    <n v="0"/>
    <n v="0"/>
    <s v="Unnamed Projectcutter.ScheduledUtilizationScheduled UtilizationResource"/>
    <n v="15"/>
    <n v="0"/>
    <n v="0"/>
    <n v="0.95"/>
    <n v="0"/>
    <n v="0"/>
    <n v="0"/>
  </r>
  <r>
    <x v="0"/>
    <s v="2025-06-09 14:43:37"/>
    <n v="8"/>
    <x v="11"/>
    <x v="1"/>
    <x v="1"/>
    <n v="0"/>
    <n v="0"/>
    <s v="Unnamed Projectfinalqcman.NumberSeizedTotal Number SeizedResource"/>
    <n v="15"/>
    <n v="0"/>
    <n v="0"/>
    <n v="0.95"/>
    <n v="0"/>
    <n v="0"/>
    <n v="0"/>
  </r>
  <r>
    <x v="0"/>
    <s v="2025-06-09 14:43:37"/>
    <n v="8"/>
    <x v="12"/>
    <x v="2"/>
    <x v="1"/>
    <n v="0"/>
    <n v="0"/>
    <s v="Unnamed Projectfinalqcman.ScheduledUtilizationScheduled UtilizationResource"/>
    <n v="15"/>
    <n v="0"/>
    <n v="0"/>
    <n v="0.95"/>
    <n v="0"/>
    <n v="0"/>
    <n v="0"/>
  </r>
  <r>
    <x v="0"/>
    <s v="2025-06-09 14:43:37"/>
    <n v="8"/>
    <x v="13"/>
    <x v="1"/>
    <x v="1"/>
    <n v="0"/>
    <n v="0"/>
    <s v="Unnamed Projectpaintingmachine.NumberSeizedTotal Number SeizedResource"/>
    <n v="15"/>
    <n v="0"/>
    <n v="0"/>
    <n v="0.95"/>
    <n v="0"/>
    <n v="0"/>
    <n v="0"/>
  </r>
  <r>
    <x v="0"/>
    <s v="2025-06-09 14:43:37"/>
    <n v="8"/>
    <x v="14"/>
    <x v="2"/>
    <x v="1"/>
    <n v="0"/>
    <n v="0"/>
    <s v="Unnamed Projectpaintingmachine.ScheduledUtilizationScheduled UtilizationResource"/>
    <n v="15"/>
    <n v="0"/>
    <n v="0"/>
    <n v="0.95"/>
    <n v="0"/>
    <n v="0"/>
    <n v="0"/>
  </r>
  <r>
    <x v="0"/>
    <s v="2025-06-09 14:43:37"/>
    <n v="8"/>
    <x v="15"/>
    <x v="1"/>
    <x v="1"/>
    <n v="0"/>
    <n v="0"/>
    <s v="Unnamed Projectpaintingoperator.NumberSeizedTotal Number SeizedResource"/>
    <n v="15"/>
    <n v="0"/>
    <n v="0"/>
    <n v="0.95"/>
    <n v="0"/>
    <n v="0"/>
    <n v="0"/>
  </r>
  <r>
    <x v="0"/>
    <s v="2025-06-09 14:43:37"/>
    <n v="8"/>
    <x v="16"/>
    <x v="2"/>
    <x v="1"/>
    <n v="0"/>
    <n v="0"/>
    <s v="Unnamed Projectpaintingoperator.ScheduledUtilizationScheduled UtilizationResource"/>
    <n v="15"/>
    <n v="0"/>
    <n v="0"/>
    <n v="0.95"/>
    <n v="0"/>
    <n v="0"/>
    <n v="0"/>
  </r>
  <r>
    <x v="0"/>
    <s v="2025-06-09 14:43:37"/>
    <n v="8"/>
    <x v="17"/>
    <x v="1"/>
    <x v="1"/>
    <n v="0"/>
    <n v="0"/>
    <s v="Unnamed Projectsandblastmachine.NumberSeizedTotal Number SeizedResource"/>
    <n v="15"/>
    <n v="0"/>
    <n v="0"/>
    <n v="0.95"/>
    <n v="0"/>
    <n v="0"/>
    <n v="0"/>
  </r>
  <r>
    <x v="0"/>
    <s v="2025-06-09 14:43:37"/>
    <n v="8"/>
    <x v="18"/>
    <x v="2"/>
    <x v="1"/>
    <n v="0"/>
    <n v="0"/>
    <s v="Unnamed Projectsandblastmachine.ScheduledUtilizationScheduled UtilizationResource"/>
    <n v="15"/>
    <n v="0"/>
    <n v="0"/>
    <n v="0.95"/>
    <n v="0"/>
    <n v="0"/>
    <n v="0"/>
  </r>
  <r>
    <x v="0"/>
    <s v="2025-06-09 14:43:37"/>
    <n v="8"/>
    <x v="19"/>
    <x v="1"/>
    <x v="1"/>
    <n v="0"/>
    <n v="0"/>
    <s v="Unnamed Projectsandblastoperator.NumberSeizedTotal Number SeizedResource"/>
    <n v="15"/>
    <n v="0"/>
    <n v="0"/>
    <n v="0.95"/>
    <n v="0"/>
    <n v="0"/>
    <n v="0"/>
  </r>
  <r>
    <x v="0"/>
    <s v="2025-06-09 14:43:37"/>
    <n v="8"/>
    <x v="20"/>
    <x v="2"/>
    <x v="1"/>
    <n v="0"/>
    <n v="0"/>
    <s v="Unnamed Projectsandblastoperator.ScheduledUtilizationScheduled UtilizationResource"/>
    <n v="15"/>
    <n v="0"/>
    <n v="0"/>
    <n v="0.95"/>
    <n v="0"/>
    <n v="0"/>
    <n v="0"/>
  </r>
  <r>
    <x v="0"/>
    <s v="2025-06-09 14:43:37"/>
    <n v="8"/>
    <x v="21"/>
    <x v="3"/>
    <x v="2"/>
    <n v="0"/>
    <n v="0"/>
    <s v="Unnamed Projectsteelsheet.NumberInNumber InEntity"/>
    <n v="15"/>
    <n v="0"/>
    <n v="0"/>
    <n v="0.95"/>
    <n v="0"/>
    <n v="0"/>
    <n v="0"/>
  </r>
  <r>
    <x v="0"/>
    <s v="2025-06-09 14:43:37"/>
    <n v="8"/>
    <x v="22"/>
    <x v="0"/>
    <x v="2"/>
    <n v="0"/>
    <n v="0"/>
    <s v="Unnamed Projectsteelsheet.NumberOutNumber OutEntity"/>
    <n v="15"/>
    <n v="0"/>
    <n v="0"/>
    <n v="0.95"/>
    <n v="0"/>
    <n v="0"/>
    <n v="0"/>
  </r>
  <r>
    <x v="0"/>
    <s v="2025-06-09 14:43:37"/>
    <n v="8"/>
    <x v="23"/>
    <x v="1"/>
    <x v="1"/>
    <n v="0"/>
    <n v="0"/>
    <s v="Unnamed Projectwelder.NumberSeizedTotal Number SeizedResource"/>
    <n v="15"/>
    <n v="0"/>
    <n v="0"/>
    <n v="0.95"/>
    <n v="0"/>
    <n v="0"/>
    <n v="0"/>
  </r>
  <r>
    <x v="0"/>
    <s v="2025-06-09 14:43:37"/>
    <n v="8"/>
    <x v="24"/>
    <x v="2"/>
    <x v="1"/>
    <n v="0"/>
    <n v="0"/>
    <s v="Unnamed Projectwelder.ScheduledUtilizationScheduled UtilizationResource"/>
    <n v="15"/>
    <n v="0"/>
    <n v="0"/>
    <n v="0.95"/>
    <n v="0"/>
    <n v="0"/>
    <n v="0"/>
  </r>
  <r>
    <x v="0"/>
    <s v="2025-06-09 14:43:37"/>
    <n v="8"/>
    <x v="25"/>
    <x v="1"/>
    <x v="1"/>
    <n v="0"/>
    <n v="0"/>
    <s v="Unnamed Projectweldingqcworker.NumberSeizedTotal Number SeizedResource"/>
    <n v="15"/>
    <n v="0"/>
    <n v="0"/>
    <n v="0.95"/>
    <n v="0"/>
    <n v="0"/>
    <n v="0"/>
  </r>
  <r>
    <x v="0"/>
    <s v="2025-06-09 14:43:37"/>
    <n v="8"/>
    <x v="26"/>
    <x v="2"/>
    <x v="1"/>
    <n v="0"/>
    <n v="0"/>
    <s v="Unnamed Projectweldingqcworker.ScheduledUtilizationScheduled UtilizationResource"/>
    <n v="15"/>
    <n v="0"/>
    <n v="0"/>
    <n v="0.95"/>
    <n v="0"/>
    <n v="0"/>
    <n v="0"/>
  </r>
  <r>
    <x v="0"/>
    <s v="2025-06-09 14:43:37"/>
    <n v="9"/>
    <x v="0"/>
    <x v="0"/>
    <x v="0"/>
    <n v="0"/>
    <n v="0"/>
    <s v="Unnamed ProjectSystem.NumberOutNumber OutSystem"/>
    <n v="15"/>
    <n v="0"/>
    <n v="0"/>
    <n v="0.95"/>
    <n v="0"/>
    <n v="0"/>
    <n v="0"/>
  </r>
  <r>
    <x v="0"/>
    <s v="2025-06-09 14:43:37"/>
    <n v="9"/>
    <x v="1"/>
    <x v="1"/>
    <x v="1"/>
    <n v="0"/>
    <n v="0"/>
    <s v="Unnamed Projectassembler.NumberSeizedTotal Number SeizedResource"/>
    <n v="15"/>
    <n v="0"/>
    <n v="0"/>
    <n v="0.95"/>
    <n v="0"/>
    <n v="0"/>
    <n v="0"/>
  </r>
  <r>
    <x v="0"/>
    <s v="2025-06-09 14:43:37"/>
    <n v="9"/>
    <x v="2"/>
    <x v="2"/>
    <x v="1"/>
    <n v="0"/>
    <n v="0"/>
    <s v="Unnamed Projectassembler.ScheduledUtilizationScheduled UtilizationResource"/>
    <n v="15"/>
    <n v="0"/>
    <n v="0"/>
    <n v="0.95"/>
    <n v="0"/>
    <n v="0"/>
    <n v="0"/>
  </r>
  <r>
    <x v="0"/>
    <s v="2025-06-09 14:43:37"/>
    <n v="9"/>
    <x v="3"/>
    <x v="1"/>
    <x v="1"/>
    <n v="0"/>
    <n v="0"/>
    <s v="Unnamed Projectassemblyqcworker.NumberSeizedTotal Number SeizedResource"/>
    <n v="15"/>
    <n v="0"/>
    <n v="0"/>
    <n v="0.95"/>
    <n v="0"/>
    <n v="0"/>
    <n v="0"/>
  </r>
  <r>
    <x v="0"/>
    <s v="2025-06-09 14:43:37"/>
    <n v="9"/>
    <x v="4"/>
    <x v="2"/>
    <x v="1"/>
    <n v="0"/>
    <n v="0"/>
    <s v="Unnamed Projectassemblyqcworker.ScheduledUtilizationScheduled UtilizationResource"/>
    <n v="15"/>
    <n v="0"/>
    <n v="0"/>
    <n v="0.95"/>
    <n v="0"/>
    <n v="0"/>
    <n v="0"/>
  </r>
  <r>
    <x v="0"/>
    <s v="2025-06-09 14:43:37"/>
    <n v="9"/>
    <x v="5"/>
    <x v="3"/>
    <x v="2"/>
    <n v="0"/>
    <n v="0"/>
    <s v="Unnamed Projectbatched_parts.NumberInNumber InEntity"/>
    <n v="15"/>
    <n v="0"/>
    <n v="0"/>
    <n v="0.95"/>
    <n v="0"/>
    <n v="0"/>
    <n v="0"/>
  </r>
  <r>
    <x v="0"/>
    <s v="2025-06-09 14:43:37"/>
    <n v="9"/>
    <x v="6"/>
    <x v="0"/>
    <x v="2"/>
    <n v="0"/>
    <n v="0"/>
    <s v="Unnamed Projectbatched_parts.NumberOutNumber OutEntity"/>
    <n v="15"/>
    <n v="0"/>
    <n v="0"/>
    <n v="0.95"/>
    <n v="0"/>
    <n v="0"/>
    <n v="0"/>
  </r>
  <r>
    <x v="0"/>
    <s v="2025-06-09 14:43:37"/>
    <n v="9"/>
    <x v="7"/>
    <x v="1"/>
    <x v="1"/>
    <n v="0"/>
    <n v="0"/>
    <s v="Unnamed Projectcleaner.NumberSeizedTotal Number SeizedResource"/>
    <n v="15"/>
    <n v="0"/>
    <n v="0"/>
    <n v="0.95"/>
    <n v="0"/>
    <n v="0"/>
    <n v="0"/>
  </r>
  <r>
    <x v="0"/>
    <s v="2025-06-09 14:43:37"/>
    <n v="9"/>
    <x v="8"/>
    <x v="2"/>
    <x v="1"/>
    <n v="0"/>
    <n v="0"/>
    <s v="Unnamed Projectcleaner.ScheduledUtilizationScheduled UtilizationResource"/>
    <n v="15"/>
    <n v="0"/>
    <n v="0"/>
    <n v="0.95"/>
    <n v="0"/>
    <n v="0"/>
    <n v="0"/>
  </r>
  <r>
    <x v="0"/>
    <s v="2025-06-09 14:43:37"/>
    <n v="9"/>
    <x v="9"/>
    <x v="1"/>
    <x v="1"/>
    <n v="0"/>
    <n v="0"/>
    <s v="Unnamed Projectcutter.NumberSeizedTotal Number SeizedResource"/>
    <n v="15"/>
    <n v="0"/>
    <n v="0"/>
    <n v="0.95"/>
    <n v="0"/>
    <n v="0"/>
    <n v="0"/>
  </r>
  <r>
    <x v="0"/>
    <s v="2025-06-09 14:43:37"/>
    <n v="9"/>
    <x v="10"/>
    <x v="2"/>
    <x v="1"/>
    <n v="0"/>
    <n v="0"/>
    <s v="Unnamed Projectcutter.ScheduledUtilizationScheduled UtilizationResource"/>
    <n v="15"/>
    <n v="0"/>
    <n v="0"/>
    <n v="0.95"/>
    <n v="0"/>
    <n v="0"/>
    <n v="0"/>
  </r>
  <r>
    <x v="0"/>
    <s v="2025-06-09 14:43:37"/>
    <n v="9"/>
    <x v="11"/>
    <x v="1"/>
    <x v="1"/>
    <n v="0"/>
    <n v="0"/>
    <s v="Unnamed Projectfinalqcman.NumberSeizedTotal Number SeizedResource"/>
    <n v="15"/>
    <n v="0"/>
    <n v="0"/>
    <n v="0.95"/>
    <n v="0"/>
    <n v="0"/>
    <n v="0"/>
  </r>
  <r>
    <x v="0"/>
    <s v="2025-06-09 14:43:37"/>
    <n v="9"/>
    <x v="12"/>
    <x v="2"/>
    <x v="1"/>
    <n v="0"/>
    <n v="0"/>
    <s v="Unnamed Projectfinalqcman.ScheduledUtilizationScheduled UtilizationResource"/>
    <n v="15"/>
    <n v="0"/>
    <n v="0"/>
    <n v="0.95"/>
    <n v="0"/>
    <n v="0"/>
    <n v="0"/>
  </r>
  <r>
    <x v="0"/>
    <s v="2025-06-09 14:43:37"/>
    <n v="9"/>
    <x v="13"/>
    <x v="1"/>
    <x v="1"/>
    <n v="0"/>
    <n v="0"/>
    <s v="Unnamed Projectpaintingmachine.NumberSeizedTotal Number SeizedResource"/>
    <n v="15"/>
    <n v="0"/>
    <n v="0"/>
    <n v="0.95"/>
    <n v="0"/>
    <n v="0"/>
    <n v="0"/>
  </r>
  <r>
    <x v="0"/>
    <s v="2025-06-09 14:43:37"/>
    <n v="9"/>
    <x v="14"/>
    <x v="2"/>
    <x v="1"/>
    <n v="0"/>
    <n v="0"/>
    <s v="Unnamed Projectpaintingmachine.ScheduledUtilizationScheduled UtilizationResource"/>
    <n v="15"/>
    <n v="0"/>
    <n v="0"/>
    <n v="0.95"/>
    <n v="0"/>
    <n v="0"/>
    <n v="0"/>
  </r>
  <r>
    <x v="0"/>
    <s v="2025-06-09 14:43:37"/>
    <n v="9"/>
    <x v="15"/>
    <x v="1"/>
    <x v="1"/>
    <n v="0"/>
    <n v="0"/>
    <s v="Unnamed Projectpaintingoperator.NumberSeizedTotal Number SeizedResource"/>
    <n v="15"/>
    <n v="0"/>
    <n v="0"/>
    <n v="0.95"/>
    <n v="0"/>
    <n v="0"/>
    <n v="0"/>
  </r>
  <r>
    <x v="0"/>
    <s v="2025-06-09 14:43:37"/>
    <n v="9"/>
    <x v="16"/>
    <x v="2"/>
    <x v="1"/>
    <n v="0"/>
    <n v="0"/>
    <s v="Unnamed Projectpaintingoperator.ScheduledUtilizationScheduled UtilizationResource"/>
    <n v="15"/>
    <n v="0"/>
    <n v="0"/>
    <n v="0.95"/>
    <n v="0"/>
    <n v="0"/>
    <n v="0"/>
  </r>
  <r>
    <x v="0"/>
    <s v="2025-06-09 14:43:37"/>
    <n v="9"/>
    <x v="17"/>
    <x v="1"/>
    <x v="1"/>
    <n v="0"/>
    <n v="0"/>
    <s v="Unnamed Projectsandblastmachine.NumberSeizedTotal Number SeizedResource"/>
    <n v="15"/>
    <n v="0"/>
    <n v="0"/>
    <n v="0.95"/>
    <n v="0"/>
    <n v="0"/>
    <n v="0"/>
  </r>
  <r>
    <x v="0"/>
    <s v="2025-06-09 14:43:37"/>
    <n v="9"/>
    <x v="18"/>
    <x v="2"/>
    <x v="1"/>
    <n v="0"/>
    <n v="0"/>
    <s v="Unnamed Projectsandblastmachine.ScheduledUtilizationScheduled UtilizationResource"/>
    <n v="15"/>
    <n v="0"/>
    <n v="0"/>
    <n v="0.95"/>
    <n v="0"/>
    <n v="0"/>
    <n v="0"/>
  </r>
  <r>
    <x v="0"/>
    <s v="2025-06-09 14:43:37"/>
    <n v="9"/>
    <x v="19"/>
    <x v="1"/>
    <x v="1"/>
    <n v="0"/>
    <n v="0"/>
    <s v="Unnamed Projectsandblastoperator.NumberSeizedTotal Number SeizedResource"/>
    <n v="15"/>
    <n v="0"/>
    <n v="0"/>
    <n v="0.95"/>
    <n v="0"/>
    <n v="0"/>
    <n v="0"/>
  </r>
  <r>
    <x v="0"/>
    <s v="2025-06-09 14:43:37"/>
    <n v="9"/>
    <x v="20"/>
    <x v="2"/>
    <x v="1"/>
    <n v="0"/>
    <n v="0"/>
    <s v="Unnamed Projectsandblastoperator.ScheduledUtilizationScheduled UtilizationResource"/>
    <n v="15"/>
    <n v="0"/>
    <n v="0"/>
    <n v="0.95"/>
    <n v="0"/>
    <n v="0"/>
    <n v="0"/>
  </r>
  <r>
    <x v="0"/>
    <s v="2025-06-09 14:43:37"/>
    <n v="9"/>
    <x v="21"/>
    <x v="3"/>
    <x v="2"/>
    <n v="0"/>
    <n v="0"/>
    <s v="Unnamed Projectsteelsheet.NumberInNumber InEntity"/>
    <n v="15"/>
    <n v="0"/>
    <n v="0"/>
    <n v="0.95"/>
    <n v="0"/>
    <n v="0"/>
    <n v="0"/>
  </r>
  <r>
    <x v="0"/>
    <s v="2025-06-09 14:43:37"/>
    <n v="9"/>
    <x v="22"/>
    <x v="0"/>
    <x v="2"/>
    <n v="0"/>
    <n v="0"/>
    <s v="Unnamed Projectsteelsheet.NumberOutNumber OutEntity"/>
    <n v="15"/>
    <n v="0"/>
    <n v="0"/>
    <n v="0.95"/>
    <n v="0"/>
    <n v="0"/>
    <n v="0"/>
  </r>
  <r>
    <x v="0"/>
    <s v="2025-06-09 14:43:37"/>
    <n v="9"/>
    <x v="23"/>
    <x v="1"/>
    <x v="1"/>
    <n v="0"/>
    <n v="0"/>
    <s v="Unnamed Projectwelder.NumberSeizedTotal Number SeizedResource"/>
    <n v="15"/>
    <n v="0"/>
    <n v="0"/>
    <n v="0.95"/>
    <n v="0"/>
    <n v="0"/>
    <n v="0"/>
  </r>
  <r>
    <x v="0"/>
    <s v="2025-06-09 14:43:37"/>
    <n v="9"/>
    <x v="24"/>
    <x v="2"/>
    <x v="1"/>
    <n v="0"/>
    <n v="0"/>
    <s v="Unnamed Projectwelder.ScheduledUtilizationScheduled UtilizationResource"/>
    <n v="15"/>
    <n v="0"/>
    <n v="0"/>
    <n v="0.95"/>
    <n v="0"/>
    <n v="0"/>
    <n v="0"/>
  </r>
  <r>
    <x v="0"/>
    <s v="2025-06-09 14:43:37"/>
    <n v="9"/>
    <x v="25"/>
    <x v="1"/>
    <x v="1"/>
    <n v="0"/>
    <n v="0"/>
    <s v="Unnamed Projectweldingqcworker.NumberSeizedTotal Number SeizedResource"/>
    <n v="15"/>
    <n v="0"/>
    <n v="0"/>
    <n v="0.95"/>
    <n v="0"/>
    <n v="0"/>
    <n v="0"/>
  </r>
  <r>
    <x v="0"/>
    <s v="2025-06-09 14:43:37"/>
    <n v="9"/>
    <x v="26"/>
    <x v="2"/>
    <x v="1"/>
    <n v="0"/>
    <n v="0"/>
    <s v="Unnamed Projectweldingqcworker.ScheduledUtilizationScheduled UtilizationResource"/>
    <n v="15"/>
    <n v="0"/>
    <n v="0"/>
    <n v="0.95"/>
    <n v="0"/>
    <n v="0"/>
    <n v="0"/>
  </r>
  <r>
    <x v="0"/>
    <s v="2025-06-09 14:43:37"/>
    <n v="10"/>
    <x v="0"/>
    <x v="0"/>
    <x v="0"/>
    <n v="0"/>
    <n v="0"/>
    <s v="Unnamed ProjectSystem.NumberOutNumber OutSystem"/>
    <n v="15"/>
    <n v="0"/>
    <n v="0"/>
    <n v="0.95"/>
    <n v="0"/>
    <n v="0"/>
    <n v="0"/>
  </r>
  <r>
    <x v="0"/>
    <s v="2025-06-09 14:43:37"/>
    <n v="10"/>
    <x v="1"/>
    <x v="1"/>
    <x v="1"/>
    <n v="0"/>
    <n v="0"/>
    <s v="Unnamed Projectassembler.NumberSeizedTotal Number SeizedResource"/>
    <n v="15"/>
    <n v="0"/>
    <n v="0"/>
    <n v="0.95"/>
    <n v="0"/>
    <n v="0"/>
    <n v="0"/>
  </r>
  <r>
    <x v="0"/>
    <s v="2025-06-09 14:43:37"/>
    <n v="10"/>
    <x v="2"/>
    <x v="2"/>
    <x v="1"/>
    <n v="0"/>
    <n v="0"/>
    <s v="Unnamed Projectassembler.ScheduledUtilizationScheduled UtilizationResource"/>
    <n v="15"/>
    <n v="0"/>
    <n v="0"/>
    <n v="0.95"/>
    <n v="0"/>
    <n v="0"/>
    <n v="0"/>
  </r>
  <r>
    <x v="0"/>
    <s v="2025-06-09 14:43:37"/>
    <n v="10"/>
    <x v="3"/>
    <x v="1"/>
    <x v="1"/>
    <n v="0"/>
    <n v="0"/>
    <s v="Unnamed Projectassemblyqcworker.NumberSeizedTotal Number SeizedResource"/>
    <n v="15"/>
    <n v="0"/>
    <n v="0"/>
    <n v="0.95"/>
    <n v="0"/>
    <n v="0"/>
    <n v="0"/>
  </r>
  <r>
    <x v="0"/>
    <s v="2025-06-09 14:43:37"/>
    <n v="10"/>
    <x v="4"/>
    <x v="2"/>
    <x v="1"/>
    <n v="0"/>
    <n v="0"/>
    <s v="Unnamed Projectassemblyqcworker.ScheduledUtilizationScheduled UtilizationResource"/>
    <n v="15"/>
    <n v="0"/>
    <n v="0"/>
    <n v="0.95"/>
    <n v="0"/>
    <n v="0"/>
    <n v="0"/>
  </r>
  <r>
    <x v="0"/>
    <s v="2025-06-09 14:43:37"/>
    <n v="10"/>
    <x v="5"/>
    <x v="3"/>
    <x v="2"/>
    <n v="0"/>
    <n v="0"/>
    <s v="Unnamed Projectbatched_parts.NumberInNumber InEntity"/>
    <n v="15"/>
    <n v="0"/>
    <n v="0"/>
    <n v="0.95"/>
    <n v="0"/>
    <n v="0"/>
    <n v="0"/>
  </r>
  <r>
    <x v="0"/>
    <s v="2025-06-09 14:43:37"/>
    <n v="10"/>
    <x v="6"/>
    <x v="0"/>
    <x v="2"/>
    <n v="0"/>
    <n v="0"/>
    <s v="Unnamed Projectbatched_parts.NumberOutNumber OutEntity"/>
    <n v="15"/>
    <n v="0"/>
    <n v="0"/>
    <n v="0.95"/>
    <n v="0"/>
    <n v="0"/>
    <n v="0"/>
  </r>
  <r>
    <x v="0"/>
    <s v="2025-06-09 14:43:37"/>
    <n v="10"/>
    <x v="7"/>
    <x v="1"/>
    <x v="1"/>
    <n v="0"/>
    <n v="0"/>
    <s v="Unnamed Projectcleaner.NumberSeizedTotal Number SeizedResource"/>
    <n v="15"/>
    <n v="0"/>
    <n v="0"/>
    <n v="0.95"/>
    <n v="0"/>
    <n v="0"/>
    <n v="0"/>
  </r>
  <r>
    <x v="0"/>
    <s v="2025-06-09 14:43:37"/>
    <n v="10"/>
    <x v="8"/>
    <x v="2"/>
    <x v="1"/>
    <n v="0"/>
    <n v="0"/>
    <s v="Unnamed Projectcleaner.ScheduledUtilizationScheduled UtilizationResource"/>
    <n v="15"/>
    <n v="0"/>
    <n v="0"/>
    <n v="0.95"/>
    <n v="0"/>
    <n v="0"/>
    <n v="0"/>
  </r>
  <r>
    <x v="0"/>
    <s v="2025-06-09 14:43:37"/>
    <n v="10"/>
    <x v="9"/>
    <x v="1"/>
    <x v="1"/>
    <n v="0"/>
    <n v="0"/>
    <s v="Unnamed Projectcutter.NumberSeizedTotal Number SeizedResource"/>
    <n v="15"/>
    <n v="0"/>
    <n v="0"/>
    <n v="0.95"/>
    <n v="0"/>
    <n v="0"/>
    <n v="0"/>
  </r>
  <r>
    <x v="0"/>
    <s v="2025-06-09 14:43:37"/>
    <n v="10"/>
    <x v="10"/>
    <x v="2"/>
    <x v="1"/>
    <n v="0"/>
    <n v="0"/>
    <s v="Unnamed Projectcutter.ScheduledUtilizationScheduled UtilizationResource"/>
    <n v="15"/>
    <n v="0"/>
    <n v="0"/>
    <n v="0.95"/>
    <n v="0"/>
    <n v="0"/>
    <n v="0"/>
  </r>
  <r>
    <x v="0"/>
    <s v="2025-06-09 14:43:37"/>
    <n v="10"/>
    <x v="11"/>
    <x v="1"/>
    <x v="1"/>
    <n v="0"/>
    <n v="0"/>
    <s v="Unnamed Projectfinalqcman.NumberSeizedTotal Number SeizedResource"/>
    <n v="15"/>
    <n v="0"/>
    <n v="0"/>
    <n v="0.95"/>
    <n v="0"/>
    <n v="0"/>
    <n v="0"/>
  </r>
  <r>
    <x v="0"/>
    <s v="2025-06-09 14:43:37"/>
    <n v="10"/>
    <x v="12"/>
    <x v="2"/>
    <x v="1"/>
    <n v="0"/>
    <n v="0"/>
    <s v="Unnamed Projectfinalqcman.ScheduledUtilizationScheduled UtilizationResource"/>
    <n v="15"/>
    <n v="0"/>
    <n v="0"/>
    <n v="0.95"/>
    <n v="0"/>
    <n v="0"/>
    <n v="0"/>
  </r>
  <r>
    <x v="0"/>
    <s v="2025-06-09 14:43:37"/>
    <n v="10"/>
    <x v="13"/>
    <x v="1"/>
    <x v="1"/>
    <n v="0"/>
    <n v="0"/>
    <s v="Unnamed Projectpaintingmachine.NumberSeizedTotal Number SeizedResource"/>
    <n v="15"/>
    <n v="0"/>
    <n v="0"/>
    <n v="0.95"/>
    <n v="0"/>
    <n v="0"/>
    <n v="0"/>
  </r>
  <r>
    <x v="0"/>
    <s v="2025-06-09 14:43:37"/>
    <n v="10"/>
    <x v="14"/>
    <x v="2"/>
    <x v="1"/>
    <n v="0"/>
    <n v="0"/>
    <s v="Unnamed Projectpaintingmachine.ScheduledUtilizationScheduled UtilizationResource"/>
    <n v="15"/>
    <n v="0"/>
    <n v="0"/>
    <n v="0.95"/>
    <n v="0"/>
    <n v="0"/>
    <n v="0"/>
  </r>
  <r>
    <x v="0"/>
    <s v="2025-06-09 14:43:37"/>
    <n v="10"/>
    <x v="15"/>
    <x v="1"/>
    <x v="1"/>
    <n v="0"/>
    <n v="0"/>
    <s v="Unnamed Projectpaintingoperator.NumberSeizedTotal Number SeizedResource"/>
    <n v="15"/>
    <n v="0"/>
    <n v="0"/>
    <n v="0.95"/>
    <n v="0"/>
    <n v="0"/>
    <n v="0"/>
  </r>
  <r>
    <x v="0"/>
    <s v="2025-06-09 14:43:37"/>
    <n v="10"/>
    <x v="16"/>
    <x v="2"/>
    <x v="1"/>
    <n v="0"/>
    <n v="0"/>
    <s v="Unnamed Projectpaintingoperator.ScheduledUtilizationScheduled UtilizationResource"/>
    <n v="15"/>
    <n v="0"/>
    <n v="0"/>
    <n v="0.95"/>
    <n v="0"/>
    <n v="0"/>
    <n v="0"/>
  </r>
  <r>
    <x v="0"/>
    <s v="2025-06-09 14:43:37"/>
    <n v="10"/>
    <x v="17"/>
    <x v="1"/>
    <x v="1"/>
    <n v="0"/>
    <n v="0"/>
    <s v="Unnamed Projectsandblastmachine.NumberSeizedTotal Number SeizedResource"/>
    <n v="15"/>
    <n v="0"/>
    <n v="0"/>
    <n v="0.95"/>
    <n v="0"/>
    <n v="0"/>
    <n v="0"/>
  </r>
  <r>
    <x v="0"/>
    <s v="2025-06-09 14:43:37"/>
    <n v="10"/>
    <x v="18"/>
    <x v="2"/>
    <x v="1"/>
    <n v="0"/>
    <n v="0"/>
    <s v="Unnamed Projectsandblastmachine.ScheduledUtilizationScheduled UtilizationResource"/>
    <n v="15"/>
    <n v="0"/>
    <n v="0"/>
    <n v="0.95"/>
    <n v="0"/>
    <n v="0"/>
    <n v="0"/>
  </r>
  <r>
    <x v="0"/>
    <s v="2025-06-09 14:43:37"/>
    <n v="10"/>
    <x v="19"/>
    <x v="1"/>
    <x v="1"/>
    <n v="0"/>
    <n v="0"/>
    <s v="Unnamed Projectsandblastoperator.NumberSeizedTotal Number SeizedResource"/>
    <n v="15"/>
    <n v="0"/>
    <n v="0"/>
    <n v="0.95"/>
    <n v="0"/>
    <n v="0"/>
    <n v="0"/>
  </r>
  <r>
    <x v="0"/>
    <s v="2025-06-09 14:43:37"/>
    <n v="10"/>
    <x v="20"/>
    <x v="2"/>
    <x v="1"/>
    <n v="0"/>
    <n v="0"/>
    <s v="Unnamed Projectsandblastoperator.ScheduledUtilizationScheduled UtilizationResource"/>
    <n v="15"/>
    <n v="0"/>
    <n v="0"/>
    <n v="0.95"/>
    <n v="0"/>
    <n v="0"/>
    <n v="0"/>
  </r>
  <r>
    <x v="0"/>
    <s v="2025-06-09 14:43:37"/>
    <n v="10"/>
    <x v="21"/>
    <x v="3"/>
    <x v="2"/>
    <n v="0"/>
    <n v="0"/>
    <s v="Unnamed Projectsteelsheet.NumberInNumber InEntity"/>
    <n v="15"/>
    <n v="0"/>
    <n v="0"/>
    <n v="0.95"/>
    <n v="0"/>
    <n v="0"/>
    <n v="0"/>
  </r>
  <r>
    <x v="0"/>
    <s v="2025-06-09 14:43:37"/>
    <n v="10"/>
    <x v="22"/>
    <x v="0"/>
    <x v="2"/>
    <n v="0"/>
    <n v="0"/>
    <s v="Unnamed Projectsteelsheet.NumberOutNumber OutEntity"/>
    <n v="15"/>
    <n v="0"/>
    <n v="0"/>
    <n v="0.95"/>
    <n v="0"/>
    <n v="0"/>
    <n v="0"/>
  </r>
  <r>
    <x v="0"/>
    <s v="2025-06-09 14:43:37"/>
    <n v="10"/>
    <x v="23"/>
    <x v="1"/>
    <x v="1"/>
    <n v="0"/>
    <n v="0"/>
    <s v="Unnamed Projectwelder.NumberSeizedTotal Number SeizedResource"/>
    <n v="15"/>
    <n v="0"/>
    <n v="0"/>
    <n v="0.95"/>
    <n v="0"/>
    <n v="0"/>
    <n v="0"/>
  </r>
  <r>
    <x v="0"/>
    <s v="2025-06-09 14:43:37"/>
    <n v="10"/>
    <x v="24"/>
    <x v="2"/>
    <x v="1"/>
    <n v="0"/>
    <n v="0"/>
    <s v="Unnamed Projectwelder.ScheduledUtilizationScheduled UtilizationResource"/>
    <n v="15"/>
    <n v="0"/>
    <n v="0"/>
    <n v="0.95"/>
    <n v="0"/>
    <n v="0"/>
    <n v="0"/>
  </r>
  <r>
    <x v="0"/>
    <s v="2025-06-09 14:43:37"/>
    <n v="10"/>
    <x v="25"/>
    <x v="1"/>
    <x v="1"/>
    <n v="0"/>
    <n v="0"/>
    <s v="Unnamed Projectweldingqcworker.NumberSeizedTotal Number SeizedResource"/>
    <n v="15"/>
    <n v="0"/>
    <n v="0"/>
    <n v="0.95"/>
    <n v="0"/>
    <n v="0"/>
    <n v="0"/>
  </r>
  <r>
    <x v="0"/>
    <s v="2025-06-09 14:43:37"/>
    <n v="10"/>
    <x v="26"/>
    <x v="2"/>
    <x v="1"/>
    <n v="0"/>
    <n v="0"/>
    <s v="Unnamed Projectweldingqcworker.ScheduledUtilizationScheduled UtilizationResource"/>
    <n v="15"/>
    <n v="0"/>
    <n v="0"/>
    <n v="0.95"/>
    <n v="0"/>
    <n v="0"/>
    <n v="0"/>
  </r>
  <r>
    <x v="0"/>
    <s v="2025-06-09 14:43:37"/>
    <n v="11"/>
    <x v="0"/>
    <x v="0"/>
    <x v="0"/>
    <n v="0"/>
    <n v="0"/>
    <s v="Unnamed ProjectSystem.NumberOutNumber OutSystem"/>
    <n v="15"/>
    <n v="0"/>
    <n v="0"/>
    <n v="0.95"/>
    <n v="0"/>
    <n v="0"/>
    <n v="0"/>
  </r>
  <r>
    <x v="0"/>
    <s v="2025-06-09 14:43:37"/>
    <n v="11"/>
    <x v="1"/>
    <x v="1"/>
    <x v="1"/>
    <n v="0"/>
    <n v="0"/>
    <s v="Unnamed Projectassembler.NumberSeizedTotal Number SeizedResource"/>
    <n v="15"/>
    <n v="0"/>
    <n v="0"/>
    <n v="0.95"/>
    <n v="0"/>
    <n v="0"/>
    <n v="0"/>
  </r>
  <r>
    <x v="0"/>
    <s v="2025-06-09 14:43:37"/>
    <n v="11"/>
    <x v="2"/>
    <x v="2"/>
    <x v="1"/>
    <n v="0"/>
    <n v="0"/>
    <s v="Unnamed Projectassembler.ScheduledUtilizationScheduled UtilizationResource"/>
    <n v="15"/>
    <n v="0"/>
    <n v="0"/>
    <n v="0.95"/>
    <n v="0"/>
    <n v="0"/>
    <n v="0"/>
  </r>
  <r>
    <x v="0"/>
    <s v="2025-06-09 14:43:37"/>
    <n v="11"/>
    <x v="3"/>
    <x v="1"/>
    <x v="1"/>
    <n v="0"/>
    <n v="0"/>
    <s v="Unnamed Projectassemblyqcworker.NumberSeizedTotal Number SeizedResource"/>
    <n v="15"/>
    <n v="0"/>
    <n v="0"/>
    <n v="0.95"/>
    <n v="0"/>
    <n v="0"/>
    <n v="0"/>
  </r>
  <r>
    <x v="0"/>
    <s v="2025-06-09 14:43:37"/>
    <n v="11"/>
    <x v="4"/>
    <x v="2"/>
    <x v="1"/>
    <n v="0"/>
    <n v="0"/>
    <s v="Unnamed Projectassemblyqcworker.ScheduledUtilizationScheduled UtilizationResource"/>
    <n v="15"/>
    <n v="0"/>
    <n v="0"/>
    <n v="0.95"/>
    <n v="0"/>
    <n v="0"/>
    <n v="0"/>
  </r>
  <r>
    <x v="0"/>
    <s v="2025-06-09 14:43:37"/>
    <n v="11"/>
    <x v="5"/>
    <x v="3"/>
    <x v="2"/>
    <n v="0"/>
    <n v="0"/>
    <s v="Unnamed Projectbatched_parts.NumberInNumber InEntity"/>
    <n v="15"/>
    <n v="0"/>
    <n v="0"/>
    <n v="0.95"/>
    <n v="0"/>
    <n v="0"/>
    <n v="0"/>
  </r>
  <r>
    <x v="0"/>
    <s v="2025-06-09 14:43:37"/>
    <n v="11"/>
    <x v="6"/>
    <x v="0"/>
    <x v="2"/>
    <n v="0"/>
    <n v="0"/>
    <s v="Unnamed Projectbatched_parts.NumberOutNumber OutEntity"/>
    <n v="15"/>
    <n v="0"/>
    <n v="0"/>
    <n v="0.95"/>
    <n v="0"/>
    <n v="0"/>
    <n v="0"/>
  </r>
  <r>
    <x v="0"/>
    <s v="2025-06-09 14:43:37"/>
    <n v="11"/>
    <x v="7"/>
    <x v="1"/>
    <x v="1"/>
    <n v="0"/>
    <n v="0"/>
    <s v="Unnamed Projectcleaner.NumberSeizedTotal Number SeizedResource"/>
    <n v="15"/>
    <n v="0"/>
    <n v="0"/>
    <n v="0.95"/>
    <n v="0"/>
    <n v="0"/>
    <n v="0"/>
  </r>
  <r>
    <x v="0"/>
    <s v="2025-06-09 14:43:37"/>
    <n v="11"/>
    <x v="8"/>
    <x v="2"/>
    <x v="1"/>
    <n v="0"/>
    <n v="0"/>
    <s v="Unnamed Projectcleaner.ScheduledUtilizationScheduled UtilizationResource"/>
    <n v="15"/>
    <n v="0"/>
    <n v="0"/>
    <n v="0.95"/>
    <n v="0"/>
    <n v="0"/>
    <n v="0"/>
  </r>
  <r>
    <x v="0"/>
    <s v="2025-06-09 14:43:37"/>
    <n v="11"/>
    <x v="9"/>
    <x v="1"/>
    <x v="1"/>
    <n v="0"/>
    <n v="0"/>
    <s v="Unnamed Projectcutter.NumberSeizedTotal Number SeizedResource"/>
    <n v="15"/>
    <n v="0"/>
    <n v="0"/>
    <n v="0.95"/>
    <n v="0"/>
    <n v="0"/>
    <n v="0"/>
  </r>
  <r>
    <x v="0"/>
    <s v="2025-06-09 14:43:37"/>
    <n v="11"/>
    <x v="10"/>
    <x v="2"/>
    <x v="1"/>
    <n v="0"/>
    <n v="0"/>
    <s v="Unnamed Projectcutter.ScheduledUtilizationScheduled UtilizationResource"/>
    <n v="15"/>
    <n v="0"/>
    <n v="0"/>
    <n v="0.95"/>
    <n v="0"/>
    <n v="0"/>
    <n v="0"/>
  </r>
  <r>
    <x v="0"/>
    <s v="2025-06-09 14:43:37"/>
    <n v="11"/>
    <x v="11"/>
    <x v="1"/>
    <x v="1"/>
    <n v="0"/>
    <n v="0"/>
    <s v="Unnamed Projectfinalqcman.NumberSeizedTotal Number SeizedResource"/>
    <n v="15"/>
    <n v="0"/>
    <n v="0"/>
    <n v="0.95"/>
    <n v="0"/>
    <n v="0"/>
    <n v="0"/>
  </r>
  <r>
    <x v="0"/>
    <s v="2025-06-09 14:43:37"/>
    <n v="11"/>
    <x v="12"/>
    <x v="2"/>
    <x v="1"/>
    <n v="0"/>
    <n v="0"/>
    <s v="Unnamed Projectfinalqcman.ScheduledUtilizationScheduled UtilizationResource"/>
    <n v="15"/>
    <n v="0"/>
    <n v="0"/>
    <n v="0.95"/>
    <n v="0"/>
    <n v="0"/>
    <n v="0"/>
  </r>
  <r>
    <x v="0"/>
    <s v="2025-06-09 14:43:37"/>
    <n v="11"/>
    <x v="13"/>
    <x v="1"/>
    <x v="1"/>
    <n v="0"/>
    <n v="0"/>
    <s v="Unnamed Projectpaintingmachine.NumberSeizedTotal Number SeizedResource"/>
    <n v="15"/>
    <n v="0"/>
    <n v="0"/>
    <n v="0.95"/>
    <n v="0"/>
    <n v="0"/>
    <n v="0"/>
  </r>
  <r>
    <x v="0"/>
    <s v="2025-06-09 14:43:37"/>
    <n v="11"/>
    <x v="14"/>
    <x v="2"/>
    <x v="1"/>
    <n v="0"/>
    <n v="0"/>
    <s v="Unnamed Projectpaintingmachine.ScheduledUtilizationScheduled UtilizationResource"/>
    <n v="15"/>
    <n v="0"/>
    <n v="0"/>
    <n v="0.95"/>
    <n v="0"/>
    <n v="0"/>
    <n v="0"/>
  </r>
  <r>
    <x v="0"/>
    <s v="2025-06-09 14:43:37"/>
    <n v="11"/>
    <x v="15"/>
    <x v="1"/>
    <x v="1"/>
    <n v="0"/>
    <n v="0"/>
    <s v="Unnamed Projectpaintingoperator.NumberSeizedTotal Number SeizedResource"/>
    <n v="15"/>
    <n v="0"/>
    <n v="0"/>
    <n v="0.95"/>
    <n v="0"/>
    <n v="0"/>
    <n v="0"/>
  </r>
  <r>
    <x v="0"/>
    <s v="2025-06-09 14:43:37"/>
    <n v="11"/>
    <x v="16"/>
    <x v="2"/>
    <x v="1"/>
    <n v="0"/>
    <n v="0"/>
    <s v="Unnamed Projectpaintingoperator.ScheduledUtilizationScheduled UtilizationResource"/>
    <n v="15"/>
    <n v="0"/>
    <n v="0"/>
    <n v="0.95"/>
    <n v="0"/>
    <n v="0"/>
    <n v="0"/>
  </r>
  <r>
    <x v="0"/>
    <s v="2025-06-09 14:43:37"/>
    <n v="11"/>
    <x v="17"/>
    <x v="1"/>
    <x v="1"/>
    <n v="0"/>
    <n v="0"/>
    <s v="Unnamed Projectsandblastmachine.NumberSeizedTotal Number SeizedResource"/>
    <n v="15"/>
    <n v="0"/>
    <n v="0"/>
    <n v="0.95"/>
    <n v="0"/>
    <n v="0"/>
    <n v="0"/>
  </r>
  <r>
    <x v="0"/>
    <s v="2025-06-09 14:43:37"/>
    <n v="11"/>
    <x v="18"/>
    <x v="2"/>
    <x v="1"/>
    <n v="0"/>
    <n v="0"/>
    <s v="Unnamed Projectsandblastmachine.ScheduledUtilizationScheduled UtilizationResource"/>
    <n v="15"/>
    <n v="0"/>
    <n v="0"/>
    <n v="0.95"/>
    <n v="0"/>
    <n v="0"/>
    <n v="0"/>
  </r>
  <r>
    <x v="0"/>
    <s v="2025-06-09 14:43:37"/>
    <n v="11"/>
    <x v="19"/>
    <x v="1"/>
    <x v="1"/>
    <n v="0"/>
    <n v="0"/>
    <s v="Unnamed Projectsandblastoperator.NumberSeizedTotal Number SeizedResource"/>
    <n v="15"/>
    <n v="0"/>
    <n v="0"/>
    <n v="0.95"/>
    <n v="0"/>
    <n v="0"/>
    <n v="0"/>
  </r>
  <r>
    <x v="0"/>
    <s v="2025-06-09 14:43:37"/>
    <n v="11"/>
    <x v="20"/>
    <x v="2"/>
    <x v="1"/>
    <n v="0"/>
    <n v="0"/>
    <s v="Unnamed Projectsandblastoperator.ScheduledUtilizationScheduled UtilizationResource"/>
    <n v="15"/>
    <n v="0"/>
    <n v="0"/>
    <n v="0.95"/>
    <n v="0"/>
    <n v="0"/>
    <n v="0"/>
  </r>
  <r>
    <x v="0"/>
    <s v="2025-06-09 14:43:37"/>
    <n v="11"/>
    <x v="21"/>
    <x v="3"/>
    <x v="2"/>
    <n v="0"/>
    <n v="0"/>
    <s v="Unnamed Projectsteelsheet.NumberInNumber InEntity"/>
    <n v="15"/>
    <n v="0"/>
    <n v="0"/>
    <n v="0.95"/>
    <n v="0"/>
    <n v="0"/>
    <n v="0"/>
  </r>
  <r>
    <x v="0"/>
    <s v="2025-06-09 14:43:37"/>
    <n v="11"/>
    <x v="22"/>
    <x v="0"/>
    <x v="2"/>
    <n v="0"/>
    <n v="0"/>
    <s v="Unnamed Projectsteelsheet.NumberOutNumber OutEntity"/>
    <n v="15"/>
    <n v="0"/>
    <n v="0"/>
    <n v="0.95"/>
    <n v="0"/>
    <n v="0"/>
    <n v="0"/>
  </r>
  <r>
    <x v="0"/>
    <s v="2025-06-09 14:43:37"/>
    <n v="11"/>
    <x v="23"/>
    <x v="1"/>
    <x v="1"/>
    <n v="0"/>
    <n v="0"/>
    <s v="Unnamed Projectwelder.NumberSeizedTotal Number SeizedResource"/>
    <n v="15"/>
    <n v="0"/>
    <n v="0"/>
    <n v="0.95"/>
    <n v="0"/>
    <n v="0"/>
    <n v="0"/>
  </r>
  <r>
    <x v="0"/>
    <s v="2025-06-09 14:43:37"/>
    <n v="11"/>
    <x v="24"/>
    <x v="2"/>
    <x v="1"/>
    <n v="0"/>
    <n v="0"/>
    <s v="Unnamed Projectwelder.ScheduledUtilizationScheduled UtilizationResource"/>
    <n v="15"/>
    <n v="0"/>
    <n v="0"/>
    <n v="0.95"/>
    <n v="0"/>
    <n v="0"/>
    <n v="0"/>
  </r>
  <r>
    <x v="0"/>
    <s v="2025-06-09 14:43:37"/>
    <n v="11"/>
    <x v="25"/>
    <x v="1"/>
    <x v="1"/>
    <n v="0"/>
    <n v="0"/>
    <s v="Unnamed Projectweldingqcworker.NumberSeizedTotal Number SeizedResource"/>
    <n v="15"/>
    <n v="0"/>
    <n v="0"/>
    <n v="0.95"/>
    <n v="0"/>
    <n v="0"/>
    <n v="0"/>
  </r>
  <r>
    <x v="0"/>
    <s v="2025-06-09 14:43:37"/>
    <n v="11"/>
    <x v="26"/>
    <x v="2"/>
    <x v="1"/>
    <n v="0"/>
    <n v="0"/>
    <s v="Unnamed Projectweldingqcworker.ScheduledUtilizationScheduled UtilizationResource"/>
    <n v="15"/>
    <n v="0"/>
    <n v="0"/>
    <n v="0.95"/>
    <n v="0"/>
    <n v="0"/>
    <n v="0"/>
  </r>
  <r>
    <x v="0"/>
    <s v="2025-06-09 14:43:37"/>
    <n v="12"/>
    <x v="0"/>
    <x v="0"/>
    <x v="0"/>
    <n v="0"/>
    <n v="0"/>
    <s v="Unnamed ProjectSystem.NumberOutNumber OutSystem"/>
    <n v="15"/>
    <n v="0"/>
    <n v="0"/>
    <n v="0.95"/>
    <n v="0"/>
    <n v="0"/>
    <n v="0"/>
  </r>
  <r>
    <x v="0"/>
    <s v="2025-06-09 14:43:37"/>
    <n v="12"/>
    <x v="1"/>
    <x v="1"/>
    <x v="1"/>
    <n v="0"/>
    <n v="0"/>
    <s v="Unnamed Projectassembler.NumberSeizedTotal Number SeizedResource"/>
    <n v="15"/>
    <n v="0"/>
    <n v="0"/>
    <n v="0.95"/>
    <n v="0"/>
    <n v="0"/>
    <n v="0"/>
  </r>
  <r>
    <x v="0"/>
    <s v="2025-06-09 14:43:37"/>
    <n v="12"/>
    <x v="2"/>
    <x v="2"/>
    <x v="1"/>
    <n v="0"/>
    <n v="0"/>
    <s v="Unnamed Projectassembler.ScheduledUtilizationScheduled UtilizationResource"/>
    <n v="15"/>
    <n v="0"/>
    <n v="0"/>
    <n v="0.95"/>
    <n v="0"/>
    <n v="0"/>
    <n v="0"/>
  </r>
  <r>
    <x v="0"/>
    <s v="2025-06-09 14:43:37"/>
    <n v="12"/>
    <x v="3"/>
    <x v="1"/>
    <x v="1"/>
    <n v="0"/>
    <n v="0"/>
    <s v="Unnamed Projectassemblyqcworker.NumberSeizedTotal Number SeizedResource"/>
    <n v="15"/>
    <n v="0"/>
    <n v="0"/>
    <n v="0.95"/>
    <n v="0"/>
    <n v="0"/>
    <n v="0"/>
  </r>
  <r>
    <x v="0"/>
    <s v="2025-06-09 14:43:37"/>
    <n v="12"/>
    <x v="4"/>
    <x v="2"/>
    <x v="1"/>
    <n v="0"/>
    <n v="0"/>
    <s v="Unnamed Projectassemblyqcworker.ScheduledUtilizationScheduled UtilizationResource"/>
    <n v="15"/>
    <n v="0"/>
    <n v="0"/>
    <n v="0.95"/>
    <n v="0"/>
    <n v="0"/>
    <n v="0"/>
  </r>
  <r>
    <x v="0"/>
    <s v="2025-06-09 14:43:37"/>
    <n v="12"/>
    <x v="5"/>
    <x v="3"/>
    <x v="2"/>
    <n v="0"/>
    <n v="0"/>
    <s v="Unnamed Projectbatched_parts.NumberInNumber InEntity"/>
    <n v="15"/>
    <n v="0"/>
    <n v="0"/>
    <n v="0.95"/>
    <n v="0"/>
    <n v="0"/>
    <n v="0"/>
  </r>
  <r>
    <x v="0"/>
    <s v="2025-06-09 14:43:37"/>
    <n v="12"/>
    <x v="6"/>
    <x v="0"/>
    <x v="2"/>
    <n v="0"/>
    <n v="0"/>
    <s v="Unnamed Projectbatched_parts.NumberOutNumber OutEntity"/>
    <n v="15"/>
    <n v="0"/>
    <n v="0"/>
    <n v="0.95"/>
    <n v="0"/>
    <n v="0"/>
    <n v="0"/>
  </r>
  <r>
    <x v="0"/>
    <s v="2025-06-09 14:43:37"/>
    <n v="12"/>
    <x v="7"/>
    <x v="1"/>
    <x v="1"/>
    <n v="0"/>
    <n v="0"/>
    <s v="Unnamed Projectcleaner.NumberSeizedTotal Number SeizedResource"/>
    <n v="15"/>
    <n v="0"/>
    <n v="0"/>
    <n v="0.95"/>
    <n v="0"/>
    <n v="0"/>
    <n v="0"/>
  </r>
  <r>
    <x v="0"/>
    <s v="2025-06-09 14:43:37"/>
    <n v="12"/>
    <x v="8"/>
    <x v="2"/>
    <x v="1"/>
    <n v="0"/>
    <n v="0"/>
    <s v="Unnamed Projectcleaner.ScheduledUtilizationScheduled UtilizationResource"/>
    <n v="15"/>
    <n v="0"/>
    <n v="0"/>
    <n v="0.95"/>
    <n v="0"/>
    <n v="0"/>
    <n v="0"/>
  </r>
  <r>
    <x v="0"/>
    <s v="2025-06-09 14:43:37"/>
    <n v="12"/>
    <x v="9"/>
    <x v="1"/>
    <x v="1"/>
    <n v="0"/>
    <n v="0"/>
    <s v="Unnamed Projectcutter.NumberSeizedTotal Number SeizedResource"/>
    <n v="15"/>
    <n v="0"/>
    <n v="0"/>
    <n v="0.95"/>
    <n v="0"/>
    <n v="0"/>
    <n v="0"/>
  </r>
  <r>
    <x v="0"/>
    <s v="2025-06-09 14:43:37"/>
    <n v="12"/>
    <x v="10"/>
    <x v="2"/>
    <x v="1"/>
    <n v="0"/>
    <n v="0"/>
    <s v="Unnamed Projectcutter.ScheduledUtilizationScheduled UtilizationResource"/>
    <n v="15"/>
    <n v="0"/>
    <n v="0"/>
    <n v="0.95"/>
    <n v="0"/>
    <n v="0"/>
    <n v="0"/>
  </r>
  <r>
    <x v="0"/>
    <s v="2025-06-09 14:43:37"/>
    <n v="12"/>
    <x v="11"/>
    <x v="1"/>
    <x v="1"/>
    <n v="0"/>
    <n v="0"/>
    <s v="Unnamed Projectfinalqcman.NumberSeizedTotal Number SeizedResource"/>
    <n v="15"/>
    <n v="0"/>
    <n v="0"/>
    <n v="0.95"/>
    <n v="0"/>
    <n v="0"/>
    <n v="0"/>
  </r>
  <r>
    <x v="0"/>
    <s v="2025-06-09 14:43:37"/>
    <n v="12"/>
    <x v="12"/>
    <x v="2"/>
    <x v="1"/>
    <n v="0"/>
    <n v="0"/>
    <s v="Unnamed Projectfinalqcman.ScheduledUtilizationScheduled UtilizationResource"/>
    <n v="15"/>
    <n v="0"/>
    <n v="0"/>
    <n v="0.95"/>
    <n v="0"/>
    <n v="0"/>
    <n v="0"/>
  </r>
  <r>
    <x v="0"/>
    <s v="2025-06-09 14:43:37"/>
    <n v="12"/>
    <x v="13"/>
    <x v="1"/>
    <x v="1"/>
    <n v="0"/>
    <n v="0"/>
    <s v="Unnamed Projectpaintingmachine.NumberSeizedTotal Number SeizedResource"/>
    <n v="15"/>
    <n v="0"/>
    <n v="0"/>
    <n v="0.95"/>
    <n v="0"/>
    <n v="0"/>
    <n v="0"/>
  </r>
  <r>
    <x v="0"/>
    <s v="2025-06-09 14:43:37"/>
    <n v="12"/>
    <x v="14"/>
    <x v="2"/>
    <x v="1"/>
    <n v="0"/>
    <n v="0"/>
    <s v="Unnamed Projectpaintingmachine.ScheduledUtilizationScheduled UtilizationResource"/>
    <n v="15"/>
    <n v="0"/>
    <n v="0"/>
    <n v="0.95"/>
    <n v="0"/>
    <n v="0"/>
    <n v="0"/>
  </r>
  <r>
    <x v="0"/>
    <s v="2025-06-09 14:43:37"/>
    <n v="12"/>
    <x v="15"/>
    <x v="1"/>
    <x v="1"/>
    <n v="0"/>
    <n v="0"/>
    <s v="Unnamed Projectpaintingoperator.NumberSeizedTotal Number SeizedResource"/>
    <n v="15"/>
    <n v="0"/>
    <n v="0"/>
    <n v="0.95"/>
    <n v="0"/>
    <n v="0"/>
    <n v="0"/>
  </r>
  <r>
    <x v="0"/>
    <s v="2025-06-09 14:43:37"/>
    <n v="12"/>
    <x v="16"/>
    <x v="2"/>
    <x v="1"/>
    <n v="0"/>
    <n v="0"/>
    <s v="Unnamed Projectpaintingoperator.ScheduledUtilizationScheduled UtilizationResource"/>
    <n v="15"/>
    <n v="0"/>
    <n v="0"/>
    <n v="0.95"/>
    <n v="0"/>
    <n v="0"/>
    <n v="0"/>
  </r>
  <r>
    <x v="0"/>
    <s v="2025-06-09 14:43:37"/>
    <n v="12"/>
    <x v="17"/>
    <x v="1"/>
    <x v="1"/>
    <n v="0"/>
    <n v="0"/>
    <s v="Unnamed Projectsandblastmachine.NumberSeizedTotal Number SeizedResource"/>
    <n v="15"/>
    <n v="0"/>
    <n v="0"/>
    <n v="0.95"/>
    <n v="0"/>
    <n v="0"/>
    <n v="0"/>
  </r>
  <r>
    <x v="0"/>
    <s v="2025-06-09 14:43:37"/>
    <n v="12"/>
    <x v="18"/>
    <x v="2"/>
    <x v="1"/>
    <n v="0"/>
    <n v="0"/>
    <s v="Unnamed Projectsandblastmachine.ScheduledUtilizationScheduled UtilizationResource"/>
    <n v="15"/>
    <n v="0"/>
    <n v="0"/>
    <n v="0.95"/>
    <n v="0"/>
    <n v="0"/>
    <n v="0"/>
  </r>
  <r>
    <x v="0"/>
    <s v="2025-06-09 14:43:37"/>
    <n v="12"/>
    <x v="19"/>
    <x v="1"/>
    <x v="1"/>
    <n v="0"/>
    <n v="0"/>
    <s v="Unnamed Projectsandblastoperator.NumberSeizedTotal Number SeizedResource"/>
    <n v="15"/>
    <n v="0"/>
    <n v="0"/>
    <n v="0.95"/>
    <n v="0"/>
    <n v="0"/>
    <n v="0"/>
  </r>
  <r>
    <x v="0"/>
    <s v="2025-06-09 14:43:37"/>
    <n v="12"/>
    <x v="20"/>
    <x v="2"/>
    <x v="1"/>
    <n v="0"/>
    <n v="0"/>
    <s v="Unnamed Projectsandblastoperator.ScheduledUtilizationScheduled UtilizationResource"/>
    <n v="15"/>
    <n v="0"/>
    <n v="0"/>
    <n v="0.95"/>
    <n v="0"/>
    <n v="0"/>
    <n v="0"/>
  </r>
  <r>
    <x v="0"/>
    <s v="2025-06-09 14:43:37"/>
    <n v="12"/>
    <x v="21"/>
    <x v="3"/>
    <x v="2"/>
    <n v="0"/>
    <n v="0"/>
    <s v="Unnamed Projectsteelsheet.NumberInNumber InEntity"/>
    <n v="15"/>
    <n v="0"/>
    <n v="0"/>
    <n v="0.95"/>
    <n v="0"/>
    <n v="0"/>
    <n v="0"/>
  </r>
  <r>
    <x v="0"/>
    <s v="2025-06-09 14:43:37"/>
    <n v="12"/>
    <x v="22"/>
    <x v="0"/>
    <x v="2"/>
    <n v="0"/>
    <n v="0"/>
    <s v="Unnamed Projectsteelsheet.NumberOutNumber OutEntity"/>
    <n v="15"/>
    <n v="0"/>
    <n v="0"/>
    <n v="0.95"/>
    <n v="0"/>
    <n v="0"/>
    <n v="0"/>
  </r>
  <r>
    <x v="0"/>
    <s v="2025-06-09 14:43:37"/>
    <n v="12"/>
    <x v="23"/>
    <x v="1"/>
    <x v="1"/>
    <n v="0"/>
    <n v="0"/>
    <s v="Unnamed Projectwelder.NumberSeizedTotal Number SeizedResource"/>
    <n v="15"/>
    <n v="0"/>
    <n v="0"/>
    <n v="0.95"/>
    <n v="0"/>
    <n v="0"/>
    <n v="0"/>
  </r>
  <r>
    <x v="0"/>
    <s v="2025-06-09 14:43:37"/>
    <n v="12"/>
    <x v="24"/>
    <x v="2"/>
    <x v="1"/>
    <n v="0"/>
    <n v="0"/>
    <s v="Unnamed Projectwelder.ScheduledUtilizationScheduled UtilizationResource"/>
    <n v="15"/>
    <n v="0"/>
    <n v="0"/>
    <n v="0.95"/>
    <n v="0"/>
    <n v="0"/>
    <n v="0"/>
  </r>
  <r>
    <x v="0"/>
    <s v="2025-06-09 14:43:37"/>
    <n v="12"/>
    <x v="25"/>
    <x v="1"/>
    <x v="1"/>
    <n v="0"/>
    <n v="0"/>
    <s v="Unnamed Projectweldingqcworker.NumberSeizedTotal Number SeizedResource"/>
    <n v="15"/>
    <n v="0"/>
    <n v="0"/>
    <n v="0.95"/>
    <n v="0"/>
    <n v="0"/>
    <n v="0"/>
  </r>
  <r>
    <x v="0"/>
    <s v="2025-06-09 14:43:37"/>
    <n v="12"/>
    <x v="26"/>
    <x v="2"/>
    <x v="1"/>
    <n v="0"/>
    <n v="0"/>
    <s v="Unnamed Projectweldingqcworker.ScheduledUtilizationScheduled UtilizationResource"/>
    <n v="15"/>
    <n v="0"/>
    <n v="0"/>
    <n v="0.95"/>
    <n v="0"/>
    <n v="0"/>
    <n v="0"/>
  </r>
  <r>
    <x v="0"/>
    <s v="2025-06-09 14:43:37"/>
    <n v="13"/>
    <x v="0"/>
    <x v="0"/>
    <x v="0"/>
    <n v="0"/>
    <n v="0"/>
    <s v="Unnamed ProjectSystem.NumberOutNumber OutSystem"/>
    <n v="15"/>
    <n v="0"/>
    <n v="0"/>
    <n v="0.95"/>
    <n v="0"/>
    <n v="0"/>
    <n v="0"/>
  </r>
  <r>
    <x v="0"/>
    <s v="2025-06-09 14:43:37"/>
    <n v="13"/>
    <x v="1"/>
    <x v="1"/>
    <x v="1"/>
    <n v="0"/>
    <n v="0"/>
    <s v="Unnamed Projectassembler.NumberSeizedTotal Number SeizedResource"/>
    <n v="15"/>
    <n v="0"/>
    <n v="0"/>
    <n v="0.95"/>
    <n v="0"/>
    <n v="0"/>
    <n v="0"/>
  </r>
  <r>
    <x v="0"/>
    <s v="2025-06-09 14:43:37"/>
    <n v="13"/>
    <x v="2"/>
    <x v="2"/>
    <x v="1"/>
    <n v="0"/>
    <n v="0"/>
    <s v="Unnamed Projectassembler.ScheduledUtilizationScheduled UtilizationResource"/>
    <n v="15"/>
    <n v="0"/>
    <n v="0"/>
    <n v="0.95"/>
    <n v="0"/>
    <n v="0"/>
    <n v="0"/>
  </r>
  <r>
    <x v="0"/>
    <s v="2025-06-09 14:43:37"/>
    <n v="13"/>
    <x v="3"/>
    <x v="1"/>
    <x v="1"/>
    <n v="0"/>
    <n v="0"/>
    <s v="Unnamed Projectassemblyqcworker.NumberSeizedTotal Number SeizedResource"/>
    <n v="15"/>
    <n v="0"/>
    <n v="0"/>
    <n v="0.95"/>
    <n v="0"/>
    <n v="0"/>
    <n v="0"/>
  </r>
  <r>
    <x v="0"/>
    <s v="2025-06-09 14:43:37"/>
    <n v="13"/>
    <x v="4"/>
    <x v="2"/>
    <x v="1"/>
    <n v="0"/>
    <n v="0"/>
    <s v="Unnamed Projectassemblyqcworker.ScheduledUtilizationScheduled UtilizationResource"/>
    <n v="15"/>
    <n v="0"/>
    <n v="0"/>
    <n v="0.95"/>
    <n v="0"/>
    <n v="0"/>
    <n v="0"/>
  </r>
  <r>
    <x v="0"/>
    <s v="2025-06-09 14:43:37"/>
    <n v="13"/>
    <x v="5"/>
    <x v="3"/>
    <x v="2"/>
    <n v="0"/>
    <n v="0"/>
    <s v="Unnamed Projectbatched_parts.NumberInNumber InEntity"/>
    <n v="15"/>
    <n v="0"/>
    <n v="0"/>
    <n v="0.95"/>
    <n v="0"/>
    <n v="0"/>
    <n v="0"/>
  </r>
  <r>
    <x v="0"/>
    <s v="2025-06-09 14:43:37"/>
    <n v="13"/>
    <x v="6"/>
    <x v="0"/>
    <x v="2"/>
    <n v="0"/>
    <n v="0"/>
    <s v="Unnamed Projectbatched_parts.NumberOutNumber OutEntity"/>
    <n v="15"/>
    <n v="0"/>
    <n v="0"/>
    <n v="0.95"/>
    <n v="0"/>
    <n v="0"/>
    <n v="0"/>
  </r>
  <r>
    <x v="0"/>
    <s v="2025-06-09 14:43:37"/>
    <n v="13"/>
    <x v="7"/>
    <x v="1"/>
    <x v="1"/>
    <n v="0"/>
    <n v="0"/>
    <s v="Unnamed Projectcleaner.NumberSeizedTotal Number SeizedResource"/>
    <n v="15"/>
    <n v="0"/>
    <n v="0"/>
    <n v="0.95"/>
    <n v="0"/>
    <n v="0"/>
    <n v="0"/>
  </r>
  <r>
    <x v="0"/>
    <s v="2025-06-09 14:43:37"/>
    <n v="13"/>
    <x v="8"/>
    <x v="2"/>
    <x v="1"/>
    <n v="0"/>
    <n v="0"/>
    <s v="Unnamed Projectcleaner.ScheduledUtilizationScheduled UtilizationResource"/>
    <n v="15"/>
    <n v="0"/>
    <n v="0"/>
    <n v="0.95"/>
    <n v="0"/>
    <n v="0"/>
    <n v="0"/>
  </r>
  <r>
    <x v="0"/>
    <s v="2025-06-09 14:43:37"/>
    <n v="13"/>
    <x v="9"/>
    <x v="1"/>
    <x v="1"/>
    <n v="0"/>
    <n v="0"/>
    <s v="Unnamed Projectcutter.NumberSeizedTotal Number SeizedResource"/>
    <n v="15"/>
    <n v="0"/>
    <n v="0"/>
    <n v="0.95"/>
    <n v="0"/>
    <n v="0"/>
    <n v="0"/>
  </r>
  <r>
    <x v="0"/>
    <s v="2025-06-09 14:43:37"/>
    <n v="13"/>
    <x v="10"/>
    <x v="2"/>
    <x v="1"/>
    <n v="0"/>
    <n v="0"/>
    <s v="Unnamed Projectcutter.ScheduledUtilizationScheduled UtilizationResource"/>
    <n v="15"/>
    <n v="0"/>
    <n v="0"/>
    <n v="0.95"/>
    <n v="0"/>
    <n v="0"/>
    <n v="0"/>
  </r>
  <r>
    <x v="0"/>
    <s v="2025-06-09 14:43:37"/>
    <n v="13"/>
    <x v="11"/>
    <x v="1"/>
    <x v="1"/>
    <n v="0"/>
    <n v="0"/>
    <s v="Unnamed Projectfinalqcman.NumberSeizedTotal Number SeizedResource"/>
    <n v="15"/>
    <n v="0"/>
    <n v="0"/>
    <n v="0.95"/>
    <n v="0"/>
    <n v="0"/>
    <n v="0"/>
  </r>
  <r>
    <x v="0"/>
    <s v="2025-06-09 14:43:37"/>
    <n v="13"/>
    <x v="12"/>
    <x v="2"/>
    <x v="1"/>
    <n v="0"/>
    <n v="0"/>
    <s v="Unnamed Projectfinalqcman.ScheduledUtilizationScheduled UtilizationResource"/>
    <n v="15"/>
    <n v="0"/>
    <n v="0"/>
    <n v="0.95"/>
    <n v="0"/>
    <n v="0"/>
    <n v="0"/>
  </r>
  <r>
    <x v="0"/>
    <s v="2025-06-09 14:43:37"/>
    <n v="13"/>
    <x v="13"/>
    <x v="1"/>
    <x v="1"/>
    <n v="0"/>
    <n v="0"/>
    <s v="Unnamed Projectpaintingmachine.NumberSeizedTotal Number SeizedResource"/>
    <n v="15"/>
    <n v="0"/>
    <n v="0"/>
    <n v="0.95"/>
    <n v="0"/>
    <n v="0"/>
    <n v="0"/>
  </r>
  <r>
    <x v="0"/>
    <s v="2025-06-09 14:43:37"/>
    <n v="13"/>
    <x v="14"/>
    <x v="2"/>
    <x v="1"/>
    <n v="0"/>
    <n v="0"/>
    <s v="Unnamed Projectpaintingmachine.ScheduledUtilizationScheduled UtilizationResource"/>
    <n v="15"/>
    <n v="0"/>
    <n v="0"/>
    <n v="0.95"/>
    <n v="0"/>
    <n v="0"/>
    <n v="0"/>
  </r>
  <r>
    <x v="0"/>
    <s v="2025-06-09 14:43:37"/>
    <n v="13"/>
    <x v="15"/>
    <x v="1"/>
    <x v="1"/>
    <n v="0"/>
    <n v="0"/>
    <s v="Unnamed Projectpaintingoperator.NumberSeizedTotal Number SeizedResource"/>
    <n v="15"/>
    <n v="0"/>
    <n v="0"/>
    <n v="0.95"/>
    <n v="0"/>
    <n v="0"/>
    <n v="0"/>
  </r>
  <r>
    <x v="0"/>
    <s v="2025-06-09 14:43:37"/>
    <n v="13"/>
    <x v="16"/>
    <x v="2"/>
    <x v="1"/>
    <n v="0"/>
    <n v="0"/>
    <s v="Unnamed Projectpaintingoperator.ScheduledUtilizationScheduled UtilizationResource"/>
    <n v="15"/>
    <n v="0"/>
    <n v="0"/>
    <n v="0.95"/>
    <n v="0"/>
    <n v="0"/>
    <n v="0"/>
  </r>
  <r>
    <x v="0"/>
    <s v="2025-06-09 14:43:37"/>
    <n v="13"/>
    <x v="17"/>
    <x v="1"/>
    <x v="1"/>
    <n v="0"/>
    <n v="0"/>
    <s v="Unnamed Projectsandblastmachine.NumberSeizedTotal Number SeizedResource"/>
    <n v="15"/>
    <n v="0"/>
    <n v="0"/>
    <n v="0.95"/>
    <n v="0"/>
    <n v="0"/>
    <n v="0"/>
  </r>
  <r>
    <x v="0"/>
    <s v="2025-06-09 14:43:37"/>
    <n v="13"/>
    <x v="18"/>
    <x v="2"/>
    <x v="1"/>
    <n v="0"/>
    <n v="0"/>
    <s v="Unnamed Projectsandblastmachine.ScheduledUtilizationScheduled UtilizationResource"/>
    <n v="15"/>
    <n v="0"/>
    <n v="0"/>
    <n v="0.95"/>
    <n v="0"/>
    <n v="0"/>
    <n v="0"/>
  </r>
  <r>
    <x v="0"/>
    <s v="2025-06-09 14:43:37"/>
    <n v="13"/>
    <x v="19"/>
    <x v="1"/>
    <x v="1"/>
    <n v="0"/>
    <n v="0"/>
    <s v="Unnamed Projectsandblastoperator.NumberSeizedTotal Number SeizedResource"/>
    <n v="15"/>
    <n v="0"/>
    <n v="0"/>
    <n v="0.95"/>
    <n v="0"/>
    <n v="0"/>
    <n v="0"/>
  </r>
  <r>
    <x v="0"/>
    <s v="2025-06-09 14:43:37"/>
    <n v="13"/>
    <x v="20"/>
    <x v="2"/>
    <x v="1"/>
    <n v="0"/>
    <n v="0"/>
    <s v="Unnamed Projectsandblastoperator.ScheduledUtilizationScheduled UtilizationResource"/>
    <n v="15"/>
    <n v="0"/>
    <n v="0"/>
    <n v="0.95"/>
    <n v="0"/>
    <n v="0"/>
    <n v="0"/>
  </r>
  <r>
    <x v="0"/>
    <s v="2025-06-09 14:43:37"/>
    <n v="13"/>
    <x v="21"/>
    <x v="3"/>
    <x v="2"/>
    <n v="0"/>
    <n v="0"/>
    <s v="Unnamed Projectsteelsheet.NumberInNumber InEntity"/>
    <n v="15"/>
    <n v="0"/>
    <n v="0"/>
    <n v="0.95"/>
    <n v="0"/>
    <n v="0"/>
    <n v="0"/>
  </r>
  <r>
    <x v="0"/>
    <s v="2025-06-09 14:43:37"/>
    <n v="13"/>
    <x v="22"/>
    <x v="0"/>
    <x v="2"/>
    <n v="0"/>
    <n v="0"/>
    <s v="Unnamed Projectsteelsheet.NumberOutNumber OutEntity"/>
    <n v="15"/>
    <n v="0"/>
    <n v="0"/>
    <n v="0.95"/>
    <n v="0"/>
    <n v="0"/>
    <n v="0"/>
  </r>
  <r>
    <x v="0"/>
    <s v="2025-06-09 14:43:37"/>
    <n v="13"/>
    <x v="23"/>
    <x v="1"/>
    <x v="1"/>
    <n v="0"/>
    <n v="0"/>
    <s v="Unnamed Projectwelder.NumberSeizedTotal Number SeizedResource"/>
    <n v="15"/>
    <n v="0"/>
    <n v="0"/>
    <n v="0.95"/>
    <n v="0"/>
    <n v="0"/>
    <n v="0"/>
  </r>
  <r>
    <x v="0"/>
    <s v="2025-06-09 14:43:37"/>
    <n v="13"/>
    <x v="24"/>
    <x v="2"/>
    <x v="1"/>
    <n v="0"/>
    <n v="0"/>
    <s v="Unnamed Projectwelder.ScheduledUtilizationScheduled UtilizationResource"/>
    <n v="15"/>
    <n v="0"/>
    <n v="0"/>
    <n v="0.95"/>
    <n v="0"/>
    <n v="0"/>
    <n v="0"/>
  </r>
  <r>
    <x v="0"/>
    <s v="2025-06-09 14:43:37"/>
    <n v="13"/>
    <x v="25"/>
    <x v="1"/>
    <x v="1"/>
    <n v="0"/>
    <n v="0"/>
    <s v="Unnamed Projectweldingqcworker.NumberSeizedTotal Number SeizedResource"/>
    <n v="15"/>
    <n v="0"/>
    <n v="0"/>
    <n v="0.95"/>
    <n v="0"/>
    <n v="0"/>
    <n v="0"/>
  </r>
  <r>
    <x v="0"/>
    <s v="2025-06-09 14:43:37"/>
    <n v="13"/>
    <x v="26"/>
    <x v="2"/>
    <x v="1"/>
    <n v="0"/>
    <n v="0"/>
    <s v="Unnamed Projectweldingqcworker.ScheduledUtilizationScheduled UtilizationResource"/>
    <n v="15"/>
    <n v="0"/>
    <n v="0"/>
    <n v="0.95"/>
    <n v="0"/>
    <n v="0"/>
    <n v="0"/>
  </r>
  <r>
    <x v="0"/>
    <s v="2025-06-09 14:43:37"/>
    <n v="14"/>
    <x v="0"/>
    <x v="0"/>
    <x v="0"/>
    <n v="0"/>
    <n v="0"/>
    <s v="Unnamed ProjectSystem.NumberOutNumber OutSystem"/>
    <n v="15"/>
    <n v="0"/>
    <n v="0"/>
    <n v="0.95"/>
    <n v="0"/>
    <n v="0"/>
    <n v="0"/>
  </r>
  <r>
    <x v="0"/>
    <s v="2025-06-09 14:43:37"/>
    <n v="14"/>
    <x v="1"/>
    <x v="1"/>
    <x v="1"/>
    <n v="0"/>
    <n v="0"/>
    <s v="Unnamed Projectassembler.NumberSeizedTotal Number SeizedResource"/>
    <n v="15"/>
    <n v="0"/>
    <n v="0"/>
    <n v="0.95"/>
    <n v="0"/>
    <n v="0"/>
    <n v="0"/>
  </r>
  <r>
    <x v="0"/>
    <s v="2025-06-09 14:43:37"/>
    <n v="14"/>
    <x v="2"/>
    <x v="2"/>
    <x v="1"/>
    <n v="0"/>
    <n v="0"/>
    <s v="Unnamed Projectassembler.ScheduledUtilizationScheduled UtilizationResource"/>
    <n v="15"/>
    <n v="0"/>
    <n v="0"/>
    <n v="0.95"/>
    <n v="0"/>
    <n v="0"/>
    <n v="0"/>
  </r>
  <r>
    <x v="0"/>
    <s v="2025-06-09 14:43:37"/>
    <n v="14"/>
    <x v="3"/>
    <x v="1"/>
    <x v="1"/>
    <n v="0"/>
    <n v="0"/>
    <s v="Unnamed Projectassemblyqcworker.NumberSeizedTotal Number SeizedResource"/>
    <n v="15"/>
    <n v="0"/>
    <n v="0"/>
    <n v="0.95"/>
    <n v="0"/>
    <n v="0"/>
    <n v="0"/>
  </r>
  <r>
    <x v="0"/>
    <s v="2025-06-09 14:43:37"/>
    <n v="14"/>
    <x v="4"/>
    <x v="2"/>
    <x v="1"/>
    <n v="0"/>
    <n v="0"/>
    <s v="Unnamed Projectassemblyqcworker.ScheduledUtilizationScheduled UtilizationResource"/>
    <n v="15"/>
    <n v="0"/>
    <n v="0"/>
    <n v="0.95"/>
    <n v="0"/>
    <n v="0"/>
    <n v="0"/>
  </r>
  <r>
    <x v="0"/>
    <s v="2025-06-09 14:43:37"/>
    <n v="14"/>
    <x v="5"/>
    <x v="3"/>
    <x v="2"/>
    <n v="0"/>
    <n v="0"/>
    <s v="Unnamed Projectbatched_parts.NumberInNumber InEntity"/>
    <n v="15"/>
    <n v="0"/>
    <n v="0"/>
    <n v="0.95"/>
    <n v="0"/>
    <n v="0"/>
    <n v="0"/>
  </r>
  <r>
    <x v="0"/>
    <s v="2025-06-09 14:43:37"/>
    <n v="14"/>
    <x v="6"/>
    <x v="0"/>
    <x v="2"/>
    <n v="0"/>
    <n v="0"/>
    <s v="Unnamed Projectbatched_parts.NumberOutNumber OutEntity"/>
    <n v="15"/>
    <n v="0"/>
    <n v="0"/>
    <n v="0.95"/>
    <n v="0"/>
    <n v="0"/>
    <n v="0"/>
  </r>
  <r>
    <x v="0"/>
    <s v="2025-06-09 14:43:37"/>
    <n v="14"/>
    <x v="7"/>
    <x v="1"/>
    <x v="1"/>
    <n v="0"/>
    <n v="0"/>
    <s v="Unnamed Projectcleaner.NumberSeizedTotal Number SeizedResource"/>
    <n v="15"/>
    <n v="0"/>
    <n v="0"/>
    <n v="0.95"/>
    <n v="0"/>
    <n v="0"/>
    <n v="0"/>
  </r>
  <r>
    <x v="0"/>
    <s v="2025-06-09 14:43:37"/>
    <n v="14"/>
    <x v="8"/>
    <x v="2"/>
    <x v="1"/>
    <n v="0"/>
    <n v="0"/>
    <s v="Unnamed Projectcleaner.ScheduledUtilizationScheduled UtilizationResource"/>
    <n v="15"/>
    <n v="0"/>
    <n v="0"/>
    <n v="0.95"/>
    <n v="0"/>
    <n v="0"/>
    <n v="0"/>
  </r>
  <r>
    <x v="0"/>
    <s v="2025-06-09 14:43:37"/>
    <n v="14"/>
    <x v="9"/>
    <x v="1"/>
    <x v="1"/>
    <n v="0"/>
    <n v="0"/>
    <s v="Unnamed Projectcutter.NumberSeizedTotal Number SeizedResource"/>
    <n v="15"/>
    <n v="0"/>
    <n v="0"/>
    <n v="0.95"/>
    <n v="0"/>
    <n v="0"/>
    <n v="0"/>
  </r>
  <r>
    <x v="0"/>
    <s v="2025-06-09 14:43:37"/>
    <n v="14"/>
    <x v="10"/>
    <x v="2"/>
    <x v="1"/>
    <n v="0"/>
    <n v="0"/>
    <s v="Unnamed Projectcutter.ScheduledUtilizationScheduled UtilizationResource"/>
    <n v="15"/>
    <n v="0"/>
    <n v="0"/>
    <n v="0.95"/>
    <n v="0"/>
    <n v="0"/>
    <n v="0"/>
  </r>
  <r>
    <x v="0"/>
    <s v="2025-06-09 14:43:37"/>
    <n v="14"/>
    <x v="11"/>
    <x v="1"/>
    <x v="1"/>
    <n v="0"/>
    <n v="0"/>
    <s v="Unnamed Projectfinalqcman.NumberSeizedTotal Number SeizedResource"/>
    <n v="15"/>
    <n v="0"/>
    <n v="0"/>
    <n v="0.95"/>
    <n v="0"/>
    <n v="0"/>
    <n v="0"/>
  </r>
  <r>
    <x v="0"/>
    <s v="2025-06-09 14:43:37"/>
    <n v="14"/>
    <x v="12"/>
    <x v="2"/>
    <x v="1"/>
    <n v="0"/>
    <n v="0"/>
    <s v="Unnamed Projectfinalqcman.ScheduledUtilizationScheduled UtilizationResource"/>
    <n v="15"/>
    <n v="0"/>
    <n v="0"/>
    <n v="0.95"/>
    <n v="0"/>
    <n v="0"/>
    <n v="0"/>
  </r>
  <r>
    <x v="0"/>
    <s v="2025-06-09 14:43:37"/>
    <n v="14"/>
    <x v="13"/>
    <x v="1"/>
    <x v="1"/>
    <n v="0"/>
    <n v="0"/>
    <s v="Unnamed Projectpaintingmachine.NumberSeizedTotal Number SeizedResource"/>
    <n v="15"/>
    <n v="0"/>
    <n v="0"/>
    <n v="0.95"/>
    <n v="0"/>
    <n v="0"/>
    <n v="0"/>
  </r>
  <r>
    <x v="0"/>
    <s v="2025-06-09 14:43:37"/>
    <n v="14"/>
    <x v="14"/>
    <x v="2"/>
    <x v="1"/>
    <n v="0"/>
    <n v="0"/>
    <s v="Unnamed Projectpaintingmachine.ScheduledUtilizationScheduled UtilizationResource"/>
    <n v="15"/>
    <n v="0"/>
    <n v="0"/>
    <n v="0.95"/>
    <n v="0"/>
    <n v="0"/>
    <n v="0"/>
  </r>
  <r>
    <x v="0"/>
    <s v="2025-06-09 14:43:37"/>
    <n v="14"/>
    <x v="15"/>
    <x v="1"/>
    <x v="1"/>
    <n v="0"/>
    <n v="0"/>
    <s v="Unnamed Projectpaintingoperator.NumberSeizedTotal Number SeizedResource"/>
    <n v="15"/>
    <n v="0"/>
    <n v="0"/>
    <n v="0.95"/>
    <n v="0"/>
    <n v="0"/>
    <n v="0"/>
  </r>
  <r>
    <x v="0"/>
    <s v="2025-06-09 14:43:37"/>
    <n v="14"/>
    <x v="16"/>
    <x v="2"/>
    <x v="1"/>
    <n v="0"/>
    <n v="0"/>
    <s v="Unnamed Projectpaintingoperator.ScheduledUtilizationScheduled UtilizationResource"/>
    <n v="15"/>
    <n v="0"/>
    <n v="0"/>
    <n v="0.95"/>
    <n v="0"/>
    <n v="0"/>
    <n v="0"/>
  </r>
  <r>
    <x v="0"/>
    <s v="2025-06-09 14:43:37"/>
    <n v="14"/>
    <x v="17"/>
    <x v="1"/>
    <x v="1"/>
    <n v="0"/>
    <n v="0"/>
    <s v="Unnamed Projectsandblastmachine.NumberSeizedTotal Number SeizedResource"/>
    <n v="15"/>
    <n v="0"/>
    <n v="0"/>
    <n v="0.95"/>
    <n v="0"/>
    <n v="0"/>
    <n v="0"/>
  </r>
  <r>
    <x v="0"/>
    <s v="2025-06-09 14:43:37"/>
    <n v="14"/>
    <x v="18"/>
    <x v="2"/>
    <x v="1"/>
    <n v="0"/>
    <n v="0"/>
    <s v="Unnamed Projectsandblastmachine.ScheduledUtilizationScheduled UtilizationResource"/>
    <n v="15"/>
    <n v="0"/>
    <n v="0"/>
    <n v="0.95"/>
    <n v="0"/>
    <n v="0"/>
    <n v="0"/>
  </r>
  <r>
    <x v="0"/>
    <s v="2025-06-09 14:43:37"/>
    <n v="14"/>
    <x v="19"/>
    <x v="1"/>
    <x v="1"/>
    <n v="0"/>
    <n v="0"/>
    <s v="Unnamed Projectsandblastoperator.NumberSeizedTotal Number SeizedResource"/>
    <n v="15"/>
    <n v="0"/>
    <n v="0"/>
    <n v="0.95"/>
    <n v="0"/>
    <n v="0"/>
    <n v="0"/>
  </r>
  <r>
    <x v="0"/>
    <s v="2025-06-09 14:43:37"/>
    <n v="14"/>
    <x v="20"/>
    <x v="2"/>
    <x v="1"/>
    <n v="0"/>
    <n v="0"/>
    <s v="Unnamed Projectsandblastoperator.ScheduledUtilizationScheduled UtilizationResource"/>
    <n v="15"/>
    <n v="0"/>
    <n v="0"/>
    <n v="0.95"/>
    <n v="0"/>
    <n v="0"/>
    <n v="0"/>
  </r>
  <r>
    <x v="0"/>
    <s v="2025-06-09 14:43:37"/>
    <n v="14"/>
    <x v="21"/>
    <x v="3"/>
    <x v="2"/>
    <n v="0"/>
    <n v="0"/>
    <s v="Unnamed Projectsteelsheet.NumberInNumber InEntity"/>
    <n v="15"/>
    <n v="0"/>
    <n v="0"/>
    <n v="0.95"/>
    <n v="0"/>
    <n v="0"/>
    <n v="0"/>
  </r>
  <r>
    <x v="0"/>
    <s v="2025-06-09 14:43:37"/>
    <n v="14"/>
    <x v="22"/>
    <x v="0"/>
    <x v="2"/>
    <n v="0"/>
    <n v="0"/>
    <s v="Unnamed Projectsteelsheet.NumberOutNumber OutEntity"/>
    <n v="15"/>
    <n v="0"/>
    <n v="0"/>
    <n v="0.95"/>
    <n v="0"/>
    <n v="0"/>
    <n v="0"/>
  </r>
  <r>
    <x v="0"/>
    <s v="2025-06-09 14:43:37"/>
    <n v="14"/>
    <x v="23"/>
    <x v="1"/>
    <x v="1"/>
    <n v="0"/>
    <n v="0"/>
    <s v="Unnamed Projectwelder.NumberSeizedTotal Number SeizedResource"/>
    <n v="15"/>
    <n v="0"/>
    <n v="0"/>
    <n v="0.95"/>
    <n v="0"/>
    <n v="0"/>
    <n v="0"/>
  </r>
  <r>
    <x v="0"/>
    <s v="2025-06-09 14:43:37"/>
    <n v="14"/>
    <x v="24"/>
    <x v="2"/>
    <x v="1"/>
    <n v="0"/>
    <n v="0"/>
    <s v="Unnamed Projectwelder.ScheduledUtilizationScheduled UtilizationResource"/>
    <n v="15"/>
    <n v="0"/>
    <n v="0"/>
    <n v="0.95"/>
    <n v="0"/>
    <n v="0"/>
    <n v="0"/>
  </r>
  <r>
    <x v="0"/>
    <s v="2025-06-09 14:43:37"/>
    <n v="14"/>
    <x v="25"/>
    <x v="1"/>
    <x v="1"/>
    <n v="0"/>
    <n v="0"/>
    <s v="Unnamed Projectweldingqcworker.NumberSeizedTotal Number SeizedResource"/>
    <n v="15"/>
    <n v="0"/>
    <n v="0"/>
    <n v="0.95"/>
    <n v="0"/>
    <n v="0"/>
    <n v="0"/>
  </r>
  <r>
    <x v="0"/>
    <s v="2025-06-09 14:43:37"/>
    <n v="14"/>
    <x v="26"/>
    <x v="2"/>
    <x v="1"/>
    <n v="0"/>
    <n v="0"/>
    <s v="Unnamed Projectweldingqcworker.ScheduledUtilizationScheduled UtilizationResource"/>
    <n v="15"/>
    <n v="0"/>
    <n v="0"/>
    <n v="0.95"/>
    <n v="0"/>
    <n v="0"/>
    <n v="0"/>
  </r>
  <r>
    <x v="0"/>
    <s v="2025-06-09 14:43:37"/>
    <n v="15"/>
    <x v="0"/>
    <x v="0"/>
    <x v="0"/>
    <n v="0"/>
    <n v="0"/>
    <s v="Unnamed ProjectSystem.NumberOutNumber OutSystem"/>
    <n v="15"/>
    <n v="0"/>
    <n v="0"/>
    <n v="0.95"/>
    <n v="0"/>
    <n v="0"/>
    <n v="0"/>
  </r>
  <r>
    <x v="0"/>
    <s v="2025-06-09 14:43:37"/>
    <n v="15"/>
    <x v="1"/>
    <x v="1"/>
    <x v="1"/>
    <n v="0"/>
    <n v="0"/>
    <s v="Unnamed Projectassembler.NumberSeizedTotal Number SeizedResource"/>
    <n v="15"/>
    <n v="0"/>
    <n v="0"/>
    <n v="0.95"/>
    <n v="0"/>
    <n v="0"/>
    <n v="0"/>
  </r>
  <r>
    <x v="0"/>
    <s v="2025-06-09 14:43:37"/>
    <n v="15"/>
    <x v="2"/>
    <x v="2"/>
    <x v="1"/>
    <n v="0"/>
    <n v="0"/>
    <s v="Unnamed Projectassembler.ScheduledUtilizationScheduled UtilizationResource"/>
    <n v="15"/>
    <n v="0"/>
    <n v="0"/>
    <n v="0.95"/>
    <n v="0"/>
    <n v="0"/>
    <n v="0"/>
  </r>
  <r>
    <x v="0"/>
    <s v="2025-06-09 14:43:37"/>
    <n v="15"/>
    <x v="3"/>
    <x v="1"/>
    <x v="1"/>
    <n v="0"/>
    <n v="0"/>
    <s v="Unnamed Projectassemblyqcworker.NumberSeizedTotal Number SeizedResource"/>
    <n v="15"/>
    <n v="0"/>
    <n v="0"/>
    <n v="0.95"/>
    <n v="0"/>
    <n v="0"/>
    <n v="0"/>
  </r>
  <r>
    <x v="0"/>
    <s v="2025-06-09 14:43:37"/>
    <n v="15"/>
    <x v="4"/>
    <x v="2"/>
    <x v="1"/>
    <n v="0"/>
    <n v="0"/>
    <s v="Unnamed Projectassemblyqcworker.ScheduledUtilizationScheduled UtilizationResource"/>
    <n v="15"/>
    <n v="0"/>
    <n v="0"/>
    <n v="0.95"/>
    <n v="0"/>
    <n v="0"/>
    <n v="0"/>
  </r>
  <r>
    <x v="0"/>
    <s v="2025-06-09 14:43:37"/>
    <n v="15"/>
    <x v="5"/>
    <x v="3"/>
    <x v="2"/>
    <n v="0"/>
    <n v="0"/>
    <s v="Unnamed Projectbatched_parts.NumberInNumber InEntity"/>
    <n v="15"/>
    <n v="0"/>
    <n v="0"/>
    <n v="0.95"/>
    <n v="0"/>
    <n v="0"/>
    <n v="0"/>
  </r>
  <r>
    <x v="0"/>
    <s v="2025-06-09 14:43:37"/>
    <n v="15"/>
    <x v="6"/>
    <x v="0"/>
    <x v="2"/>
    <n v="0"/>
    <n v="0"/>
    <s v="Unnamed Projectbatched_parts.NumberOutNumber OutEntity"/>
    <n v="15"/>
    <n v="0"/>
    <n v="0"/>
    <n v="0.95"/>
    <n v="0"/>
    <n v="0"/>
    <n v="0"/>
  </r>
  <r>
    <x v="0"/>
    <s v="2025-06-09 14:43:37"/>
    <n v="15"/>
    <x v="7"/>
    <x v="1"/>
    <x v="1"/>
    <n v="0"/>
    <n v="0"/>
    <s v="Unnamed Projectcleaner.NumberSeizedTotal Number SeizedResource"/>
    <n v="15"/>
    <n v="0"/>
    <n v="0"/>
    <n v="0.95"/>
    <n v="0"/>
    <n v="0"/>
    <n v="0"/>
  </r>
  <r>
    <x v="0"/>
    <s v="2025-06-09 14:43:37"/>
    <n v="15"/>
    <x v="8"/>
    <x v="2"/>
    <x v="1"/>
    <n v="0"/>
    <n v="0"/>
    <s v="Unnamed Projectcleaner.ScheduledUtilizationScheduled UtilizationResource"/>
    <n v="15"/>
    <n v="0"/>
    <n v="0"/>
    <n v="0.95"/>
    <n v="0"/>
    <n v="0"/>
    <n v="0"/>
  </r>
  <r>
    <x v="0"/>
    <s v="2025-06-09 14:43:37"/>
    <n v="15"/>
    <x v="9"/>
    <x v="1"/>
    <x v="1"/>
    <n v="0"/>
    <n v="0"/>
    <s v="Unnamed Projectcutter.NumberSeizedTotal Number SeizedResource"/>
    <n v="15"/>
    <n v="0"/>
    <n v="0"/>
    <n v="0.95"/>
    <n v="0"/>
    <n v="0"/>
    <n v="0"/>
  </r>
  <r>
    <x v="0"/>
    <s v="2025-06-09 14:43:37"/>
    <n v="15"/>
    <x v="10"/>
    <x v="2"/>
    <x v="1"/>
    <n v="0"/>
    <n v="0"/>
    <s v="Unnamed Projectcutter.ScheduledUtilizationScheduled UtilizationResource"/>
    <n v="15"/>
    <n v="0"/>
    <n v="0"/>
    <n v="0.95"/>
    <n v="0"/>
    <n v="0"/>
    <n v="0"/>
  </r>
  <r>
    <x v="0"/>
    <s v="2025-06-09 14:43:37"/>
    <n v="15"/>
    <x v="11"/>
    <x v="1"/>
    <x v="1"/>
    <n v="0"/>
    <n v="0"/>
    <s v="Unnamed Projectfinalqcman.NumberSeizedTotal Number SeizedResource"/>
    <n v="15"/>
    <n v="0"/>
    <n v="0"/>
    <n v="0.95"/>
    <n v="0"/>
    <n v="0"/>
    <n v="0"/>
  </r>
  <r>
    <x v="0"/>
    <s v="2025-06-09 14:43:37"/>
    <n v="15"/>
    <x v="12"/>
    <x v="2"/>
    <x v="1"/>
    <n v="0"/>
    <n v="0"/>
    <s v="Unnamed Projectfinalqcman.ScheduledUtilizationScheduled UtilizationResource"/>
    <n v="15"/>
    <n v="0"/>
    <n v="0"/>
    <n v="0.95"/>
    <n v="0"/>
    <n v="0"/>
    <n v="0"/>
  </r>
  <r>
    <x v="0"/>
    <s v="2025-06-09 14:43:37"/>
    <n v="15"/>
    <x v="13"/>
    <x v="1"/>
    <x v="1"/>
    <n v="0"/>
    <n v="0"/>
    <s v="Unnamed Projectpaintingmachine.NumberSeizedTotal Number SeizedResource"/>
    <n v="15"/>
    <n v="0"/>
    <n v="0"/>
    <n v="0.95"/>
    <n v="0"/>
    <n v="0"/>
    <n v="0"/>
  </r>
  <r>
    <x v="0"/>
    <s v="2025-06-09 14:43:37"/>
    <n v="15"/>
    <x v="14"/>
    <x v="2"/>
    <x v="1"/>
    <n v="0"/>
    <n v="0"/>
    <s v="Unnamed Projectpaintingmachine.ScheduledUtilizationScheduled UtilizationResource"/>
    <n v="15"/>
    <n v="0"/>
    <n v="0"/>
    <n v="0.95"/>
    <n v="0"/>
    <n v="0"/>
    <n v="0"/>
  </r>
  <r>
    <x v="0"/>
    <s v="2025-06-09 14:43:37"/>
    <n v="15"/>
    <x v="15"/>
    <x v="1"/>
    <x v="1"/>
    <n v="0"/>
    <n v="0"/>
    <s v="Unnamed Projectpaintingoperator.NumberSeizedTotal Number SeizedResource"/>
    <n v="15"/>
    <n v="0"/>
    <n v="0"/>
    <n v="0.95"/>
    <n v="0"/>
    <n v="0"/>
    <n v="0"/>
  </r>
  <r>
    <x v="0"/>
    <s v="2025-06-09 14:43:37"/>
    <n v="15"/>
    <x v="16"/>
    <x v="2"/>
    <x v="1"/>
    <n v="0"/>
    <n v="0"/>
    <s v="Unnamed Projectpaintingoperator.ScheduledUtilizationScheduled UtilizationResource"/>
    <n v="15"/>
    <n v="0"/>
    <n v="0"/>
    <n v="0.95"/>
    <n v="0"/>
    <n v="0"/>
    <n v="0"/>
  </r>
  <r>
    <x v="0"/>
    <s v="2025-06-09 14:43:37"/>
    <n v="15"/>
    <x v="17"/>
    <x v="1"/>
    <x v="1"/>
    <n v="0"/>
    <n v="0"/>
    <s v="Unnamed Projectsandblastmachine.NumberSeizedTotal Number SeizedResource"/>
    <n v="15"/>
    <n v="0"/>
    <n v="0"/>
    <n v="0.95"/>
    <n v="0"/>
    <n v="0"/>
    <n v="0"/>
  </r>
  <r>
    <x v="0"/>
    <s v="2025-06-09 14:43:37"/>
    <n v="15"/>
    <x v="18"/>
    <x v="2"/>
    <x v="1"/>
    <n v="0"/>
    <n v="0"/>
    <s v="Unnamed Projectsandblastmachine.ScheduledUtilizationScheduled UtilizationResource"/>
    <n v="15"/>
    <n v="0"/>
    <n v="0"/>
    <n v="0.95"/>
    <n v="0"/>
    <n v="0"/>
    <n v="0"/>
  </r>
  <r>
    <x v="0"/>
    <s v="2025-06-09 14:43:37"/>
    <n v="15"/>
    <x v="19"/>
    <x v="1"/>
    <x v="1"/>
    <n v="0"/>
    <n v="0"/>
    <s v="Unnamed Projectsandblastoperator.NumberSeizedTotal Number SeizedResource"/>
    <n v="15"/>
    <n v="0"/>
    <n v="0"/>
    <n v="0.95"/>
    <n v="0"/>
    <n v="0"/>
    <n v="0"/>
  </r>
  <r>
    <x v="0"/>
    <s v="2025-06-09 14:43:37"/>
    <n v="15"/>
    <x v="20"/>
    <x v="2"/>
    <x v="1"/>
    <n v="0"/>
    <n v="0"/>
    <s v="Unnamed Projectsandblastoperator.ScheduledUtilizationScheduled UtilizationResource"/>
    <n v="15"/>
    <n v="0"/>
    <n v="0"/>
    <n v="0.95"/>
    <n v="0"/>
    <n v="0"/>
    <n v="0"/>
  </r>
  <r>
    <x v="0"/>
    <s v="2025-06-09 14:43:37"/>
    <n v="15"/>
    <x v="21"/>
    <x v="3"/>
    <x v="2"/>
    <n v="0"/>
    <n v="0"/>
    <s v="Unnamed Projectsteelsheet.NumberInNumber InEntity"/>
    <n v="15"/>
    <n v="0"/>
    <n v="0"/>
    <n v="0.95"/>
    <n v="0"/>
    <n v="0"/>
    <n v="0"/>
  </r>
  <r>
    <x v="0"/>
    <s v="2025-06-09 14:43:37"/>
    <n v="15"/>
    <x v="22"/>
    <x v="0"/>
    <x v="2"/>
    <n v="0"/>
    <n v="0"/>
    <s v="Unnamed Projectsteelsheet.NumberOutNumber OutEntity"/>
    <n v="15"/>
    <n v="0"/>
    <n v="0"/>
    <n v="0.95"/>
    <n v="0"/>
    <n v="0"/>
    <n v="0"/>
  </r>
  <r>
    <x v="0"/>
    <s v="2025-06-09 14:43:37"/>
    <n v="15"/>
    <x v="23"/>
    <x v="1"/>
    <x v="1"/>
    <n v="0"/>
    <n v="0"/>
    <s v="Unnamed Projectwelder.NumberSeizedTotal Number SeizedResource"/>
    <n v="15"/>
    <n v="0"/>
    <n v="0"/>
    <n v="0.95"/>
    <n v="0"/>
    <n v="0"/>
    <n v="0"/>
  </r>
  <r>
    <x v="0"/>
    <s v="2025-06-09 14:43:37"/>
    <n v="15"/>
    <x v="24"/>
    <x v="2"/>
    <x v="1"/>
    <n v="0"/>
    <n v="0"/>
    <s v="Unnamed Projectwelder.ScheduledUtilizationScheduled UtilizationResource"/>
    <n v="15"/>
    <n v="0"/>
    <n v="0"/>
    <n v="0.95"/>
    <n v="0"/>
    <n v="0"/>
    <n v="0"/>
  </r>
  <r>
    <x v="0"/>
    <s v="2025-06-09 14:43:37"/>
    <n v="15"/>
    <x v="25"/>
    <x v="1"/>
    <x v="1"/>
    <n v="0"/>
    <n v="0"/>
    <s v="Unnamed Projectweldingqcworker.NumberSeizedTotal Number SeizedResource"/>
    <n v="15"/>
    <n v="0"/>
    <n v="0"/>
    <n v="0.95"/>
    <n v="0"/>
    <n v="0"/>
    <n v="0"/>
  </r>
  <r>
    <x v="0"/>
    <s v="2025-06-09 14:43:37"/>
    <n v="15"/>
    <x v="26"/>
    <x v="2"/>
    <x v="1"/>
    <n v="0"/>
    <n v="0"/>
    <s v="Unnamed Projectweldingqcworker.ScheduledUtilizationScheduled UtilizationResource"/>
    <n v="15"/>
    <n v="0"/>
    <n v="0"/>
    <n v="0.95"/>
    <n v="0"/>
    <n v="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75">
  <r>
    <x v="0"/>
    <s v="2025-06-09 14:43:37"/>
    <n v="1"/>
    <x v="0"/>
    <x v="0"/>
    <x v="0"/>
    <n v="0"/>
    <s v="Unnamed Projectnum_cleanedCountUser Specified"/>
    <n v="15"/>
    <n v="0"/>
    <n v="0"/>
    <n v="0.95"/>
    <n v="0"/>
    <n v="0"/>
    <n v="0"/>
  </r>
  <r>
    <x v="0"/>
    <s v="2025-06-09 14:43:37"/>
    <n v="1"/>
    <x v="1"/>
    <x v="0"/>
    <x v="0"/>
    <n v="0"/>
    <s v="Unnamed ProjectpaintedCountUser Specified"/>
    <n v="15"/>
    <n v="0"/>
    <n v="0"/>
    <n v="0.95"/>
    <n v="0"/>
    <n v="0"/>
    <n v="0"/>
  </r>
  <r>
    <x v="0"/>
    <s v="2025-06-09 14:43:37"/>
    <n v="1"/>
    <x v="2"/>
    <x v="0"/>
    <x v="0"/>
    <n v="0"/>
    <s v="Unnamed ProjectqcapprovedCountUser Specified"/>
    <n v="15"/>
    <n v="0"/>
    <n v="0"/>
    <n v="0.95"/>
    <n v="0"/>
    <n v="0"/>
    <n v="0"/>
  </r>
  <r>
    <x v="0"/>
    <s v="2025-06-09 14:43:37"/>
    <n v="1"/>
    <x v="3"/>
    <x v="0"/>
    <x v="0"/>
    <n v="0"/>
    <s v="Unnamed ProjectsandblastedCountUser Specified"/>
    <n v="15"/>
    <n v="0"/>
    <n v="0"/>
    <n v="0.95"/>
    <n v="0"/>
    <n v="0"/>
    <n v="0"/>
  </r>
  <r>
    <x v="0"/>
    <s v="2025-06-09 14:43:37"/>
    <n v="1"/>
    <x v="4"/>
    <x v="0"/>
    <x v="0"/>
    <n v="0"/>
    <s v="Unnamed Projectsteel_arrivalsCountUser Specified"/>
    <n v="15"/>
    <n v="0"/>
    <n v="0"/>
    <n v="0.95"/>
    <n v="0"/>
    <n v="0"/>
    <n v="0"/>
  </r>
  <r>
    <x v="0"/>
    <s v="2025-06-09 14:43:37"/>
    <n v="2"/>
    <x v="0"/>
    <x v="0"/>
    <x v="0"/>
    <n v="0"/>
    <s v="Unnamed Projectnum_cleanedCountUser Specified"/>
    <n v="15"/>
    <n v="0"/>
    <n v="0"/>
    <n v="0.95"/>
    <n v="0"/>
    <n v="0"/>
    <n v="0"/>
  </r>
  <r>
    <x v="0"/>
    <s v="2025-06-09 14:43:37"/>
    <n v="2"/>
    <x v="1"/>
    <x v="0"/>
    <x v="0"/>
    <n v="0"/>
    <s v="Unnamed ProjectpaintedCountUser Specified"/>
    <n v="15"/>
    <n v="0"/>
    <n v="0"/>
    <n v="0.95"/>
    <n v="0"/>
    <n v="0"/>
    <n v="0"/>
  </r>
  <r>
    <x v="0"/>
    <s v="2025-06-09 14:43:37"/>
    <n v="2"/>
    <x v="2"/>
    <x v="0"/>
    <x v="0"/>
    <n v="0"/>
    <s v="Unnamed ProjectqcapprovedCountUser Specified"/>
    <n v="15"/>
    <n v="0"/>
    <n v="0"/>
    <n v="0.95"/>
    <n v="0"/>
    <n v="0"/>
    <n v="0"/>
  </r>
  <r>
    <x v="0"/>
    <s v="2025-06-09 14:43:37"/>
    <n v="2"/>
    <x v="3"/>
    <x v="0"/>
    <x v="0"/>
    <n v="0"/>
    <s v="Unnamed ProjectsandblastedCountUser Specified"/>
    <n v="15"/>
    <n v="0"/>
    <n v="0"/>
    <n v="0.95"/>
    <n v="0"/>
    <n v="0"/>
    <n v="0"/>
  </r>
  <r>
    <x v="0"/>
    <s v="2025-06-09 14:43:37"/>
    <n v="2"/>
    <x v="4"/>
    <x v="0"/>
    <x v="0"/>
    <n v="0"/>
    <s v="Unnamed Projectsteel_arrivalsCountUser Specified"/>
    <n v="15"/>
    <n v="0"/>
    <n v="0"/>
    <n v="0.95"/>
    <n v="0"/>
    <n v="0"/>
    <n v="0"/>
  </r>
  <r>
    <x v="0"/>
    <s v="2025-06-09 14:43:37"/>
    <n v="3"/>
    <x v="0"/>
    <x v="0"/>
    <x v="0"/>
    <n v="0"/>
    <s v="Unnamed Projectnum_cleanedCountUser Specified"/>
    <n v="15"/>
    <n v="0"/>
    <n v="0"/>
    <n v="0.95"/>
    <n v="0"/>
    <n v="0"/>
    <n v="0"/>
  </r>
  <r>
    <x v="0"/>
    <s v="2025-06-09 14:43:37"/>
    <n v="3"/>
    <x v="1"/>
    <x v="0"/>
    <x v="0"/>
    <n v="0"/>
    <s v="Unnamed ProjectpaintedCountUser Specified"/>
    <n v="15"/>
    <n v="0"/>
    <n v="0"/>
    <n v="0.95"/>
    <n v="0"/>
    <n v="0"/>
    <n v="0"/>
  </r>
  <r>
    <x v="0"/>
    <s v="2025-06-09 14:43:37"/>
    <n v="3"/>
    <x v="2"/>
    <x v="0"/>
    <x v="0"/>
    <n v="0"/>
    <s v="Unnamed ProjectqcapprovedCountUser Specified"/>
    <n v="15"/>
    <n v="0"/>
    <n v="0"/>
    <n v="0.95"/>
    <n v="0"/>
    <n v="0"/>
    <n v="0"/>
  </r>
  <r>
    <x v="0"/>
    <s v="2025-06-09 14:43:37"/>
    <n v="3"/>
    <x v="3"/>
    <x v="0"/>
    <x v="0"/>
    <n v="0"/>
    <s v="Unnamed ProjectsandblastedCountUser Specified"/>
    <n v="15"/>
    <n v="0"/>
    <n v="0"/>
    <n v="0.95"/>
    <n v="0"/>
    <n v="0"/>
    <n v="0"/>
  </r>
  <r>
    <x v="0"/>
    <s v="2025-06-09 14:43:37"/>
    <n v="3"/>
    <x v="4"/>
    <x v="0"/>
    <x v="0"/>
    <n v="0"/>
    <s v="Unnamed Projectsteel_arrivalsCountUser Specified"/>
    <n v="15"/>
    <n v="0"/>
    <n v="0"/>
    <n v="0.95"/>
    <n v="0"/>
    <n v="0"/>
    <n v="0"/>
  </r>
  <r>
    <x v="0"/>
    <s v="2025-06-09 14:43:37"/>
    <n v="4"/>
    <x v="0"/>
    <x v="0"/>
    <x v="0"/>
    <n v="0"/>
    <s v="Unnamed Projectnum_cleanedCountUser Specified"/>
    <n v="15"/>
    <n v="0"/>
    <n v="0"/>
    <n v="0.95"/>
    <n v="0"/>
    <n v="0"/>
    <n v="0"/>
  </r>
  <r>
    <x v="0"/>
    <s v="2025-06-09 14:43:37"/>
    <n v="4"/>
    <x v="1"/>
    <x v="0"/>
    <x v="0"/>
    <n v="0"/>
    <s v="Unnamed ProjectpaintedCountUser Specified"/>
    <n v="15"/>
    <n v="0"/>
    <n v="0"/>
    <n v="0.95"/>
    <n v="0"/>
    <n v="0"/>
    <n v="0"/>
  </r>
  <r>
    <x v="0"/>
    <s v="2025-06-09 14:43:37"/>
    <n v="4"/>
    <x v="2"/>
    <x v="0"/>
    <x v="0"/>
    <n v="0"/>
    <s v="Unnamed ProjectqcapprovedCountUser Specified"/>
    <n v="15"/>
    <n v="0"/>
    <n v="0"/>
    <n v="0.95"/>
    <n v="0"/>
    <n v="0"/>
    <n v="0"/>
  </r>
  <r>
    <x v="0"/>
    <s v="2025-06-09 14:43:37"/>
    <n v="4"/>
    <x v="3"/>
    <x v="0"/>
    <x v="0"/>
    <n v="0"/>
    <s v="Unnamed ProjectsandblastedCountUser Specified"/>
    <n v="15"/>
    <n v="0"/>
    <n v="0"/>
    <n v="0.95"/>
    <n v="0"/>
    <n v="0"/>
    <n v="0"/>
  </r>
  <r>
    <x v="0"/>
    <s v="2025-06-09 14:43:37"/>
    <n v="4"/>
    <x v="4"/>
    <x v="0"/>
    <x v="0"/>
    <n v="0"/>
    <s v="Unnamed Projectsteel_arrivalsCountUser Specified"/>
    <n v="15"/>
    <n v="0"/>
    <n v="0"/>
    <n v="0.95"/>
    <n v="0"/>
    <n v="0"/>
    <n v="0"/>
  </r>
  <r>
    <x v="0"/>
    <s v="2025-06-09 14:43:37"/>
    <n v="5"/>
    <x v="0"/>
    <x v="0"/>
    <x v="0"/>
    <n v="0"/>
    <s v="Unnamed Projectnum_cleanedCountUser Specified"/>
    <n v="15"/>
    <n v="0"/>
    <n v="0"/>
    <n v="0.95"/>
    <n v="0"/>
    <n v="0"/>
    <n v="0"/>
  </r>
  <r>
    <x v="0"/>
    <s v="2025-06-09 14:43:37"/>
    <n v="5"/>
    <x v="1"/>
    <x v="0"/>
    <x v="0"/>
    <n v="0"/>
    <s v="Unnamed ProjectpaintedCountUser Specified"/>
    <n v="15"/>
    <n v="0"/>
    <n v="0"/>
    <n v="0.95"/>
    <n v="0"/>
    <n v="0"/>
    <n v="0"/>
  </r>
  <r>
    <x v="0"/>
    <s v="2025-06-09 14:43:37"/>
    <n v="5"/>
    <x v="2"/>
    <x v="0"/>
    <x v="0"/>
    <n v="0"/>
    <s v="Unnamed ProjectqcapprovedCountUser Specified"/>
    <n v="15"/>
    <n v="0"/>
    <n v="0"/>
    <n v="0.95"/>
    <n v="0"/>
    <n v="0"/>
    <n v="0"/>
  </r>
  <r>
    <x v="0"/>
    <s v="2025-06-09 14:43:37"/>
    <n v="5"/>
    <x v="3"/>
    <x v="0"/>
    <x v="0"/>
    <n v="0"/>
    <s v="Unnamed ProjectsandblastedCountUser Specified"/>
    <n v="15"/>
    <n v="0"/>
    <n v="0"/>
    <n v="0.95"/>
    <n v="0"/>
    <n v="0"/>
    <n v="0"/>
  </r>
  <r>
    <x v="0"/>
    <s v="2025-06-09 14:43:37"/>
    <n v="5"/>
    <x v="4"/>
    <x v="0"/>
    <x v="0"/>
    <n v="0"/>
    <s v="Unnamed Projectsteel_arrivalsCountUser Specified"/>
    <n v="15"/>
    <n v="0"/>
    <n v="0"/>
    <n v="0.95"/>
    <n v="0"/>
    <n v="0"/>
    <n v="0"/>
  </r>
  <r>
    <x v="0"/>
    <s v="2025-06-09 14:43:37"/>
    <n v="6"/>
    <x v="0"/>
    <x v="0"/>
    <x v="0"/>
    <n v="0"/>
    <s v="Unnamed Projectnum_cleanedCountUser Specified"/>
    <n v="15"/>
    <n v="0"/>
    <n v="0"/>
    <n v="0.95"/>
    <n v="0"/>
    <n v="0"/>
    <n v="0"/>
  </r>
  <r>
    <x v="0"/>
    <s v="2025-06-09 14:43:37"/>
    <n v="6"/>
    <x v="1"/>
    <x v="0"/>
    <x v="0"/>
    <n v="0"/>
    <s v="Unnamed ProjectpaintedCountUser Specified"/>
    <n v="15"/>
    <n v="0"/>
    <n v="0"/>
    <n v="0.95"/>
    <n v="0"/>
    <n v="0"/>
    <n v="0"/>
  </r>
  <r>
    <x v="0"/>
    <s v="2025-06-09 14:43:37"/>
    <n v="6"/>
    <x v="2"/>
    <x v="0"/>
    <x v="0"/>
    <n v="0"/>
    <s v="Unnamed ProjectqcapprovedCountUser Specified"/>
    <n v="15"/>
    <n v="0"/>
    <n v="0"/>
    <n v="0.95"/>
    <n v="0"/>
    <n v="0"/>
    <n v="0"/>
  </r>
  <r>
    <x v="0"/>
    <s v="2025-06-09 14:43:37"/>
    <n v="6"/>
    <x v="3"/>
    <x v="0"/>
    <x v="0"/>
    <n v="0"/>
    <s v="Unnamed ProjectsandblastedCountUser Specified"/>
    <n v="15"/>
    <n v="0"/>
    <n v="0"/>
    <n v="0.95"/>
    <n v="0"/>
    <n v="0"/>
    <n v="0"/>
  </r>
  <r>
    <x v="0"/>
    <s v="2025-06-09 14:43:37"/>
    <n v="6"/>
    <x v="4"/>
    <x v="0"/>
    <x v="0"/>
    <n v="0"/>
    <s v="Unnamed Projectsteel_arrivalsCountUser Specified"/>
    <n v="15"/>
    <n v="0"/>
    <n v="0"/>
    <n v="0.95"/>
    <n v="0"/>
    <n v="0"/>
    <n v="0"/>
  </r>
  <r>
    <x v="0"/>
    <s v="2025-06-09 14:43:37"/>
    <n v="7"/>
    <x v="0"/>
    <x v="0"/>
    <x v="0"/>
    <n v="0"/>
    <s v="Unnamed Projectnum_cleanedCountUser Specified"/>
    <n v="15"/>
    <n v="0"/>
    <n v="0"/>
    <n v="0.95"/>
    <n v="0"/>
    <n v="0"/>
    <n v="0"/>
  </r>
  <r>
    <x v="0"/>
    <s v="2025-06-09 14:43:37"/>
    <n v="7"/>
    <x v="1"/>
    <x v="0"/>
    <x v="0"/>
    <n v="0"/>
    <s v="Unnamed ProjectpaintedCountUser Specified"/>
    <n v="15"/>
    <n v="0"/>
    <n v="0"/>
    <n v="0.95"/>
    <n v="0"/>
    <n v="0"/>
    <n v="0"/>
  </r>
  <r>
    <x v="0"/>
    <s v="2025-06-09 14:43:37"/>
    <n v="7"/>
    <x v="2"/>
    <x v="0"/>
    <x v="0"/>
    <n v="0"/>
    <s v="Unnamed ProjectqcapprovedCountUser Specified"/>
    <n v="15"/>
    <n v="0"/>
    <n v="0"/>
    <n v="0.95"/>
    <n v="0"/>
    <n v="0"/>
    <n v="0"/>
  </r>
  <r>
    <x v="0"/>
    <s v="2025-06-09 14:43:37"/>
    <n v="7"/>
    <x v="3"/>
    <x v="0"/>
    <x v="0"/>
    <n v="0"/>
    <s v="Unnamed ProjectsandblastedCountUser Specified"/>
    <n v="15"/>
    <n v="0"/>
    <n v="0"/>
    <n v="0.95"/>
    <n v="0"/>
    <n v="0"/>
    <n v="0"/>
  </r>
  <r>
    <x v="0"/>
    <s v="2025-06-09 14:43:37"/>
    <n v="7"/>
    <x v="4"/>
    <x v="0"/>
    <x v="0"/>
    <n v="0"/>
    <s v="Unnamed Projectsteel_arrivalsCountUser Specified"/>
    <n v="15"/>
    <n v="0"/>
    <n v="0"/>
    <n v="0.95"/>
    <n v="0"/>
    <n v="0"/>
    <n v="0"/>
  </r>
  <r>
    <x v="0"/>
    <s v="2025-06-09 14:43:37"/>
    <n v="8"/>
    <x v="0"/>
    <x v="0"/>
    <x v="0"/>
    <n v="0"/>
    <s v="Unnamed Projectnum_cleanedCountUser Specified"/>
    <n v="15"/>
    <n v="0"/>
    <n v="0"/>
    <n v="0.95"/>
    <n v="0"/>
    <n v="0"/>
    <n v="0"/>
  </r>
  <r>
    <x v="0"/>
    <s v="2025-06-09 14:43:37"/>
    <n v="8"/>
    <x v="1"/>
    <x v="0"/>
    <x v="0"/>
    <n v="0"/>
    <s v="Unnamed ProjectpaintedCountUser Specified"/>
    <n v="15"/>
    <n v="0"/>
    <n v="0"/>
    <n v="0.95"/>
    <n v="0"/>
    <n v="0"/>
    <n v="0"/>
  </r>
  <r>
    <x v="0"/>
    <s v="2025-06-09 14:43:37"/>
    <n v="8"/>
    <x v="2"/>
    <x v="0"/>
    <x v="0"/>
    <n v="0"/>
    <s v="Unnamed ProjectqcapprovedCountUser Specified"/>
    <n v="15"/>
    <n v="0"/>
    <n v="0"/>
    <n v="0.95"/>
    <n v="0"/>
    <n v="0"/>
    <n v="0"/>
  </r>
  <r>
    <x v="0"/>
    <s v="2025-06-09 14:43:37"/>
    <n v="8"/>
    <x v="3"/>
    <x v="0"/>
    <x v="0"/>
    <n v="0"/>
    <s v="Unnamed ProjectsandblastedCountUser Specified"/>
    <n v="15"/>
    <n v="0"/>
    <n v="0"/>
    <n v="0.95"/>
    <n v="0"/>
    <n v="0"/>
    <n v="0"/>
  </r>
  <r>
    <x v="0"/>
    <s v="2025-06-09 14:43:37"/>
    <n v="8"/>
    <x v="4"/>
    <x v="0"/>
    <x v="0"/>
    <n v="0"/>
    <s v="Unnamed Projectsteel_arrivalsCountUser Specified"/>
    <n v="15"/>
    <n v="0"/>
    <n v="0"/>
    <n v="0.95"/>
    <n v="0"/>
    <n v="0"/>
    <n v="0"/>
  </r>
  <r>
    <x v="0"/>
    <s v="2025-06-09 14:43:37"/>
    <n v="9"/>
    <x v="0"/>
    <x v="0"/>
    <x v="0"/>
    <n v="0"/>
    <s v="Unnamed Projectnum_cleanedCountUser Specified"/>
    <n v="15"/>
    <n v="0"/>
    <n v="0"/>
    <n v="0.95"/>
    <n v="0"/>
    <n v="0"/>
    <n v="0"/>
  </r>
  <r>
    <x v="0"/>
    <s v="2025-06-09 14:43:37"/>
    <n v="9"/>
    <x v="1"/>
    <x v="0"/>
    <x v="0"/>
    <n v="0"/>
    <s v="Unnamed ProjectpaintedCountUser Specified"/>
    <n v="15"/>
    <n v="0"/>
    <n v="0"/>
    <n v="0.95"/>
    <n v="0"/>
    <n v="0"/>
    <n v="0"/>
  </r>
  <r>
    <x v="0"/>
    <s v="2025-06-09 14:43:37"/>
    <n v="9"/>
    <x v="2"/>
    <x v="0"/>
    <x v="0"/>
    <n v="0"/>
    <s v="Unnamed ProjectqcapprovedCountUser Specified"/>
    <n v="15"/>
    <n v="0"/>
    <n v="0"/>
    <n v="0.95"/>
    <n v="0"/>
    <n v="0"/>
    <n v="0"/>
  </r>
  <r>
    <x v="0"/>
    <s v="2025-06-09 14:43:37"/>
    <n v="9"/>
    <x v="3"/>
    <x v="0"/>
    <x v="0"/>
    <n v="0"/>
    <s v="Unnamed ProjectsandblastedCountUser Specified"/>
    <n v="15"/>
    <n v="0"/>
    <n v="0"/>
    <n v="0.95"/>
    <n v="0"/>
    <n v="0"/>
    <n v="0"/>
  </r>
  <r>
    <x v="0"/>
    <s v="2025-06-09 14:43:37"/>
    <n v="9"/>
    <x v="4"/>
    <x v="0"/>
    <x v="0"/>
    <n v="0"/>
    <s v="Unnamed Projectsteel_arrivalsCountUser Specified"/>
    <n v="15"/>
    <n v="0"/>
    <n v="0"/>
    <n v="0.95"/>
    <n v="0"/>
    <n v="0"/>
    <n v="0"/>
  </r>
  <r>
    <x v="0"/>
    <s v="2025-06-09 14:43:37"/>
    <n v="10"/>
    <x v="0"/>
    <x v="0"/>
    <x v="0"/>
    <n v="0"/>
    <s v="Unnamed Projectnum_cleanedCountUser Specified"/>
    <n v="15"/>
    <n v="0"/>
    <n v="0"/>
    <n v="0.95"/>
    <n v="0"/>
    <n v="0"/>
    <n v="0"/>
  </r>
  <r>
    <x v="0"/>
    <s v="2025-06-09 14:43:37"/>
    <n v="10"/>
    <x v="1"/>
    <x v="0"/>
    <x v="0"/>
    <n v="0"/>
    <s v="Unnamed ProjectpaintedCountUser Specified"/>
    <n v="15"/>
    <n v="0"/>
    <n v="0"/>
    <n v="0.95"/>
    <n v="0"/>
    <n v="0"/>
    <n v="0"/>
  </r>
  <r>
    <x v="0"/>
    <s v="2025-06-09 14:43:37"/>
    <n v="10"/>
    <x v="2"/>
    <x v="0"/>
    <x v="0"/>
    <n v="0"/>
    <s v="Unnamed ProjectqcapprovedCountUser Specified"/>
    <n v="15"/>
    <n v="0"/>
    <n v="0"/>
    <n v="0.95"/>
    <n v="0"/>
    <n v="0"/>
    <n v="0"/>
  </r>
  <r>
    <x v="0"/>
    <s v="2025-06-09 14:43:37"/>
    <n v="10"/>
    <x v="3"/>
    <x v="0"/>
    <x v="0"/>
    <n v="0"/>
    <s v="Unnamed ProjectsandblastedCountUser Specified"/>
    <n v="15"/>
    <n v="0"/>
    <n v="0"/>
    <n v="0.95"/>
    <n v="0"/>
    <n v="0"/>
    <n v="0"/>
  </r>
  <r>
    <x v="0"/>
    <s v="2025-06-09 14:43:37"/>
    <n v="10"/>
    <x v="4"/>
    <x v="0"/>
    <x v="0"/>
    <n v="0"/>
    <s v="Unnamed Projectsteel_arrivalsCountUser Specified"/>
    <n v="15"/>
    <n v="0"/>
    <n v="0"/>
    <n v="0.95"/>
    <n v="0"/>
    <n v="0"/>
    <n v="0"/>
  </r>
  <r>
    <x v="0"/>
    <s v="2025-06-09 14:43:37"/>
    <n v="11"/>
    <x v="0"/>
    <x v="0"/>
    <x v="0"/>
    <n v="0"/>
    <s v="Unnamed Projectnum_cleanedCountUser Specified"/>
    <n v="15"/>
    <n v="0"/>
    <n v="0"/>
    <n v="0.95"/>
    <n v="0"/>
    <n v="0"/>
    <n v="0"/>
  </r>
  <r>
    <x v="0"/>
    <s v="2025-06-09 14:43:37"/>
    <n v="11"/>
    <x v="1"/>
    <x v="0"/>
    <x v="0"/>
    <n v="0"/>
    <s v="Unnamed ProjectpaintedCountUser Specified"/>
    <n v="15"/>
    <n v="0"/>
    <n v="0"/>
    <n v="0.95"/>
    <n v="0"/>
    <n v="0"/>
    <n v="0"/>
  </r>
  <r>
    <x v="0"/>
    <s v="2025-06-09 14:43:37"/>
    <n v="11"/>
    <x v="2"/>
    <x v="0"/>
    <x v="0"/>
    <n v="0"/>
    <s v="Unnamed ProjectqcapprovedCountUser Specified"/>
    <n v="15"/>
    <n v="0"/>
    <n v="0"/>
    <n v="0.95"/>
    <n v="0"/>
    <n v="0"/>
    <n v="0"/>
  </r>
  <r>
    <x v="0"/>
    <s v="2025-06-09 14:43:37"/>
    <n v="11"/>
    <x v="3"/>
    <x v="0"/>
    <x v="0"/>
    <n v="0"/>
    <s v="Unnamed ProjectsandblastedCountUser Specified"/>
    <n v="15"/>
    <n v="0"/>
    <n v="0"/>
    <n v="0.95"/>
    <n v="0"/>
    <n v="0"/>
    <n v="0"/>
  </r>
  <r>
    <x v="0"/>
    <s v="2025-06-09 14:43:37"/>
    <n v="11"/>
    <x v="4"/>
    <x v="0"/>
    <x v="0"/>
    <n v="0"/>
    <s v="Unnamed Projectsteel_arrivalsCountUser Specified"/>
    <n v="15"/>
    <n v="0"/>
    <n v="0"/>
    <n v="0.95"/>
    <n v="0"/>
    <n v="0"/>
    <n v="0"/>
  </r>
  <r>
    <x v="0"/>
    <s v="2025-06-09 14:43:37"/>
    <n v="12"/>
    <x v="0"/>
    <x v="0"/>
    <x v="0"/>
    <n v="0"/>
    <s v="Unnamed Projectnum_cleanedCountUser Specified"/>
    <n v="15"/>
    <n v="0"/>
    <n v="0"/>
    <n v="0.95"/>
    <n v="0"/>
    <n v="0"/>
    <n v="0"/>
  </r>
  <r>
    <x v="0"/>
    <s v="2025-06-09 14:43:37"/>
    <n v="12"/>
    <x v="1"/>
    <x v="0"/>
    <x v="0"/>
    <n v="0"/>
    <s v="Unnamed ProjectpaintedCountUser Specified"/>
    <n v="15"/>
    <n v="0"/>
    <n v="0"/>
    <n v="0.95"/>
    <n v="0"/>
    <n v="0"/>
    <n v="0"/>
  </r>
  <r>
    <x v="0"/>
    <s v="2025-06-09 14:43:37"/>
    <n v="12"/>
    <x v="2"/>
    <x v="0"/>
    <x v="0"/>
    <n v="0"/>
    <s v="Unnamed ProjectqcapprovedCountUser Specified"/>
    <n v="15"/>
    <n v="0"/>
    <n v="0"/>
    <n v="0.95"/>
    <n v="0"/>
    <n v="0"/>
    <n v="0"/>
  </r>
  <r>
    <x v="0"/>
    <s v="2025-06-09 14:43:37"/>
    <n v="12"/>
    <x v="3"/>
    <x v="0"/>
    <x v="0"/>
    <n v="0"/>
    <s v="Unnamed ProjectsandblastedCountUser Specified"/>
    <n v="15"/>
    <n v="0"/>
    <n v="0"/>
    <n v="0.95"/>
    <n v="0"/>
    <n v="0"/>
    <n v="0"/>
  </r>
  <r>
    <x v="0"/>
    <s v="2025-06-09 14:43:37"/>
    <n v="12"/>
    <x v="4"/>
    <x v="0"/>
    <x v="0"/>
    <n v="0"/>
    <s v="Unnamed Projectsteel_arrivalsCountUser Specified"/>
    <n v="15"/>
    <n v="0"/>
    <n v="0"/>
    <n v="0.95"/>
    <n v="0"/>
    <n v="0"/>
    <n v="0"/>
  </r>
  <r>
    <x v="0"/>
    <s v="2025-06-09 14:43:37"/>
    <n v="13"/>
    <x v="0"/>
    <x v="0"/>
    <x v="0"/>
    <n v="0"/>
    <s v="Unnamed Projectnum_cleanedCountUser Specified"/>
    <n v="15"/>
    <n v="0"/>
    <n v="0"/>
    <n v="0.95"/>
    <n v="0"/>
    <n v="0"/>
    <n v="0"/>
  </r>
  <r>
    <x v="0"/>
    <s v="2025-06-09 14:43:37"/>
    <n v="13"/>
    <x v="1"/>
    <x v="0"/>
    <x v="0"/>
    <n v="0"/>
    <s v="Unnamed ProjectpaintedCountUser Specified"/>
    <n v="15"/>
    <n v="0"/>
    <n v="0"/>
    <n v="0.95"/>
    <n v="0"/>
    <n v="0"/>
    <n v="0"/>
  </r>
  <r>
    <x v="0"/>
    <s v="2025-06-09 14:43:37"/>
    <n v="13"/>
    <x v="2"/>
    <x v="0"/>
    <x v="0"/>
    <n v="0"/>
    <s v="Unnamed ProjectqcapprovedCountUser Specified"/>
    <n v="15"/>
    <n v="0"/>
    <n v="0"/>
    <n v="0.95"/>
    <n v="0"/>
    <n v="0"/>
    <n v="0"/>
  </r>
  <r>
    <x v="0"/>
    <s v="2025-06-09 14:43:37"/>
    <n v="13"/>
    <x v="3"/>
    <x v="0"/>
    <x v="0"/>
    <n v="0"/>
    <s v="Unnamed ProjectsandblastedCountUser Specified"/>
    <n v="15"/>
    <n v="0"/>
    <n v="0"/>
    <n v="0.95"/>
    <n v="0"/>
    <n v="0"/>
    <n v="0"/>
  </r>
  <r>
    <x v="0"/>
    <s v="2025-06-09 14:43:37"/>
    <n v="13"/>
    <x v="4"/>
    <x v="0"/>
    <x v="0"/>
    <n v="0"/>
    <s v="Unnamed Projectsteel_arrivalsCountUser Specified"/>
    <n v="15"/>
    <n v="0"/>
    <n v="0"/>
    <n v="0.95"/>
    <n v="0"/>
    <n v="0"/>
    <n v="0"/>
  </r>
  <r>
    <x v="0"/>
    <s v="2025-06-09 14:43:37"/>
    <n v="14"/>
    <x v="0"/>
    <x v="0"/>
    <x v="0"/>
    <n v="0"/>
    <s v="Unnamed Projectnum_cleanedCountUser Specified"/>
    <n v="15"/>
    <n v="0"/>
    <n v="0"/>
    <n v="0.95"/>
    <n v="0"/>
    <n v="0"/>
    <n v="0"/>
  </r>
  <r>
    <x v="0"/>
    <s v="2025-06-09 14:43:37"/>
    <n v="14"/>
    <x v="1"/>
    <x v="0"/>
    <x v="0"/>
    <n v="0"/>
    <s v="Unnamed ProjectpaintedCountUser Specified"/>
    <n v="15"/>
    <n v="0"/>
    <n v="0"/>
    <n v="0.95"/>
    <n v="0"/>
    <n v="0"/>
    <n v="0"/>
  </r>
  <r>
    <x v="0"/>
    <s v="2025-06-09 14:43:37"/>
    <n v="14"/>
    <x v="2"/>
    <x v="0"/>
    <x v="0"/>
    <n v="0"/>
    <s v="Unnamed ProjectqcapprovedCountUser Specified"/>
    <n v="15"/>
    <n v="0"/>
    <n v="0"/>
    <n v="0.95"/>
    <n v="0"/>
    <n v="0"/>
    <n v="0"/>
  </r>
  <r>
    <x v="0"/>
    <s v="2025-06-09 14:43:37"/>
    <n v="14"/>
    <x v="3"/>
    <x v="0"/>
    <x v="0"/>
    <n v="0"/>
    <s v="Unnamed ProjectsandblastedCountUser Specified"/>
    <n v="15"/>
    <n v="0"/>
    <n v="0"/>
    <n v="0.95"/>
    <n v="0"/>
    <n v="0"/>
    <n v="0"/>
  </r>
  <r>
    <x v="0"/>
    <s v="2025-06-09 14:43:37"/>
    <n v="14"/>
    <x v="4"/>
    <x v="0"/>
    <x v="0"/>
    <n v="0"/>
    <s v="Unnamed Projectsteel_arrivalsCountUser Specified"/>
    <n v="15"/>
    <n v="0"/>
    <n v="0"/>
    <n v="0.95"/>
    <n v="0"/>
    <n v="0"/>
    <n v="0"/>
  </r>
  <r>
    <x v="0"/>
    <s v="2025-06-09 14:43:37"/>
    <n v="15"/>
    <x v="0"/>
    <x v="0"/>
    <x v="0"/>
    <n v="0"/>
    <s v="Unnamed Projectnum_cleanedCountUser Specified"/>
    <n v="15"/>
    <n v="0"/>
    <n v="0"/>
    <n v="0.95"/>
    <n v="0"/>
    <n v="0"/>
    <n v="0"/>
  </r>
  <r>
    <x v="0"/>
    <s v="2025-06-09 14:43:37"/>
    <n v="15"/>
    <x v="1"/>
    <x v="0"/>
    <x v="0"/>
    <n v="0"/>
    <s v="Unnamed ProjectpaintedCountUser Specified"/>
    <n v="15"/>
    <n v="0"/>
    <n v="0"/>
    <n v="0.95"/>
    <n v="0"/>
    <n v="0"/>
    <n v="0"/>
  </r>
  <r>
    <x v="0"/>
    <s v="2025-06-09 14:43:37"/>
    <n v="15"/>
    <x v="2"/>
    <x v="0"/>
    <x v="0"/>
    <n v="0"/>
    <s v="Unnamed ProjectqcapprovedCountUser Specified"/>
    <n v="15"/>
    <n v="0"/>
    <n v="0"/>
    <n v="0.95"/>
    <n v="0"/>
    <n v="0"/>
    <n v="0"/>
  </r>
  <r>
    <x v="0"/>
    <s v="2025-06-09 14:43:37"/>
    <n v="15"/>
    <x v="3"/>
    <x v="0"/>
    <x v="0"/>
    <n v="0"/>
    <s v="Unnamed ProjectsandblastedCountUser Specified"/>
    <n v="15"/>
    <n v="0"/>
    <n v="0"/>
    <n v="0.95"/>
    <n v="0"/>
    <n v="0"/>
    <n v="0"/>
  </r>
  <r>
    <x v="0"/>
    <s v="2025-06-09 14:43:37"/>
    <n v="15"/>
    <x v="4"/>
    <x v="0"/>
    <x v="0"/>
    <n v="0"/>
    <s v="Unnamed Projectsteel_arrivalsCountUser Specified"/>
    <n v="15"/>
    <n v="0"/>
    <n v="0"/>
    <n v="0.95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ContinuousTimePivot" cacheId="70" applyNumberFormats="0" applyBorderFormats="0" applyFontFormats="0" applyPatternFormats="0" applyAlignmentFormats="0" applyWidthHeightFormats="1" dataCaption="Values" updatedVersion="6" minRefreshableVersion="3" showDataTips="0" useAutoFormatting="1" rowGrandTotals="0" colGrandTotals="0" itemPrintTitles="1" createdVersion="7" indent="0" compact="0" compactData="0" multipleFieldFilters="0">
  <location ref="O2:Y48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48">
        <item m="1" x="39"/>
        <item m="1" x="30"/>
        <item m="1" x="46"/>
        <item m="1" x="55"/>
        <item m="1" x="68"/>
        <item m="1" x="67"/>
        <item m="1" x="31"/>
        <item m="1" x="132"/>
        <item m="1" x="110"/>
        <item m="1" x="73"/>
        <item m="1" x="60"/>
        <item m="1" x="64"/>
        <item m="1" x="146"/>
        <item m="1" x="49"/>
        <item m="1" x="131"/>
        <item m="1" x="53"/>
        <item m="1" x="104"/>
        <item m="1" x="118"/>
        <item m="1" x="28"/>
        <item m="1" x="54"/>
        <item m="1" x="141"/>
        <item m="1" x="43"/>
        <item m="1" x="133"/>
        <item m="1" x="32"/>
        <item m="1" x="59"/>
        <item m="1" x="85"/>
        <item m="1" x="29"/>
        <item m="1" x="35"/>
        <item m="1" x="105"/>
        <item m="1" x="86"/>
        <item m="1" x="120"/>
        <item m="1" x="76"/>
        <item m="1" x="40"/>
        <item m="1" x="70"/>
        <item m="1" x="106"/>
        <item m="1" x="91"/>
        <item m="1" x="41"/>
        <item m="1" x="51"/>
        <item m="1" x="113"/>
        <item m="1" x="27"/>
        <item m="1" x="140"/>
        <item m="1" x="98"/>
        <item m="1" x="38"/>
        <item m="1" x="123"/>
        <item m="1" x="69"/>
        <item m="1" x="142"/>
        <item m="1" x="103"/>
        <item m="1" x="45"/>
        <item m="1" x="90"/>
        <item m="1" x="109"/>
        <item m="1" x="122"/>
        <item m="1" x="130"/>
        <item m="1" x="139"/>
        <item m="1" x="26"/>
        <item m="1" x="44"/>
        <item m="1" x="58"/>
        <item m="1" x="47"/>
        <item m="1" x="25"/>
        <item m="1" x="119"/>
        <item m="1" x="136"/>
        <item m="1" x="62"/>
        <item m="1" x="97"/>
        <item m="1" x="50"/>
        <item m="1" x="71"/>
        <item m="1" x="56"/>
        <item m="1" x="80"/>
        <item m="1" x="65"/>
        <item m="1" x="87"/>
        <item m="1" x="72"/>
        <item m="1" x="99"/>
        <item m="1" x="81"/>
        <item m="1" x="107"/>
        <item m="1" x="88"/>
        <item m="1" x="116"/>
        <item m="1" x="100"/>
        <item m="1" x="121"/>
        <item m="1" x="108"/>
        <item m="1" x="125"/>
        <item m="1" x="137"/>
        <item m="1" x="127"/>
        <item m="1" x="111"/>
        <item m="1" x="84"/>
        <item m="1" x="63"/>
        <item m="1" x="78"/>
        <item m="1" x="42"/>
        <item m="1" x="48"/>
        <item m="1" x="57"/>
        <item m="1" x="61"/>
        <item m="1" x="93"/>
        <item m="1" x="138"/>
        <item m="1" x="128"/>
        <item m="1" x="112"/>
        <item m="1" x="79"/>
        <item m="1" x="147"/>
        <item m="1" x="95"/>
        <item m="1" x="83"/>
        <item m="1" x="115"/>
        <item m="1" x="96"/>
        <item m="1" x="75"/>
        <item m="1" x="82"/>
        <item m="1" x="36"/>
        <item m="1" x="101"/>
        <item m="1" x="117"/>
        <item m="1" x="126"/>
        <item m="1" x="134"/>
        <item m="1" x="145"/>
        <item m="1" x="33"/>
        <item m="1" x="52"/>
        <item m="1" x="144"/>
        <item m="1" x="34"/>
        <item m="1" x="102"/>
        <item m="1" x="77"/>
        <item m="1" x="92"/>
        <item m="1" x="37"/>
        <item m="1" x="143"/>
        <item m="1" x="124"/>
        <item m="1" x="74"/>
        <item m="1" x="135"/>
        <item m="1" x="94"/>
        <item m="1" x="114"/>
        <item m="1" x="129"/>
        <item m="1" x="66"/>
        <item m="1" x="89"/>
        <item m="1" x="2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</items>
    </pivotField>
    <pivotField axis="axisRow" compact="0" outline="0" showAll="0" defaultSubtotal="0">
      <items count="7">
        <item x="0"/>
        <item x="1"/>
        <item x="2"/>
        <item x="4"/>
        <item x="3"/>
        <item m="1" x="6"/>
        <item m="1" x="5"/>
      </items>
    </pivotField>
    <pivotField axis="axisRow" compact="0" outline="0" showAll="0" defaultSubtotal="0">
      <items count="5">
        <item x="1"/>
        <item x="2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46">
    <i>
      <x v="3"/>
      <x v="124"/>
      <x/>
      <x v="2"/>
    </i>
    <i r="2">
      <x v="1"/>
      <x v="2"/>
    </i>
    <i r="2">
      <x v="2"/>
      <x v="2"/>
    </i>
    <i r="1">
      <x v="125"/>
      <x/>
      <x v="2"/>
    </i>
    <i r="2">
      <x v="1"/>
      <x v="2"/>
    </i>
    <i r="2">
      <x v="2"/>
      <x v="2"/>
    </i>
    <i r="1">
      <x v="126"/>
      <x v="4"/>
      <x/>
    </i>
    <i r="1">
      <x v="127"/>
      <x/>
      <x v="2"/>
    </i>
    <i r="2">
      <x v="1"/>
      <x v="2"/>
    </i>
    <i r="2">
      <x v="2"/>
      <x v="2"/>
    </i>
    <i r="1">
      <x v="128"/>
      <x/>
      <x v="2"/>
    </i>
    <i r="2">
      <x v="1"/>
      <x v="2"/>
    </i>
    <i r="2">
      <x v="2"/>
      <x v="2"/>
    </i>
    <i r="1">
      <x v="129"/>
      <x/>
      <x v="2"/>
    </i>
    <i r="2">
      <x v="1"/>
      <x v="2"/>
    </i>
    <i r="2">
      <x v="2"/>
      <x v="2"/>
    </i>
    <i r="1">
      <x v="130"/>
      <x v="3"/>
      <x v="1"/>
    </i>
    <i r="1">
      <x v="131"/>
      <x v="3"/>
      <x v="1"/>
    </i>
    <i r="1">
      <x v="132"/>
      <x v="3"/>
      <x v="1"/>
    </i>
    <i r="1">
      <x v="133"/>
      <x/>
      <x v="2"/>
    </i>
    <i r="2">
      <x v="1"/>
      <x v="2"/>
    </i>
    <i r="2">
      <x v="2"/>
      <x v="2"/>
    </i>
    <i r="1">
      <x v="134"/>
      <x/>
      <x v="2"/>
    </i>
    <i r="2">
      <x v="1"/>
      <x v="2"/>
    </i>
    <i r="2">
      <x v="2"/>
      <x v="2"/>
    </i>
    <i r="1">
      <x v="135"/>
      <x/>
      <x v="2"/>
    </i>
    <i r="2">
      <x v="1"/>
      <x v="2"/>
    </i>
    <i r="2">
      <x v="2"/>
      <x v="2"/>
    </i>
    <i r="1">
      <x v="136"/>
      <x/>
      <x v="2"/>
    </i>
    <i r="2">
      <x v="1"/>
      <x v="2"/>
    </i>
    <i r="2">
      <x v="2"/>
      <x v="2"/>
    </i>
    <i r="1">
      <x v="137"/>
      <x v="3"/>
      <x v="1"/>
    </i>
    <i r="1">
      <x v="138"/>
      <x v="3"/>
      <x v="1"/>
    </i>
    <i r="1">
      <x v="139"/>
      <x v="3"/>
      <x v="1"/>
    </i>
    <i r="1">
      <x v="140"/>
      <x v="3"/>
      <x v="1"/>
    </i>
    <i r="1">
      <x v="141"/>
      <x v="3"/>
      <x v="1"/>
    </i>
    <i r="1">
      <x v="142"/>
      <x v="3"/>
      <x v="1"/>
    </i>
    <i r="1">
      <x v="143"/>
      <x v="3"/>
      <x v="1"/>
    </i>
    <i r="1">
      <x v="144"/>
      <x v="3"/>
      <x v="1"/>
    </i>
    <i r="1">
      <x v="145"/>
      <x v="4"/>
      <x/>
    </i>
    <i r="1">
      <x v="146"/>
      <x/>
      <x v="2"/>
    </i>
    <i r="2">
      <x v="1"/>
      <x v="2"/>
    </i>
    <i r="2">
      <x v="2"/>
      <x v="2"/>
    </i>
    <i r="1">
      <x v="147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FrequencyPivot" cacheId="76" applyNumberFormats="0" applyBorderFormats="0" applyFontFormats="0" applyPatternFormats="0" applyAlignmentFormats="0" applyWidthHeightFormats="1" dataCaption="Values" updatedVersion="6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54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name="DiscreteTimePivot" cacheId="82" applyNumberFormats="0" applyBorderFormats="0" applyFontFormats="0" applyPatternFormats="0" applyAlignmentFormats="0" applyWidthHeightFormats="1" dataCaption="Values" updatedVersion="6" minRefreshableVersion="3" showDataTips="0" useAutoFormatting="1" rowGrandTotals="0" colGrandTotals="0" itemPrintTitles="1" createdVersion="7" indent="0" compact="0" compactData="0" multipleFieldFilters="0">
  <location ref="A2:M3" firstHeaderRow="0" firstDataRow="1" firstDataCol="4"/>
  <pivotFields count="25">
    <pivotField name="Project Name" axis="axisRow" compact="0" outline="0" subtotalTop="0" showAll="0" defaultSubtotal="0">
      <items count="4">
        <item m="1" x="2"/>
        <item x="0"/>
        <item m="1" x="1"/>
        <item m="1" x="3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9">
        <item m="1" x="10"/>
        <item m="1" x="33"/>
        <item m="1" x="5"/>
        <item m="1" x="85"/>
        <item m="1" x="68"/>
        <item m="1" x="38"/>
        <item m="1" x="94"/>
        <item m="1" x="26"/>
        <item m="1" x="30"/>
        <item m="1" x="97"/>
        <item m="1" x="63"/>
        <item m="1" x="75"/>
        <item m="1" x="80"/>
        <item m="1" x="4"/>
        <item m="1" x="32"/>
        <item m="1" x="22"/>
        <item m="1" x="98"/>
        <item m="1" x="92"/>
        <item m="1" x="20"/>
        <item m="1" x="14"/>
        <item m="1" x="86"/>
        <item m="1" x="6"/>
        <item m="1" x="39"/>
        <item m="1" x="25"/>
        <item m="1" x="50"/>
        <item m="1" x="77"/>
        <item m="1" x="41"/>
        <item m="1" x="11"/>
        <item m="1" x="35"/>
        <item m="1" x="64"/>
        <item m="1" x="54"/>
        <item m="1" x="12"/>
        <item m="1" x="71"/>
        <item m="1" x="3"/>
        <item m="1" x="91"/>
        <item m="1" x="59"/>
        <item m="1" x="79"/>
        <item m="1" x="34"/>
        <item m="1" x="93"/>
        <item m="1" x="62"/>
        <item m="1" x="16"/>
        <item m="1" x="53"/>
        <item m="1" x="67"/>
        <item m="1" x="78"/>
        <item m="1" x="84"/>
        <item m="1" x="2"/>
        <item m="1" x="15"/>
        <item m="1" x="24"/>
        <item m="1" x="17"/>
        <item m="1" x="1"/>
        <item m="1" x="76"/>
        <item m="1" x="88"/>
        <item m="1" x="28"/>
        <item m="1" x="58"/>
        <item m="1" x="19"/>
        <item m="1" x="36"/>
        <item m="1" x="23"/>
        <item m="1" x="44"/>
        <item m="1" x="31"/>
        <item m="1" x="51"/>
        <item m="1" x="37"/>
        <item m="1" x="60"/>
        <item m="1" x="45"/>
        <item m="1" x="65"/>
        <item m="1" x="52"/>
        <item m="1" x="73"/>
        <item m="1" x="66"/>
        <item m="1" x="81"/>
        <item m="1" x="89"/>
        <item m="1" x="69"/>
        <item m="1" x="48"/>
        <item m="1" x="29"/>
        <item m="1" x="42"/>
        <item m="1" x="13"/>
        <item m="1" x="18"/>
        <item m="1" x="27"/>
        <item m="1" x="55"/>
        <item m="1" x="90"/>
        <item m="1" x="83"/>
        <item m="1" x="70"/>
        <item m="1" x="43"/>
        <item m="1" x="56"/>
        <item m="1" x="47"/>
        <item m="1" x="72"/>
        <item m="1" x="57"/>
        <item m="1" x="40"/>
        <item m="1" x="46"/>
        <item m="1" x="9"/>
        <item m="1" x="49"/>
        <item m="1" x="61"/>
        <item m="1" x="74"/>
        <item m="1" x="82"/>
        <item m="1" x="87"/>
        <item m="1" x="96"/>
        <item m="1" x="7"/>
        <item m="1" x="21"/>
        <item m="1" x="95"/>
        <item m="1" x="8"/>
        <item x="0"/>
      </items>
    </pivotField>
    <pivotField axis="axisRow" compact="0" outline="0" showAll="0" defaultSubtotal="0">
      <items count="12">
        <item m="1" x="10"/>
        <item m="1" x="2"/>
        <item m="1" x="4"/>
        <item m="1" x="6"/>
        <item m="1" x="7"/>
        <item m="1" x="9"/>
        <item m="1" x="8"/>
        <item m="1" x="11"/>
        <item m="1" x="1"/>
        <item m="1" x="3"/>
        <item m="1" x="5"/>
        <item x="0"/>
      </items>
    </pivotField>
    <pivotField axis="axisRow" compact="0" outline="0" showAll="0" defaultSubtotal="0">
      <items count="5">
        <item m="1" x="3"/>
        <item m="1" x="1"/>
        <item m="1" x="4"/>
        <item m="1" x="2"/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">
    <i>
      <x v="1"/>
      <x v="98"/>
      <x v="11"/>
      <x v="4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name="OutputPivot" cacheId="88" applyNumberFormats="0" applyBorderFormats="0" applyFontFormats="0" applyPatternFormats="0" applyAlignmentFormats="0" applyWidthHeightFormats="1" dataCaption="Values" updatedVersion="6" minRefreshableVersion="3" showDataTips="0" useAutoFormatting="1" rowGrandTotals="0" colGrandTotals="0" itemPrintTitles="1" createdVersion="7" indent="0" compact="0" compactData="0" multipleFieldFilters="0">
  <location ref="AK2:AS29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5">
        <item m="1" x="52"/>
        <item m="1" x="28"/>
        <item m="1" x="53"/>
        <item m="1" x="29"/>
        <item m="1" x="54"/>
        <item m="1" x="30"/>
        <item m="1" x="55"/>
        <item m="1" x="31"/>
        <item m="1" x="87"/>
        <item m="1" x="42"/>
        <item x="0"/>
        <item m="1" x="86"/>
        <item m="1" x="73"/>
        <item m="1" x="90"/>
        <item m="1" x="75"/>
        <item m="1" x="91"/>
        <item m="1" x="98"/>
        <item m="1" x="67"/>
        <item m="1" x="35"/>
        <item m="1" x="84"/>
        <item m="1" x="74"/>
        <item m="1" x="72"/>
        <item m="1" x="38"/>
        <item m="1" x="82"/>
        <item m="1" x="47"/>
        <item m="1" x="83"/>
        <item m="1" x="48"/>
        <item m="1" x="81"/>
        <item m="1" x="101"/>
        <item m="1" x="41"/>
        <item m="1" x="104"/>
        <item m="1" x="69"/>
        <item m="1" x="36"/>
        <item m="1" x="99"/>
        <item m="1" x="94"/>
        <item m="1" x="70"/>
        <item m="1" x="37"/>
        <item m="1" x="100"/>
        <item m="1" x="95"/>
        <item m="1" x="32"/>
        <item m="1" x="66"/>
        <item m="1" x="50"/>
        <item m="1" x="40"/>
        <item m="1" x="92"/>
        <item m="1" x="62"/>
        <item m="1" x="93"/>
        <item m="1" x="63"/>
        <item m="1" x="49"/>
        <item m="1" x="44"/>
        <item m="1" x="71"/>
        <item m="1" x="46"/>
        <item m="1" x="103"/>
        <item m="1" x="96"/>
        <item m="1" x="45"/>
        <item m="1" x="43"/>
        <item m="1" x="88"/>
        <item m="1" x="97"/>
        <item m="1" x="33"/>
        <item m="1" x="51"/>
        <item m="1" x="64"/>
        <item m="1" x="85"/>
        <item m="1" x="102"/>
        <item m="1" x="34"/>
        <item m="1" x="61"/>
        <item m="1" x="65"/>
        <item m="1" x="89"/>
        <item m="1" x="68"/>
        <item m="1" x="39"/>
        <item m="1" x="56"/>
        <item m="1" x="76"/>
        <item m="1" x="57"/>
        <item m="1" x="77"/>
        <item m="1" x="58"/>
        <item m="1" x="78"/>
        <item m="1" x="59"/>
        <item m="1" x="79"/>
        <item m="1" x="60"/>
        <item m="1" x="80"/>
        <item m="1" x="2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</items>
    </pivotField>
    <pivotField axis="axisRow" compact="0" outline="0" showAll="0" defaultSubtotal="0">
      <items count="7">
        <item x="3"/>
        <item x="0"/>
        <item x="2"/>
        <item x="1"/>
        <item m="1" x="5"/>
        <item m="1" x="6"/>
        <item m="1" x="4"/>
      </items>
    </pivotField>
    <pivotField axis="axisRow" compact="0" outline="0" showAll="0" defaultSubtotal="0">
      <items count="5">
        <item x="2"/>
        <item x="1"/>
        <item x="0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7">
    <i>
      <x v="3"/>
      <x v="10"/>
      <x v="1"/>
      <x v="2"/>
    </i>
    <i r="1">
      <x v="79"/>
      <x v="3"/>
      <x v="1"/>
    </i>
    <i r="1">
      <x v="80"/>
      <x v="2"/>
      <x v="1"/>
    </i>
    <i r="1">
      <x v="81"/>
      <x v="3"/>
      <x v="1"/>
    </i>
    <i r="1">
      <x v="82"/>
      <x v="2"/>
      <x v="1"/>
    </i>
    <i r="1">
      <x v="83"/>
      <x/>
      <x/>
    </i>
    <i r="1">
      <x v="84"/>
      <x v="1"/>
      <x/>
    </i>
    <i r="1">
      <x v="85"/>
      <x v="3"/>
      <x v="1"/>
    </i>
    <i r="1">
      <x v="86"/>
      <x v="2"/>
      <x v="1"/>
    </i>
    <i r="1">
      <x v="87"/>
      <x v="3"/>
      <x v="1"/>
    </i>
    <i r="1">
      <x v="88"/>
      <x v="2"/>
      <x v="1"/>
    </i>
    <i r="1">
      <x v="89"/>
      <x v="3"/>
      <x v="1"/>
    </i>
    <i r="1">
      <x v="90"/>
      <x v="2"/>
      <x v="1"/>
    </i>
    <i r="1">
      <x v="91"/>
      <x v="3"/>
      <x v="1"/>
    </i>
    <i r="1">
      <x v="92"/>
      <x v="2"/>
      <x v="1"/>
    </i>
    <i r="1">
      <x v="93"/>
      <x v="3"/>
      <x v="1"/>
    </i>
    <i r="1">
      <x v="94"/>
      <x v="2"/>
      <x v="1"/>
    </i>
    <i r="1">
      <x v="95"/>
      <x v="3"/>
      <x v="1"/>
    </i>
    <i r="1">
      <x v="96"/>
      <x v="2"/>
      <x v="1"/>
    </i>
    <i r="1">
      <x v="97"/>
      <x v="3"/>
      <x v="1"/>
    </i>
    <i r="1">
      <x v="98"/>
      <x v="2"/>
      <x v="1"/>
    </i>
    <i r="1">
      <x v="99"/>
      <x/>
      <x/>
    </i>
    <i r="1">
      <x v="100"/>
      <x v="1"/>
      <x/>
    </i>
    <i r="1">
      <x v="101"/>
      <x v="3"/>
      <x v="1"/>
    </i>
    <i r="1">
      <x v="102"/>
      <x v="2"/>
      <x v="1"/>
    </i>
    <i r="1">
      <x v="103"/>
      <x v="3"/>
      <x v="1"/>
    </i>
    <i r="1">
      <x v="104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name="CounterPivot" cacheId="94" applyNumberFormats="0" applyBorderFormats="0" applyFontFormats="0" applyPatternFormats="0" applyAlignmentFormats="0" applyWidthHeightFormats="1" dataCaption="Values" updatedVersion="6" minRefreshableVersion="3" showDataTips="0" useAutoFormatting="1" rowGrandTotals="0" colGrandTotals="0" itemPrintTitles="1" createdVersion="7" indent="0" compact="0" compactData="0" multipleFieldFilters="0">
  <location ref="AA2:AI7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">
        <item m="1" x="8"/>
        <item m="1" x="7"/>
        <item m="1" x="6"/>
        <item m="1" x="5"/>
        <item x="0"/>
        <item x="1"/>
        <item x="2"/>
        <item x="3"/>
        <item x="4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4"/>
      <x/>
      <x/>
    </i>
    <i r="1">
      <x v="5"/>
      <x/>
      <x/>
    </i>
    <i r="1">
      <x v="6"/>
      <x/>
      <x/>
    </i>
    <i r="1">
      <x v="7"/>
      <x/>
      <x/>
    </i>
    <i r="1">
      <x v="8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name="ExternalData_1" backgroundRefresh="0" connectionId="2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3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4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name="ExternalData_1" backgroundRefresh="0" connectionId="5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name="ExternalData_1" backgroundRefresh="0" connectionId="6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name="ExternalData_1" backgroundRefresh="0" connectionId="1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8" name="ProjectInfoTable" displayName="ProjectInfoTable" ref="A1:G2" tableType="queryTable" totalsRowShown="0">
  <autoFilter ref="A1:G2"/>
  <tableColumns count="7">
    <tableColumn id="7" uniqueName="7" name="ProjectName" queryTableFieldId="1"/>
    <tableColumn id="8" uniqueName="8" name="ModelFile" queryTableFieldId="2"/>
    <tableColumn id="9" uniqueName="9" name="ModelRunDate" queryTableFieldId="3"/>
    <tableColumn id="10" uniqueName="10" name="TimeUnits" queryTableFieldId="4"/>
    <tableColumn id="11" uniqueName="11" name="NumberOfReplications" queryTableFieldId="5"/>
    <tableColumn id="1" uniqueName="1" name="AvgStatCollectionLength" queryTableFieldId="12"/>
    <tableColumn id="14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0" name="DiscreteStatsTable" displayName="DiscreteStatsTable" ref="A1:Y2" tableType="queryTable" insertRow="1" totalsRowShown="0">
  <autoFilter ref="A1:Y2"/>
  <sortState ref="A2:Y2">
    <sortCondition ref="D1:D61"/>
  </sortState>
  <tableColumns count="25">
    <tableColumn id="12" uniqueName="12" name="ProjectName" queryTableFieldId="1"/>
    <tableColumn id="13" uniqueName="13" name="Project RunDateTime" queryTableFieldId="2"/>
    <tableColumn id="14" uniqueName="14" name="Replication" queryTableFieldId="3"/>
    <tableColumn id="15" uniqueName="15" name="Name" queryTableFieldId="4"/>
    <tableColumn id="16" uniqueName="16" name="Type" queryTableFieldId="5"/>
    <tableColumn id="17" uniqueName="17" name="Source" queryTableFieldId="6"/>
    <tableColumn id="18" uniqueName="18" name="Average" queryTableFieldId="7"/>
    <tableColumn id="19" uniqueName="19" name="BatchMeansHalfWidth" queryTableFieldId="8"/>
    <tableColumn id="20" uniqueName="20" name="Minimum" queryTableFieldId="9"/>
    <tableColumn id="21" uniqueName="21" name="Maximum" queryTableFieldId="10"/>
    <tableColumn id="22" uniqueName="22" name="NumberObservations" queryTableFieldId="11"/>
    <tableColumn id="23" uniqueName="23" name="GroupByKey" queryTableFieldId="12" dataDxfId="45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uniqueName="24" name="RepsRequested" queryTableFieldId="13" dataDxfId="44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uniqueName="25" name="AverageOfAverage" queryTableFieldId="14" dataDxfId="43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uniqueName="26" name="StDevOfAverage" queryTableFieldId="15" dataDxfId="42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uniqueName="27" name="ConfidenceInterval" queryTableFieldId="16" dataDxfId="41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uniqueName="28" name="HalfWidth" queryTableFieldId="17" dataDxfId="40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uniqueName="29" name="MinimumAverage" queryTableFieldId="18" dataDxfId="39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uniqueName="30" name="MaximumAverage" queryTableFieldId="19" dataDxfId="38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uniqueName="31" name="OverallMinimum" queryTableFieldId="20" dataDxfId="37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uniqueName="32" name="OverallMaximum" queryTableFieldId="21" dataDxfId="36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uniqueName="33" name="AverageNumberObservations" queryTableFieldId="22" dataDxfId="35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uniqueName="1" name="SummaryHalfWidth" queryTableFieldId="23" dataDxfId="34">
      <calculatedColumnFormula>IF((DiscreteStatsTable[[#This Row],[RepsRequested]]&gt;1),DiscreteStatsTable[[#This Row],[HalfWidth]],DiscreteStatsTable[[#This Row],[BatchMeansHalfWidth]])</calculatedColumnFormula>
    </tableColumn>
    <tableColumn id="2" uniqueName="2" name="RepsWithStatObserved" queryTableFieldId="24" dataDxfId="33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uniqueName="3" name="Observed=Requested" queryTableFieldId="25" dataDxfId="32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1" name="ContinuousStatsTable" displayName="ContinuousStatsTable" ref="A1:U691" tableType="queryTable" totalsRowShown="0">
  <autoFilter ref="A1:U691"/>
  <tableColumns count="21">
    <tableColumn id="13" uniqueName="13" name="ProjectName" queryTableFieldId="1"/>
    <tableColumn id="14" uniqueName="14" name="Project RunDateTime" queryTableFieldId="2"/>
    <tableColumn id="15" uniqueName="15" name="Replication" queryTableFieldId="3"/>
    <tableColumn id="16" uniqueName="16" name="Name" queryTableFieldId="4"/>
    <tableColumn id="17" uniqueName="17" name="Type" queryTableFieldId="5"/>
    <tableColumn id="18" uniqueName="18" name="Source" queryTableFieldId="6"/>
    <tableColumn id="19" uniqueName="19" name="Average" queryTableFieldId="7"/>
    <tableColumn id="20" uniqueName="20" name="BatchMeansHalfWidth" queryTableFieldId="8"/>
    <tableColumn id="21" uniqueName="21" name="Minimum" queryTableFieldId="9"/>
    <tableColumn id="23" uniqueName="23" name="Maximum" queryTableFieldId="11"/>
    <tableColumn id="24" uniqueName="24" name="LastRecordedValue" queryTableFieldId="12"/>
    <tableColumn id="2" uniqueName="2" name="IsPeriodic" queryTableFieldId="22"/>
    <tableColumn id="25" uniqueName="25" name="GroupByKey" queryTableFieldId="13" dataDxfId="25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uniqueName="26" name="RepsRequested" queryTableFieldId="14" dataDxfId="24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uniqueName="27" name="AverageOfAverage" queryTableFieldId="15" dataDxfId="23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uniqueName="28" name="StDevOfAverage" queryTableFieldId="16" dataDxfId="22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uniqueName="29" name="ConfidenceInterval" queryTableFieldId="17" dataDxfId="21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uniqueName="30" name="HalfWidth" queryTableFieldId="18" dataDxfId="20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uniqueName="31" name="MinimumAverage" queryTableFieldId="19" dataDxfId="19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uniqueName="32" name="MaximumAverage" queryTableFieldId="20" dataDxfId="18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uniqueName="1" name="SummaryHalfWidth" queryTableFieldId="21" dataDxfId="17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2" name="CountersTable" displayName="CountersTable" ref="A1:O76" tableType="queryTable" totalsRowShown="0">
  <autoFilter ref="A1:O76"/>
  <tableColumns count="15">
    <tableColumn id="8" uniqueName="8" name="ProjectName" queryTableFieldId="1"/>
    <tableColumn id="9" uniqueName="9" name="Project RunDateTime" queryTableFieldId="2"/>
    <tableColumn id="10" uniqueName="10" name="Replication" queryTableFieldId="3"/>
    <tableColumn id="11" uniqueName="11" name="Name" queryTableFieldId="4"/>
    <tableColumn id="12" uniqueName="12" name="Type" queryTableFieldId="5"/>
    <tableColumn id="13" uniqueName="13" name="Source" queryTableFieldId="6"/>
    <tableColumn id="14" uniqueName="14" name="RecordedValue" queryTableFieldId="7"/>
    <tableColumn id="15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3" name="OutputTable" displayName="OutputTable" ref="A1:P406" tableType="queryTable" totalsRowShown="0">
  <autoFilter ref="A1:P406"/>
  <tableColumns count="16">
    <tableColumn id="8" uniqueName="8" name="ProjectName" queryTableFieldId="1"/>
    <tableColumn id="9" uniqueName="9" name="Project RunDateTime" queryTableFieldId="2"/>
    <tableColumn id="10" uniqueName="10" name="Replication" queryTableFieldId="3"/>
    <tableColumn id="11" uniqueName="11" name="Name" queryTableFieldId="4"/>
    <tableColumn id="12" uniqueName="12" name="Type" queryTableFieldId="5"/>
    <tableColumn id="13" uniqueName="13" name="Source" queryTableFieldId="6"/>
    <tableColumn id="14" uniqueName="14" name="RecordedValue" queryTableFieldId="7"/>
    <tableColumn id="1" uniqueName="1" name="IsPeriodic" queryTableFieldId="16"/>
    <tableColumn id="15" uniqueName="15" name="GroupByKey" queryTableFieldId="8" dataDxfId="12">
      <calculatedColumnFormula>OutputTable[[#This Row],[ProjectName]]&amp;OutputTable[[#This Row],[Name]]&amp;OutputTable[[#This Row],[Type]]&amp;OutputTable[[#This Row],[Source]]</calculatedColumnFormula>
    </tableColumn>
    <tableColumn id="16" uniqueName="16" name="RepsRequested" queryTableFieldId="9" dataDxfId="11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uniqueName="17" name="Average" queryTableFieldId="10" dataDxfId="10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uniqueName="18" name="StandardDeviation" queryTableFieldId="11" dataDxfId="9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uniqueName="19" name="ConfidenceInterval" queryTableFieldId="12" dataDxfId="8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uniqueName="20" name="HalfWidth" queryTableFieldId="13" dataDxfId="7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uniqueName="21" name="Minimum" queryTableFieldId="14" dataDxfId="6">
      <calculatedColumnFormula array="1">MIN(IF((OutputTable[GroupByKey]=OutputTable[[#This Row],[GroupByKey]]),(OutputTable[GroupByKey]=OutputTable[[#This Row],[GroupByKey]])*OutputTable[RecordedValue]))</calculatedColumnFormula>
    </tableColumn>
    <tableColumn id="22" uniqueName="22" name="Maximum" queryTableFieldId="15" dataDxfId="5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" name="FrequencyTable" displayName="FrequencyTable" ref="A1:Q2" tableType="queryTable" insertRow="1" totalsRowShown="0">
  <autoFilter ref="A1:Q2"/>
  <tableColumns count="17">
    <tableColumn id="11" uniqueName="11" name="ProjectName" queryTableFieldId="1"/>
    <tableColumn id="12" uniqueName="12" name="Project RunDateTime" queryTableFieldId="2"/>
    <tableColumn id="13" uniqueName="13" name="Replication" queryTableFieldId="3"/>
    <tableColumn id="14" uniqueName="14" name="Name" queryTableFieldId="4"/>
    <tableColumn id="15" uniqueName="15" name="Category" queryTableFieldId="5"/>
    <tableColumn id="16" uniqueName="16" name="Source" queryTableFieldId="6"/>
    <tableColumn id="17" uniqueName="17" name="StandardPercentage" queryTableFieldId="7"/>
    <tableColumn id="18" uniqueName="18" name="RestrictedPercentage" queryTableFieldId="8" dataDxfId="2"/>
    <tableColumn id="19" uniqueName="19" name="AverageTimeInCategory" queryTableFieldId="9"/>
    <tableColumn id="20" uniqueName="20" name="FrequencyCategoryCount" queryTableFieldId="10"/>
    <tableColumn id="1" uniqueName="1" name="IncludeOption" queryTableFieldId="18"/>
    <tableColumn id="21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uniqueName="23" name="SummaryStandardPercentage" queryTableFieldId="13">
      <calculatedColumnFormula>FrequencyTable[[#This Row],[StandardPercentage]]/100</calculatedColumnFormula>
    </tableColumn>
    <tableColumn id="24" uniqueName="24" name="SummaryRestrictedPercentage" queryTableFieldId="14" dataDxfId="1">
      <calculatedColumnFormula>IF(FrequencyTable[[#This Row],[IncludeOption]]=1,(FrequencyTable[[#This Row],[RestrictedPercentage]]/100),400000000000000000000)</calculatedColumnFormula>
    </tableColumn>
    <tableColumn id="25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uniqueName="27" name="AverageRestrictedPercentage" queryTableFieldId="17" dataDxfId="0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2"/>
  <sheetViews>
    <sheetView workbookViewId="0">
      <selection activeCell="D2" sqref="D2"/>
    </sheetView>
  </sheetViews>
  <sheetFormatPr defaultRowHeight="15" x14ac:dyDescent="0.25"/>
  <cols>
    <col min="1" max="1" width="16.42578125" bestFit="1" customWidth="1"/>
    <col min="2" max="2" width="16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69</v>
      </c>
      <c r="C2" t="s">
        <v>70</v>
      </c>
      <c r="D2">
        <v>3</v>
      </c>
      <c r="E2">
        <v>15</v>
      </c>
      <c r="F2">
        <v>8000</v>
      </c>
      <c r="G2">
        <f>0.95</f>
        <v>0.95</v>
      </c>
    </row>
  </sheetData>
  <phoneticPr fontId="2" type="noConversion"/>
  <conditionalFormatting sqref="D2">
    <cfRule type="expression" dxfId="69" priority="1">
      <formula>D2=3</formula>
    </cfRule>
    <cfRule type="expression" dxfId="68" priority="2">
      <formula>D2=2</formula>
    </cfRule>
    <cfRule type="expression" dxfId="67" priority="3">
      <formula>D2=1</formula>
    </cfRule>
    <cfRule type="expression" dxfId="66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Z48"/>
  <sheetViews>
    <sheetView tabSelected="1" workbookViewId="0"/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9.28515625" bestFit="1" customWidth="1"/>
    <col min="5" max="5" width="30.5703125" bestFit="1" customWidth="1"/>
    <col min="6" max="6" width="20.85546875" bestFit="1" customWidth="1"/>
    <col min="7" max="7" width="10.85546875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2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13.8554687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0.85546875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65</v>
      </c>
      <c r="B3" t="s">
        <v>65</v>
      </c>
      <c r="C3" t="s">
        <v>65</v>
      </c>
      <c r="D3" t="s">
        <v>65</v>
      </c>
      <c r="E3" s="5"/>
      <c r="F3" s="5"/>
      <c r="G3" s="5"/>
      <c r="H3" s="5"/>
      <c r="I3" s="5"/>
      <c r="J3" s="5"/>
      <c r="K3" s="5"/>
      <c r="L3" s="5"/>
      <c r="M3" s="5"/>
      <c r="O3" t="s">
        <v>67</v>
      </c>
      <c r="P3" t="s">
        <v>71</v>
      </c>
      <c r="Q3" t="s">
        <v>72</v>
      </c>
      <c r="R3" t="s">
        <v>73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AA3" t="s">
        <v>67</v>
      </c>
      <c r="AB3" t="s">
        <v>103</v>
      </c>
      <c r="AC3" t="s">
        <v>104</v>
      </c>
      <c r="AD3" t="s">
        <v>105</v>
      </c>
      <c r="AE3" s="5">
        <v>0</v>
      </c>
      <c r="AF3" s="5">
        <v>0</v>
      </c>
      <c r="AG3" s="5">
        <v>0</v>
      </c>
      <c r="AH3" s="5">
        <v>0</v>
      </c>
      <c r="AI3" s="5">
        <v>0</v>
      </c>
      <c r="AK3" t="s">
        <v>67</v>
      </c>
      <c r="AL3" t="s">
        <v>110</v>
      </c>
      <c r="AM3" t="s">
        <v>111</v>
      </c>
      <c r="AN3" t="s">
        <v>112</v>
      </c>
      <c r="AO3" s="5">
        <v>0</v>
      </c>
      <c r="AP3" s="5">
        <v>0</v>
      </c>
      <c r="AQ3" s="5">
        <v>0</v>
      </c>
      <c r="AR3" s="5">
        <v>0</v>
      </c>
      <c r="AS3" s="5">
        <v>0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Q4" t="s">
        <v>74</v>
      </c>
      <c r="R4" t="s">
        <v>73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B4" t="s">
        <v>106</v>
      </c>
      <c r="AC4" t="s">
        <v>104</v>
      </c>
      <c r="AD4" t="s">
        <v>105</v>
      </c>
      <c r="AE4" s="5">
        <v>0</v>
      </c>
      <c r="AF4" s="5">
        <v>0</v>
      </c>
      <c r="AG4" s="5">
        <v>0</v>
      </c>
      <c r="AH4" s="5">
        <v>0</v>
      </c>
      <c r="AI4" s="5">
        <v>0</v>
      </c>
      <c r="AL4" t="s">
        <v>113</v>
      </c>
      <c r="AM4" t="s">
        <v>114</v>
      </c>
      <c r="AN4" t="s">
        <v>73</v>
      </c>
      <c r="AO4" s="5">
        <v>0</v>
      </c>
      <c r="AP4" s="5">
        <v>0</v>
      </c>
      <c r="AQ4" s="5">
        <v>0</v>
      </c>
      <c r="AR4" s="5">
        <v>0</v>
      </c>
      <c r="AS4" s="5">
        <v>0</v>
      </c>
    </row>
    <row r="5" spans="1:52" x14ac:dyDescent="0.25">
      <c r="Q5" t="s">
        <v>75</v>
      </c>
      <c r="R5" t="s">
        <v>73</v>
      </c>
      <c r="S5" s="5">
        <v>1.5333142680768803</v>
      </c>
      <c r="T5" s="5">
        <v>0.13374871983117992</v>
      </c>
      <c r="U5" s="5">
        <v>0.24151891999367611</v>
      </c>
      <c r="V5" s="5">
        <v>1</v>
      </c>
      <c r="W5" s="5">
        <v>2</v>
      </c>
      <c r="X5" s="5">
        <v>1</v>
      </c>
      <c r="Y5" s="5">
        <v>2</v>
      </c>
      <c r="AB5" t="s">
        <v>107</v>
      </c>
      <c r="AC5" t="s">
        <v>104</v>
      </c>
      <c r="AD5" t="s">
        <v>105</v>
      </c>
      <c r="AE5" s="5">
        <v>0</v>
      </c>
      <c r="AF5" s="5">
        <v>0</v>
      </c>
      <c r="AG5" s="5">
        <v>0</v>
      </c>
      <c r="AH5" s="5">
        <v>0</v>
      </c>
      <c r="AI5" s="5">
        <v>0</v>
      </c>
      <c r="AL5" t="s">
        <v>115</v>
      </c>
      <c r="AM5" t="s">
        <v>116</v>
      </c>
      <c r="AN5" t="s">
        <v>73</v>
      </c>
      <c r="AO5" s="5">
        <v>0</v>
      </c>
      <c r="AP5" s="5">
        <v>0</v>
      </c>
      <c r="AQ5" s="5">
        <v>0</v>
      </c>
      <c r="AR5" s="5">
        <v>0</v>
      </c>
      <c r="AS5" s="5">
        <v>0</v>
      </c>
    </row>
    <row r="6" spans="1:52" x14ac:dyDescent="0.25">
      <c r="P6" t="s">
        <v>76</v>
      </c>
      <c r="Q6" t="s">
        <v>72</v>
      </c>
      <c r="R6" t="s">
        <v>73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B6" t="s">
        <v>108</v>
      </c>
      <c r="AC6" t="s">
        <v>104</v>
      </c>
      <c r="AD6" t="s">
        <v>105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L6" t="s">
        <v>117</v>
      </c>
      <c r="AM6" t="s">
        <v>114</v>
      </c>
      <c r="AN6" t="s">
        <v>73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</row>
    <row r="7" spans="1:52" x14ac:dyDescent="0.25">
      <c r="Q7" t="s">
        <v>74</v>
      </c>
      <c r="R7" t="s">
        <v>73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B7" t="s">
        <v>109</v>
      </c>
      <c r="AC7" t="s">
        <v>104</v>
      </c>
      <c r="AD7" t="s">
        <v>105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L7" t="s">
        <v>118</v>
      </c>
      <c r="AM7" t="s">
        <v>116</v>
      </c>
      <c r="AN7" t="s">
        <v>73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</row>
    <row r="8" spans="1:52" x14ac:dyDescent="0.25">
      <c r="Q8" t="s">
        <v>75</v>
      </c>
      <c r="R8" t="s">
        <v>73</v>
      </c>
      <c r="S8" s="5">
        <v>1.5334666666666668</v>
      </c>
      <c r="T8" s="5">
        <v>0.13376733135491528</v>
      </c>
      <c r="U8" s="5">
        <v>0.24155252805450594</v>
      </c>
      <c r="V8" s="5">
        <v>1</v>
      </c>
      <c r="W8" s="5">
        <v>2</v>
      </c>
      <c r="X8" s="5">
        <v>1</v>
      </c>
      <c r="Y8" s="5">
        <v>2</v>
      </c>
      <c r="AL8" t="s">
        <v>119</v>
      </c>
      <c r="AM8" t="s">
        <v>120</v>
      </c>
      <c r="AN8" t="s">
        <v>79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</row>
    <row r="9" spans="1:52" x14ac:dyDescent="0.25">
      <c r="P9" t="s">
        <v>77</v>
      </c>
      <c r="Q9" t="s">
        <v>78</v>
      </c>
      <c r="R9" t="s">
        <v>79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L9" t="s">
        <v>121</v>
      </c>
      <c r="AM9" t="s">
        <v>111</v>
      </c>
      <c r="AN9" t="s">
        <v>79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</row>
    <row r="10" spans="1:52" x14ac:dyDescent="0.25">
      <c r="P10" t="s">
        <v>80</v>
      </c>
      <c r="Q10" t="s">
        <v>72</v>
      </c>
      <c r="R10" t="s">
        <v>73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L10" t="s">
        <v>122</v>
      </c>
      <c r="AM10" t="s">
        <v>114</v>
      </c>
      <c r="AN10" t="s">
        <v>73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</row>
    <row r="11" spans="1:52" x14ac:dyDescent="0.25">
      <c r="Q11" t="s">
        <v>74</v>
      </c>
      <c r="R11" t="s">
        <v>73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L11" t="s">
        <v>123</v>
      </c>
      <c r="AM11" t="s">
        <v>116</v>
      </c>
      <c r="AN11" t="s">
        <v>73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</row>
    <row r="12" spans="1:52" x14ac:dyDescent="0.25">
      <c r="Q12" t="s">
        <v>75</v>
      </c>
      <c r="R12" t="s">
        <v>73</v>
      </c>
      <c r="S12" s="5">
        <v>1.5334471868881776</v>
      </c>
      <c r="T12" s="5">
        <v>0.13376494097407529</v>
      </c>
      <c r="U12" s="5">
        <v>0.24154821158553658</v>
      </c>
      <c r="V12" s="5">
        <v>1</v>
      </c>
      <c r="W12" s="5">
        <v>2</v>
      </c>
      <c r="X12" s="5">
        <v>1</v>
      </c>
      <c r="Y12" s="5">
        <v>2</v>
      </c>
      <c r="AL12" t="s">
        <v>124</v>
      </c>
      <c r="AM12" t="s">
        <v>114</v>
      </c>
      <c r="AN12" t="s">
        <v>73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</row>
    <row r="13" spans="1:52" x14ac:dyDescent="0.25">
      <c r="P13" t="s">
        <v>81</v>
      </c>
      <c r="Q13" t="s">
        <v>72</v>
      </c>
      <c r="R13" t="s">
        <v>73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L13" t="s">
        <v>125</v>
      </c>
      <c r="AM13" t="s">
        <v>116</v>
      </c>
      <c r="AN13" t="s">
        <v>73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</row>
    <row r="14" spans="1:52" x14ac:dyDescent="0.25">
      <c r="Q14" t="s">
        <v>74</v>
      </c>
      <c r="R14" t="s">
        <v>73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L14" t="s">
        <v>126</v>
      </c>
      <c r="AM14" t="s">
        <v>114</v>
      </c>
      <c r="AN14" t="s">
        <v>73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</row>
    <row r="15" spans="1:52" x14ac:dyDescent="0.25">
      <c r="Q15" t="s">
        <v>75</v>
      </c>
      <c r="R15" t="s">
        <v>73</v>
      </c>
      <c r="S15" s="5">
        <v>1.5332999999999999</v>
      </c>
      <c r="T15" s="5">
        <v>0.1337468610646356</v>
      </c>
      <c r="U15" s="5">
        <v>0.24151556349584294</v>
      </c>
      <c r="V15" s="5">
        <v>1</v>
      </c>
      <c r="W15" s="5">
        <v>2</v>
      </c>
      <c r="X15" s="5">
        <v>1</v>
      </c>
      <c r="Y15" s="5">
        <v>2</v>
      </c>
      <c r="AL15" t="s">
        <v>127</v>
      </c>
      <c r="AM15" t="s">
        <v>116</v>
      </c>
      <c r="AN15" t="s">
        <v>73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</row>
    <row r="16" spans="1:52" x14ac:dyDescent="0.25">
      <c r="P16" t="s">
        <v>82</v>
      </c>
      <c r="Q16" t="s">
        <v>72</v>
      </c>
      <c r="R16" t="s">
        <v>73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L16" t="s">
        <v>128</v>
      </c>
      <c r="AM16" t="s">
        <v>114</v>
      </c>
      <c r="AN16" t="s">
        <v>73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</row>
    <row r="17" spans="16:45" x14ac:dyDescent="0.25">
      <c r="Q17" t="s">
        <v>74</v>
      </c>
      <c r="R17" t="s">
        <v>73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L17" t="s">
        <v>129</v>
      </c>
      <c r="AM17" t="s">
        <v>116</v>
      </c>
      <c r="AN17" t="s">
        <v>73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</row>
    <row r="18" spans="16:45" x14ac:dyDescent="0.25">
      <c r="Q18" t="s">
        <v>75</v>
      </c>
      <c r="R18" t="s">
        <v>73</v>
      </c>
      <c r="S18" s="5">
        <v>1.5334510661643974</v>
      </c>
      <c r="T18" s="5">
        <v>0.13376541483042423</v>
      </c>
      <c r="U18" s="5">
        <v>0.24154906725932371</v>
      </c>
      <c r="V18" s="5">
        <v>1</v>
      </c>
      <c r="W18" s="5">
        <v>2</v>
      </c>
      <c r="X18" s="5">
        <v>1</v>
      </c>
      <c r="Y18" s="5">
        <v>2</v>
      </c>
      <c r="AL18" t="s">
        <v>130</v>
      </c>
      <c r="AM18" t="s">
        <v>114</v>
      </c>
      <c r="AN18" t="s">
        <v>73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</row>
    <row r="19" spans="16:45" x14ac:dyDescent="0.25">
      <c r="P19" t="s">
        <v>83</v>
      </c>
      <c r="Q19" t="s">
        <v>84</v>
      </c>
      <c r="R19" t="s">
        <v>85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L19" t="s">
        <v>131</v>
      </c>
      <c r="AM19" t="s">
        <v>116</v>
      </c>
      <c r="AN19" t="s">
        <v>73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</row>
    <row r="20" spans="16:45" x14ac:dyDescent="0.25">
      <c r="P20" t="s">
        <v>86</v>
      </c>
      <c r="Q20" t="s">
        <v>84</v>
      </c>
      <c r="R20" t="s">
        <v>85</v>
      </c>
      <c r="S20" s="5">
        <v>3.3333333333333335</v>
      </c>
      <c r="T20" s="5">
        <v>2.5348669368881507</v>
      </c>
      <c r="U20" s="5">
        <v>4.577377082170635</v>
      </c>
      <c r="V20" s="5">
        <v>0</v>
      </c>
      <c r="W20" s="5">
        <v>12</v>
      </c>
      <c r="X20" s="5">
        <v>0</v>
      </c>
      <c r="Y20" s="5">
        <v>12</v>
      </c>
      <c r="AL20" t="s">
        <v>132</v>
      </c>
      <c r="AM20" t="s">
        <v>114</v>
      </c>
      <c r="AN20" t="s">
        <v>73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</row>
    <row r="21" spans="16:45" x14ac:dyDescent="0.25">
      <c r="P21" t="s">
        <v>87</v>
      </c>
      <c r="Q21" t="s">
        <v>84</v>
      </c>
      <c r="R21" t="s">
        <v>85</v>
      </c>
      <c r="S21" s="5">
        <v>2.8</v>
      </c>
      <c r="T21" s="5">
        <v>2.8942323925042523</v>
      </c>
      <c r="U21" s="5">
        <v>5.226307081896902</v>
      </c>
      <c r="V21" s="5">
        <v>0</v>
      </c>
      <c r="W21" s="5">
        <v>16</v>
      </c>
      <c r="X21" s="5">
        <v>0</v>
      </c>
      <c r="Y21" s="5">
        <v>16</v>
      </c>
      <c r="AL21" t="s">
        <v>133</v>
      </c>
      <c r="AM21" t="s">
        <v>116</v>
      </c>
      <c r="AN21" t="s">
        <v>73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</row>
    <row r="22" spans="16:45" x14ac:dyDescent="0.25">
      <c r="P22" t="s">
        <v>88</v>
      </c>
      <c r="Q22" t="s">
        <v>72</v>
      </c>
      <c r="R22" t="s">
        <v>73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L22" t="s">
        <v>134</v>
      </c>
      <c r="AM22" t="s">
        <v>114</v>
      </c>
      <c r="AN22" t="s">
        <v>73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</row>
    <row r="23" spans="16:45" x14ac:dyDescent="0.25">
      <c r="Q23" t="s">
        <v>74</v>
      </c>
      <c r="R23" t="s">
        <v>73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L23" t="s">
        <v>135</v>
      </c>
      <c r="AM23" t="s">
        <v>116</v>
      </c>
      <c r="AN23" t="s">
        <v>73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</row>
    <row r="24" spans="16:45" x14ac:dyDescent="0.25">
      <c r="Q24" t="s">
        <v>75</v>
      </c>
      <c r="R24" t="s">
        <v>73</v>
      </c>
      <c r="S24" s="5">
        <v>1</v>
      </c>
      <c r="T24" s="5">
        <v>0</v>
      </c>
      <c r="U24" s="5">
        <v>0</v>
      </c>
      <c r="V24" s="5">
        <v>1</v>
      </c>
      <c r="W24" s="5">
        <v>1</v>
      </c>
      <c r="X24" s="5">
        <v>1</v>
      </c>
      <c r="Y24" s="5">
        <v>1</v>
      </c>
      <c r="AL24" t="s">
        <v>136</v>
      </c>
      <c r="AM24" t="s">
        <v>120</v>
      </c>
      <c r="AN24" t="s">
        <v>79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</row>
    <row r="25" spans="16:45" x14ac:dyDescent="0.25">
      <c r="P25" t="s">
        <v>89</v>
      </c>
      <c r="Q25" t="s">
        <v>72</v>
      </c>
      <c r="R25" t="s">
        <v>73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L25" t="s">
        <v>137</v>
      </c>
      <c r="AM25" t="s">
        <v>111</v>
      </c>
      <c r="AN25" t="s">
        <v>79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</row>
    <row r="26" spans="16:45" x14ac:dyDescent="0.25">
      <c r="Q26" t="s">
        <v>74</v>
      </c>
      <c r="R26" t="s">
        <v>73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L26" t="s">
        <v>138</v>
      </c>
      <c r="AM26" t="s">
        <v>114</v>
      </c>
      <c r="AN26" t="s">
        <v>73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</row>
    <row r="27" spans="16:45" x14ac:dyDescent="0.25">
      <c r="Q27" t="s">
        <v>75</v>
      </c>
      <c r="R27" t="s">
        <v>73</v>
      </c>
      <c r="S27" s="5">
        <v>1.5334666666666668</v>
      </c>
      <c r="T27" s="5">
        <v>0.13376733135491528</v>
      </c>
      <c r="U27" s="5">
        <v>0.24155252805450594</v>
      </c>
      <c r="V27" s="5">
        <v>1</v>
      </c>
      <c r="W27" s="5">
        <v>2</v>
      </c>
      <c r="X27" s="5">
        <v>1</v>
      </c>
      <c r="Y27" s="5">
        <v>2</v>
      </c>
      <c r="AL27" t="s">
        <v>139</v>
      </c>
      <c r="AM27" t="s">
        <v>116</v>
      </c>
      <c r="AN27" t="s">
        <v>73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</row>
    <row r="28" spans="16:45" x14ac:dyDescent="0.25">
      <c r="P28" t="s">
        <v>90</v>
      </c>
      <c r="Q28" t="s">
        <v>72</v>
      </c>
      <c r="R28" t="s">
        <v>73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L28" t="s">
        <v>140</v>
      </c>
      <c r="AM28" t="s">
        <v>114</v>
      </c>
      <c r="AN28" t="s">
        <v>73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</row>
    <row r="29" spans="16:45" x14ac:dyDescent="0.25">
      <c r="Q29" t="s">
        <v>74</v>
      </c>
      <c r="R29" t="s">
        <v>73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L29" t="s">
        <v>141</v>
      </c>
      <c r="AM29" t="s">
        <v>116</v>
      </c>
      <c r="AN29" t="s">
        <v>73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</row>
    <row r="30" spans="16:45" x14ac:dyDescent="0.25">
      <c r="Q30" t="s">
        <v>75</v>
      </c>
      <c r="R30" t="s">
        <v>73</v>
      </c>
      <c r="S30" s="5">
        <v>1</v>
      </c>
      <c r="T30" s="5">
        <v>0</v>
      </c>
      <c r="U30" s="5">
        <v>0</v>
      </c>
      <c r="V30" s="5">
        <v>1</v>
      </c>
      <c r="W30" s="5">
        <v>1</v>
      </c>
      <c r="X30" s="5">
        <v>1</v>
      </c>
      <c r="Y30" s="5">
        <v>1</v>
      </c>
    </row>
    <row r="31" spans="16:45" x14ac:dyDescent="0.25">
      <c r="P31" t="s">
        <v>91</v>
      </c>
      <c r="Q31" t="s">
        <v>72</v>
      </c>
      <c r="R31" t="s">
        <v>73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</row>
    <row r="32" spans="16:45" x14ac:dyDescent="0.25">
      <c r="Q32" t="s">
        <v>74</v>
      </c>
      <c r="R32" t="s">
        <v>73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</row>
    <row r="33" spans="16:25" x14ac:dyDescent="0.25">
      <c r="Q33" t="s">
        <v>75</v>
      </c>
      <c r="R33" t="s">
        <v>73</v>
      </c>
      <c r="S33" s="5">
        <v>1.5334666666666668</v>
      </c>
      <c r="T33" s="5">
        <v>0.13376733135491528</v>
      </c>
      <c r="U33" s="5">
        <v>0.24155252805450594</v>
      </c>
      <c r="V33" s="5">
        <v>1</v>
      </c>
      <c r="W33" s="5">
        <v>2</v>
      </c>
      <c r="X33" s="5">
        <v>1</v>
      </c>
      <c r="Y33" s="5">
        <v>2</v>
      </c>
    </row>
    <row r="34" spans="16:25" x14ac:dyDescent="0.25">
      <c r="P34" t="s">
        <v>92</v>
      </c>
      <c r="Q34" t="s">
        <v>84</v>
      </c>
      <c r="R34" t="s">
        <v>85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</row>
    <row r="35" spans="16:25" x14ac:dyDescent="0.25">
      <c r="P35" t="s">
        <v>93</v>
      </c>
      <c r="Q35" t="s">
        <v>84</v>
      </c>
      <c r="R35" t="s">
        <v>85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</row>
    <row r="36" spans="16:25" x14ac:dyDescent="0.25">
      <c r="P36" t="s">
        <v>94</v>
      </c>
      <c r="Q36" t="s">
        <v>84</v>
      </c>
      <c r="R36" t="s">
        <v>85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</row>
    <row r="37" spans="16:25" x14ac:dyDescent="0.25">
      <c r="P37" t="s">
        <v>95</v>
      </c>
      <c r="Q37" t="s">
        <v>84</v>
      </c>
      <c r="R37" t="s">
        <v>85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</row>
    <row r="38" spans="16:25" x14ac:dyDescent="0.25">
      <c r="P38" t="s">
        <v>96</v>
      </c>
      <c r="Q38" t="s">
        <v>84</v>
      </c>
      <c r="R38" t="s">
        <v>85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</row>
    <row r="39" spans="16:25" x14ac:dyDescent="0.25">
      <c r="P39" t="s">
        <v>97</v>
      </c>
      <c r="Q39" t="s">
        <v>84</v>
      </c>
      <c r="R39" t="s">
        <v>85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</row>
    <row r="40" spans="16:25" x14ac:dyDescent="0.25">
      <c r="P40" t="s">
        <v>98</v>
      </c>
      <c r="Q40" t="s">
        <v>84</v>
      </c>
      <c r="R40" t="s">
        <v>85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</row>
    <row r="41" spans="16:25" x14ac:dyDescent="0.25">
      <c r="P41" t="s">
        <v>99</v>
      </c>
      <c r="Q41" t="s">
        <v>84</v>
      </c>
      <c r="R41" t="s">
        <v>85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</row>
    <row r="42" spans="16:25" x14ac:dyDescent="0.25">
      <c r="P42" t="s">
        <v>100</v>
      </c>
      <c r="Q42" t="s">
        <v>78</v>
      </c>
      <c r="R42" t="s">
        <v>79</v>
      </c>
      <c r="S42" s="5">
        <v>6.1333333333333337</v>
      </c>
      <c r="T42" s="5">
        <v>2.944257396015229</v>
      </c>
      <c r="U42" s="5">
        <v>5.3166405433005028</v>
      </c>
      <c r="V42" s="5">
        <v>0</v>
      </c>
      <c r="W42" s="5">
        <v>16</v>
      </c>
      <c r="X42" s="5">
        <v>0</v>
      </c>
      <c r="Y42" s="5">
        <v>16</v>
      </c>
    </row>
    <row r="43" spans="16:25" x14ac:dyDescent="0.25">
      <c r="P43" t="s">
        <v>101</v>
      </c>
      <c r="Q43" t="s">
        <v>72</v>
      </c>
      <c r="R43" t="s">
        <v>73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</row>
    <row r="44" spans="16:25" x14ac:dyDescent="0.25">
      <c r="Q44" t="s">
        <v>74</v>
      </c>
      <c r="R44" t="s">
        <v>73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</row>
    <row r="45" spans="16:25" x14ac:dyDescent="0.25">
      <c r="Q45" t="s">
        <v>75</v>
      </c>
      <c r="R45" t="s">
        <v>73</v>
      </c>
      <c r="S45" s="5">
        <v>1.5334531146777051</v>
      </c>
      <c r="T45" s="5">
        <v>0.13376566756397254</v>
      </c>
      <c r="U45" s="5">
        <v>0.24154952363702747</v>
      </c>
      <c r="V45" s="5">
        <v>1</v>
      </c>
      <c r="W45" s="5">
        <v>2</v>
      </c>
      <c r="X45" s="5">
        <v>1</v>
      </c>
      <c r="Y45" s="5">
        <v>2</v>
      </c>
    </row>
    <row r="46" spans="16:25" x14ac:dyDescent="0.25">
      <c r="P46" t="s">
        <v>102</v>
      </c>
      <c r="Q46" t="s">
        <v>72</v>
      </c>
      <c r="R46" t="s">
        <v>73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</row>
    <row r="47" spans="16:25" x14ac:dyDescent="0.25">
      <c r="Q47" t="s">
        <v>74</v>
      </c>
      <c r="R47" t="s">
        <v>73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</row>
    <row r="48" spans="16:25" x14ac:dyDescent="0.25">
      <c r="Q48" t="s">
        <v>75</v>
      </c>
      <c r="R48" t="s">
        <v>73</v>
      </c>
      <c r="S48" s="5">
        <v>1.5334635492504263</v>
      </c>
      <c r="T48" s="5">
        <v>0.1337669483846978</v>
      </c>
      <c r="U48" s="5">
        <v>0.24155183649982462</v>
      </c>
      <c r="V48" s="5">
        <v>1</v>
      </c>
      <c r="W48" s="5">
        <v>2</v>
      </c>
      <c r="X48" s="5">
        <v>1</v>
      </c>
      <c r="Y48" s="5">
        <v>2</v>
      </c>
    </row>
  </sheetData>
  <dataConsolidate/>
  <conditionalFormatting pivot="1" sqref="G3">
    <cfRule type="expression" dxfId="65" priority="14">
      <formula>G3=200000000000000000000</formula>
    </cfRule>
  </conditionalFormatting>
  <conditionalFormatting pivot="1" sqref="T3:T48">
    <cfRule type="expression" dxfId="64" priority="13">
      <formula>T3=200000000000000000000</formula>
    </cfRule>
  </conditionalFormatting>
  <conditionalFormatting pivot="1" sqref="T3:T48">
    <cfRule type="expression" dxfId="63" priority="12">
      <formula>T3=300000000000000000000</formula>
    </cfRule>
  </conditionalFormatting>
  <conditionalFormatting pivot="1" sqref="G3">
    <cfRule type="expression" dxfId="62" priority="11">
      <formula>G3=300000000000000000000</formula>
    </cfRule>
  </conditionalFormatting>
  <conditionalFormatting pivot="1" sqref="F3">
    <cfRule type="expression" dxfId="61" priority="10">
      <formula>F3=0</formula>
    </cfRule>
  </conditionalFormatting>
  <conditionalFormatting pivot="1" sqref="F3">
    <cfRule type="expression" dxfId="60" priority="9">
      <formula>F3=1</formula>
    </cfRule>
  </conditionalFormatting>
  <conditionalFormatting pivot="1" sqref="T3:T48">
    <cfRule type="expression" dxfId="59" priority="8">
      <formula>T3=400000000000000000000</formula>
    </cfRule>
  </conditionalFormatting>
  <conditionalFormatting pivot="1" sqref="AP3:AP29">
    <cfRule type="expression" dxfId="58" priority="7">
      <formula>AP3=400000000000000000000</formula>
    </cfRule>
  </conditionalFormatting>
  <conditionalFormatting pivot="1" sqref="AF3:AF7">
    <cfRule type="expression" dxfId="57" priority="6">
      <formula>AF3=400000000000000000000</formula>
    </cfRule>
  </conditionalFormatting>
  <conditionalFormatting pivot="1" sqref="G3">
    <cfRule type="expression" dxfId="56" priority="5">
      <formula>G3=400000000000000000000</formula>
    </cfRule>
  </conditionalFormatting>
  <conditionalFormatting pivot="1" sqref="AZ3">
    <cfRule type="expression" dxfId="55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1"/>
  <sheetViews>
    <sheetView workbookViewId="0">
      <selection activeCell="A27" sqref="A27"/>
    </sheetView>
  </sheetViews>
  <sheetFormatPr defaultRowHeight="15" x14ac:dyDescent="0.25"/>
  <cols>
    <col min="1" max="1" width="14.85546875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customWidth="1"/>
    <col min="6" max="6" width="9.28515625" bestFit="1" customWidth="1"/>
    <col min="7" max="7" width="10.5703125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14.28515625" customWidth="1"/>
    <col min="13" max="13" width="17.28515625" bestFit="1" customWidth="1"/>
    <col min="14" max="14" width="20.28515625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customWidth="1"/>
    <col min="20" max="20" width="18.5703125" customWidth="1"/>
    <col min="21" max="21" width="18.85546875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</sheetData>
  <phoneticPr fontId="2" type="noConversion"/>
  <conditionalFormatting sqref="H2 Q2">
    <cfRule type="expression" dxfId="53" priority="23">
      <formula>H2=200000000000000000000</formula>
    </cfRule>
  </conditionalFormatting>
  <conditionalFormatting sqref="H2">
    <cfRule type="expression" dxfId="52" priority="21">
      <formula>H2=300000000000000000000</formula>
    </cfRule>
  </conditionalFormatting>
  <conditionalFormatting sqref="L2:Y2">
    <cfRule type="expression" dxfId="51" priority="19">
      <formula>MOD(ROW(),2)=0</formula>
    </cfRule>
  </conditionalFormatting>
  <conditionalFormatting sqref="Y2">
    <cfRule type="expression" dxfId="50" priority="14">
      <formula>Y2=0</formula>
    </cfRule>
    <cfRule type="expression" dxfId="49" priority="16">
      <formula>Y2=1</formula>
    </cfRule>
  </conditionalFormatting>
  <conditionalFormatting sqref="W2">
    <cfRule type="expression" dxfId="48" priority="6">
      <formula>W2=300000000000000000000</formula>
    </cfRule>
    <cfRule type="expression" dxfId="47" priority="7">
      <formula>W2=200000000000000000000</formula>
    </cfRule>
  </conditionalFormatting>
  <conditionalFormatting sqref="Q2 W2">
    <cfRule type="expression" dxfId="46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691"/>
  <sheetViews>
    <sheetView workbookViewId="0">
      <selection activeCell="E31" sqref="E3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6.8554687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6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0</v>
      </c>
      <c r="H2">
        <v>2E+20</v>
      </c>
      <c r="I2">
        <v>0</v>
      </c>
      <c r="J2">
        <v>0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ProjectassemblerInstantaneous UtilizationResource</v>
      </c>
      <c r="N2">
        <f t="array" ref="N2">MAX(IF((ProjectInfoTable[ProjectName]=ContinuousStatsTable[[#This Row],[ProjectName]]),(ProjectInfoTable[ProjectName]=ContinuousStatsTable[[#This Row],[ProjectName]])*ProjectInfoTable[NumberOfReplications]))</f>
        <v>15</v>
      </c>
      <c r="O2">
        <f t="array" ref="O2">IFERROR(AVERAGE(IF((ContinuousStatsTable[GroupByKey]=ContinuousStatsTable[[#This Row],[GroupByKey]]),(ContinuousStatsTable[GroupByKey]=ContinuousStatsTable[[#This Row],[GroupByKey]])*ContinuousStatsTable[Average])),0)</f>
        <v>0</v>
      </c>
      <c r="P2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">
        <f t="array" ref="S2">MIN(IF((ContinuousStatsTable[GroupByKey]=ContinuousStatsTable[[#This Row],[GroupByKey]]),(ContinuousStatsTable[GroupByKey]=ContinuousStatsTable[[#This Row],[GroupByKey]])*ContinuousStatsTable[Average]))</f>
        <v>0</v>
      </c>
      <c r="T2">
        <f t="array" ref="T2">MAX(IF((ContinuousStatsTable[GroupByKey]=ContinuousStatsTable[[#This Row],[GroupByKey]]),(ContinuousStatsTable[GroupByKey]=ContinuousStatsTable[[#This Row],[GroupByKey]])*ContinuousStatsTable[Average]))</f>
        <v>0</v>
      </c>
      <c r="U2">
        <f>IF((ContinuousStatsTable[[#This Row],[RepsRequested]]&gt;1),ContinuousStatsTable[[#This Row],[HalfWidth]],ContinuousStatsTable[[#This Row],[BatchMeansHalfWidth]])</f>
        <v>0</v>
      </c>
    </row>
    <row r="3" spans="1:21" x14ac:dyDescent="0.25">
      <c r="A3" t="s">
        <v>67</v>
      </c>
      <c r="B3" t="s">
        <v>70</v>
      </c>
      <c r="C3">
        <v>1</v>
      </c>
      <c r="D3" t="s">
        <v>71</v>
      </c>
      <c r="E3" t="s">
        <v>74</v>
      </c>
      <c r="F3" t="s">
        <v>73</v>
      </c>
      <c r="G3">
        <v>0</v>
      </c>
      <c r="H3">
        <v>2E+20</v>
      </c>
      <c r="I3">
        <v>0</v>
      </c>
      <c r="J3">
        <v>0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ProjectassemblerNumber BusyResource</v>
      </c>
      <c r="N3">
        <f t="array" ref="N3">MAX(IF((ProjectInfoTable[ProjectName]=ContinuousStatsTable[[#This Row],[ProjectName]]),(ProjectInfoTable[ProjectName]=ContinuousStatsTable[[#This Row],[ProjectName]])*ProjectInfoTable[NumberOfReplications]))</f>
        <v>15</v>
      </c>
      <c r="O3">
        <f t="array" ref="O3">IFERROR(AVERAGE(IF((ContinuousStatsTable[GroupByKey]=ContinuousStatsTable[[#This Row],[GroupByKey]]),(ContinuousStatsTable[GroupByKey]=ContinuousStatsTable[[#This Row],[GroupByKey]])*ContinuousStatsTable[Average])),0)</f>
        <v>0</v>
      </c>
      <c r="P3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">
        <f t="array" ref="S3">MIN(IF((ContinuousStatsTable[GroupByKey]=ContinuousStatsTable[[#This Row],[GroupByKey]]),(ContinuousStatsTable[GroupByKey]=ContinuousStatsTable[[#This Row],[GroupByKey]])*ContinuousStatsTable[Average]))</f>
        <v>0</v>
      </c>
      <c r="T3">
        <f t="array" ref="T3">MAX(IF((ContinuousStatsTable[GroupByKey]=ContinuousStatsTable[[#This Row],[GroupByKey]]),(ContinuousStatsTable[GroupByKey]=ContinuousStatsTable[[#This Row],[GroupByKey]])*ContinuousStatsTable[Average]))</f>
        <v>0</v>
      </c>
      <c r="U3">
        <f>IF((ContinuousStatsTable[[#This Row],[RepsRequested]]&gt;1),ContinuousStatsTable[[#This Row],[HalfWidth]],ContinuousStatsTable[[#This Row],[BatchMeansHalfWidth]])</f>
        <v>0</v>
      </c>
    </row>
    <row r="4" spans="1:21" x14ac:dyDescent="0.25">
      <c r="A4" t="s">
        <v>67</v>
      </c>
      <c r="B4" t="s">
        <v>70</v>
      </c>
      <c r="C4">
        <v>1</v>
      </c>
      <c r="D4" t="s">
        <v>71</v>
      </c>
      <c r="E4" t="s">
        <v>75</v>
      </c>
      <c r="F4" t="s">
        <v>73</v>
      </c>
      <c r="G4">
        <v>1.5832376650409301</v>
      </c>
      <c r="H4">
        <v>3E+20</v>
      </c>
      <c r="I4">
        <v>1</v>
      </c>
      <c r="J4">
        <v>2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ProjectassemblerNumber ScheduledResource</v>
      </c>
      <c r="N4">
        <f t="array" ref="N4">MAX(IF((ProjectInfoTable[ProjectName]=ContinuousStatsTable[[#This Row],[ProjectName]]),(ProjectInfoTable[ProjectName]=ContinuousStatsTable[[#This Row],[ProjectName]])*ProjectInfoTable[NumberOfReplications]))</f>
        <v>15</v>
      </c>
      <c r="O4">
        <f t="array" ref="O4">IFERROR(AVERAGE(IF((ContinuousStatsTable[GroupByKey]=ContinuousStatsTable[[#This Row],[GroupByKey]]),(ContinuousStatsTable[GroupByKey]=ContinuousStatsTable[[#This Row],[GroupByKey]])*ContinuousStatsTable[Average])),0)</f>
        <v>1.5333142680768803</v>
      </c>
      <c r="P4">
        <f t="array" ref="P4">IFERROR(_xlfn.STDEV.S(IF((ContinuousStatsTable[GroupByKey]=ContinuousStatsTable[[#This Row],[GroupByKey]]),(ContinuousStatsTable[GroupByKey]=ContinuousStatsTable[[#This Row],[GroupByKey]])*ContinuousStatsTable[Average])),0)</f>
        <v>0.24151891999367611</v>
      </c>
      <c r="Q4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0.13374871983117992</v>
      </c>
      <c r="S4">
        <f t="array" ref="S4">MIN(IF((ContinuousStatsTable[GroupByKey]=ContinuousStatsTable[[#This Row],[GroupByKey]]),(ContinuousStatsTable[GroupByKey]=ContinuousStatsTable[[#This Row],[GroupByKey]])*ContinuousStatsTable[Average]))</f>
        <v>1</v>
      </c>
      <c r="T4">
        <f t="array" ref="T4">MAX(IF((ContinuousStatsTable[GroupByKey]=ContinuousStatsTable[[#This Row],[GroupByKey]]),(ContinuousStatsTable[GroupByKey]=ContinuousStatsTable[[#This Row],[GroupByKey]])*ContinuousStatsTable[Average]))</f>
        <v>2</v>
      </c>
      <c r="U4">
        <f>IF((ContinuousStatsTable[[#This Row],[RepsRequested]]&gt;1),ContinuousStatsTable[[#This Row],[HalfWidth]],ContinuousStatsTable[[#This Row],[BatchMeansHalfWidth]])</f>
        <v>0.13374871983117992</v>
      </c>
    </row>
    <row r="5" spans="1:21" x14ac:dyDescent="0.25">
      <c r="A5" t="s">
        <v>67</v>
      </c>
      <c r="B5" t="s">
        <v>70</v>
      </c>
      <c r="C5">
        <v>1</v>
      </c>
      <c r="D5" t="s">
        <v>76</v>
      </c>
      <c r="E5" t="s">
        <v>72</v>
      </c>
      <c r="F5" t="s">
        <v>73</v>
      </c>
      <c r="G5">
        <v>0</v>
      </c>
      <c r="H5">
        <v>2E+20</v>
      </c>
      <c r="I5">
        <v>0</v>
      </c>
      <c r="J5">
        <v>0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ProjectassemblyqcworkerInstantaneous UtilizationResource</v>
      </c>
      <c r="N5">
        <f t="array" ref="N5">MAX(IF((ProjectInfoTable[ProjectName]=ContinuousStatsTable[[#This Row],[ProjectName]]),(ProjectInfoTable[ProjectName]=ContinuousStatsTable[[#This Row],[ProjectName]])*ProjectInfoTable[NumberOfReplications]))</f>
        <v>15</v>
      </c>
      <c r="O5">
        <f t="array" ref="O5">IFERROR(AVERAGE(IF((ContinuousStatsTable[GroupByKey]=ContinuousStatsTable[[#This Row],[GroupByKey]]),(ContinuousStatsTable[GroupByKey]=ContinuousStatsTable[[#This Row],[GroupByKey]])*ContinuousStatsTable[Average])),0)</f>
        <v>0</v>
      </c>
      <c r="P5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>
        <f t="array" ref="S5">MIN(IF((ContinuousStatsTable[GroupByKey]=ContinuousStatsTable[[#This Row],[GroupByKey]]),(ContinuousStatsTable[GroupByKey]=ContinuousStatsTable[[#This Row],[GroupByKey]])*ContinuousStatsTable[Average]))</f>
        <v>0</v>
      </c>
      <c r="T5">
        <f t="array" ref="T5">MAX(IF((ContinuousStatsTable[GroupByKey]=ContinuousStatsTable[[#This Row],[GroupByKey]]),(ContinuousStatsTable[GroupByKey]=ContinuousStatsTable[[#This Row],[GroupByKey]])*ContinuousStatsTable[Average]))</f>
        <v>0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25">
      <c r="A6" t="s">
        <v>67</v>
      </c>
      <c r="B6" t="s">
        <v>70</v>
      </c>
      <c r="C6">
        <v>1</v>
      </c>
      <c r="D6" t="s">
        <v>76</v>
      </c>
      <c r="E6" t="s">
        <v>74</v>
      </c>
      <c r="F6" t="s">
        <v>73</v>
      </c>
      <c r="G6">
        <v>0</v>
      </c>
      <c r="H6">
        <v>2E+20</v>
      </c>
      <c r="I6">
        <v>0</v>
      </c>
      <c r="J6">
        <v>0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ProjectassemblyqcworkerNumber BusyResource</v>
      </c>
      <c r="N6">
        <f t="array" ref="N6">MAX(IF((ProjectInfoTable[ProjectName]=ContinuousStatsTable[[#This Row],[ProjectName]]),(ProjectInfoTable[ProjectName]=ContinuousStatsTable[[#This Row],[ProjectName]])*ProjectInfoTable[NumberOfReplications]))</f>
        <v>15</v>
      </c>
      <c r="O6">
        <f t="array" ref="O6">IFERROR(AVERAGE(IF((ContinuousStatsTable[GroupByKey]=ContinuousStatsTable[[#This Row],[GroupByKey]]),(ContinuousStatsTable[GroupByKey]=ContinuousStatsTable[[#This Row],[GroupByKey]])*ContinuousStatsTable[Average])),0)</f>
        <v>0</v>
      </c>
      <c r="P6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>
        <f t="array" ref="T6">MAX(IF((ContinuousStatsTable[GroupByKey]=ContinuousStatsTable[[#This Row],[GroupByKey]]),(ContinuousStatsTable[GroupByKey]=ContinuousStatsTable[[#This Row],[GroupByKey]])*ContinuousStatsTable[Average]))</f>
        <v>0</v>
      </c>
      <c r="U6">
        <f>IF((ContinuousStatsTable[[#This Row],[RepsRequested]]&gt;1),ContinuousStatsTable[[#This Row],[HalfWidth]],ContinuousStatsTable[[#This Row],[BatchMeansHalfWidth]])</f>
        <v>0</v>
      </c>
    </row>
    <row r="7" spans="1:21" x14ac:dyDescent="0.25">
      <c r="A7" t="s">
        <v>67</v>
      </c>
      <c r="B7" t="s">
        <v>70</v>
      </c>
      <c r="C7">
        <v>1</v>
      </c>
      <c r="D7" t="s">
        <v>76</v>
      </c>
      <c r="E7" t="s">
        <v>75</v>
      </c>
      <c r="F7" t="s">
        <v>73</v>
      </c>
      <c r="G7">
        <v>1.5834999999999999</v>
      </c>
      <c r="H7">
        <v>3E+20</v>
      </c>
      <c r="I7">
        <v>1</v>
      </c>
      <c r="J7">
        <v>2</v>
      </c>
      <c r="K7">
        <v>2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ProjectassemblyqcworkerNumber ScheduledResource</v>
      </c>
      <c r="N7">
        <f t="array" ref="N7">MAX(IF((ProjectInfoTable[ProjectName]=ContinuousStatsTable[[#This Row],[ProjectName]]),(ProjectInfoTable[ProjectName]=ContinuousStatsTable[[#This Row],[ProjectName]])*ProjectInfoTable[NumberOfReplications]))</f>
        <v>15</v>
      </c>
      <c r="O7">
        <f t="array" ref="O7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7">
        <f t="array" ref="P7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7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7">
        <f t="array" ref="S7">MIN(IF((ContinuousStatsTable[GroupByKey]=ContinuousStatsTable[[#This Row],[GroupByKey]]),(ContinuousStatsTable[GroupByKey]=ContinuousStatsTable[[#This Row],[GroupByKey]])*ContinuousStatsTable[Average]))</f>
        <v>1</v>
      </c>
      <c r="T7">
        <f t="array" ref="T7">MAX(IF((ContinuousStatsTable[GroupByKey]=ContinuousStatsTable[[#This Row],[GroupByKey]]),(ContinuousStatsTable[GroupByKey]=ContinuousStatsTable[[#This Row],[GroupByKey]])*ContinuousStatsTable[Average]))</f>
        <v>2</v>
      </c>
      <c r="U7">
        <f>IF((ContinuousStatsTable[[#This Row],[RepsRequested]]&gt;1),ContinuousStatsTable[[#This Row],[HalfWidth]],ContinuousStatsTable[[#This Row],[BatchMeansHalfWidth]])</f>
        <v>0.13376733135491528</v>
      </c>
    </row>
    <row r="8" spans="1:21" x14ac:dyDescent="0.25">
      <c r="A8" t="s">
        <v>67</v>
      </c>
      <c r="B8" t="s">
        <v>70</v>
      </c>
      <c r="C8">
        <v>1</v>
      </c>
      <c r="D8" t="s">
        <v>77</v>
      </c>
      <c r="E8" t="s">
        <v>78</v>
      </c>
      <c r="F8" t="s">
        <v>79</v>
      </c>
      <c r="G8">
        <v>0</v>
      </c>
      <c r="H8">
        <v>2E+20</v>
      </c>
      <c r="I8">
        <v>0</v>
      </c>
      <c r="J8">
        <v>0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Projectbatched_partsWIPEntity</v>
      </c>
      <c r="N8">
        <f t="array" ref="N8">MAX(IF((ProjectInfoTable[ProjectName]=ContinuousStatsTable[[#This Row],[ProjectName]]),(ProjectInfoTable[ProjectName]=ContinuousStatsTable[[#This Row],[ProjectName]])*ProjectInfoTable[NumberOfReplications]))</f>
        <v>15</v>
      </c>
      <c r="O8">
        <f t="array" ref="O8">IFERROR(AVERAGE(IF((ContinuousStatsTable[GroupByKey]=ContinuousStatsTable[[#This Row],[GroupByKey]]),(ContinuousStatsTable[GroupByKey]=ContinuousStatsTable[[#This Row],[GroupByKey]])*ContinuousStatsTable[Average])),0)</f>
        <v>0</v>
      </c>
      <c r="P8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">
        <f t="array" ref="S8">MIN(IF((ContinuousStatsTable[GroupByKey]=ContinuousStatsTable[[#This Row],[GroupByKey]]),(ContinuousStatsTable[GroupByKey]=ContinuousStatsTable[[#This Row],[GroupByKey]])*ContinuousStatsTable[Average]))</f>
        <v>0</v>
      </c>
      <c r="T8">
        <f t="array" ref="T8">MAX(IF((ContinuousStatsTable[GroupByKey]=ContinuousStatsTable[[#This Row],[GroupByKey]]),(ContinuousStatsTable[GroupByKey]=ContinuousStatsTable[[#This Row],[GroupByKey]])*ContinuousStatsTable[Average]))</f>
        <v>0</v>
      </c>
      <c r="U8">
        <f>IF((ContinuousStatsTable[[#This Row],[RepsRequested]]&gt;1),ContinuousStatsTable[[#This Row],[HalfWidth]],ContinuousStatsTable[[#This Row],[BatchMeansHalfWidth]])</f>
        <v>0</v>
      </c>
    </row>
    <row r="9" spans="1:21" x14ac:dyDescent="0.25">
      <c r="A9" t="s">
        <v>67</v>
      </c>
      <c r="B9" t="s">
        <v>70</v>
      </c>
      <c r="C9">
        <v>1</v>
      </c>
      <c r="D9" t="s">
        <v>80</v>
      </c>
      <c r="E9" t="s">
        <v>72</v>
      </c>
      <c r="F9" t="s">
        <v>73</v>
      </c>
      <c r="G9">
        <v>0</v>
      </c>
      <c r="H9">
        <v>2E+20</v>
      </c>
      <c r="I9">
        <v>0</v>
      </c>
      <c r="J9">
        <v>0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9">
        <f t="array" ref="N9">MAX(IF((ProjectInfoTable[ProjectName]=ContinuousStatsTable[[#This Row],[ProjectName]]),(ProjectInfoTable[ProjectName]=ContinuousStatsTable[[#This Row],[ProjectName]])*ProjectInfoTable[NumberOfReplications]))</f>
        <v>15</v>
      </c>
      <c r="O9">
        <f t="array" ref="O9">IFERROR(AVERAGE(IF((ContinuousStatsTable[GroupByKey]=ContinuousStatsTable[[#This Row],[GroupByKey]]),(ContinuousStatsTable[GroupByKey]=ContinuousStatsTable[[#This Row],[GroupByKey]])*ContinuousStatsTable[Average])),0)</f>
        <v>0</v>
      </c>
      <c r="P9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">
        <f t="array" ref="S9">MIN(IF((ContinuousStatsTable[GroupByKey]=ContinuousStatsTable[[#This Row],[GroupByKey]]),(ContinuousStatsTable[GroupByKey]=ContinuousStatsTable[[#This Row],[GroupByKey]])*ContinuousStatsTable[Average]))</f>
        <v>0</v>
      </c>
      <c r="T9">
        <f t="array" ref="T9">MAX(IF((ContinuousStatsTable[GroupByKey]=ContinuousStatsTable[[#This Row],[GroupByKey]]),(ContinuousStatsTable[GroupByKey]=ContinuousStatsTable[[#This Row],[GroupByKey]])*ContinuousStatsTable[Average]))</f>
        <v>0</v>
      </c>
      <c r="U9">
        <f>IF((ContinuousStatsTable[[#This Row],[RepsRequested]]&gt;1),ContinuousStatsTable[[#This Row],[HalfWidth]],ContinuousStatsTable[[#This Row],[BatchMeansHalfWidth]])</f>
        <v>0</v>
      </c>
    </row>
    <row r="10" spans="1:21" x14ac:dyDescent="0.25">
      <c r="A10" t="s">
        <v>67</v>
      </c>
      <c r="B10" t="s">
        <v>70</v>
      </c>
      <c r="C10">
        <v>1</v>
      </c>
      <c r="D10" t="s">
        <v>80</v>
      </c>
      <c r="E10" t="s">
        <v>74</v>
      </c>
      <c r="F10" t="s">
        <v>73</v>
      </c>
      <c r="G10">
        <v>0</v>
      </c>
      <c r="H10">
        <v>2E+20</v>
      </c>
      <c r="I10">
        <v>0</v>
      </c>
      <c r="J10">
        <v>0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10">
        <f t="array" ref="N10">MAX(IF((ProjectInfoTable[ProjectName]=ContinuousStatsTable[[#This Row],[ProjectName]]),(ProjectInfoTable[ProjectName]=ContinuousStatsTable[[#This Row],[ProjectName]])*ProjectInfoTable[NumberOfReplications]))</f>
        <v>15</v>
      </c>
      <c r="O10">
        <f t="array" ref="O10">IFERROR(AVERAGE(IF((ContinuousStatsTable[GroupByKey]=ContinuousStatsTable[[#This Row],[GroupByKey]]),(ContinuousStatsTable[GroupByKey]=ContinuousStatsTable[[#This Row],[GroupByKey]])*ContinuousStatsTable[Average])),0)</f>
        <v>0</v>
      </c>
      <c r="P10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>
        <f t="array" ref="S10">MIN(IF((ContinuousStatsTable[GroupByKey]=ContinuousStatsTable[[#This Row],[GroupByKey]]),(ContinuousStatsTable[GroupByKey]=ContinuousStatsTable[[#This Row],[GroupByKey]])*ContinuousStatsTable[Average]))</f>
        <v>0</v>
      </c>
      <c r="T10">
        <f t="array" ref="T10">MAX(IF((ContinuousStatsTable[GroupByKey]=ContinuousStatsTable[[#This Row],[GroupByKey]]),(ContinuousStatsTable[GroupByKey]=ContinuousStatsTable[[#This Row],[GroupByKey]])*ContinuousStatsTable[Average]))</f>
        <v>0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25">
      <c r="A11" t="s">
        <v>67</v>
      </c>
      <c r="B11" t="s">
        <v>70</v>
      </c>
      <c r="C11">
        <v>1</v>
      </c>
      <c r="D11" t="s">
        <v>80</v>
      </c>
      <c r="E11" t="s">
        <v>75</v>
      </c>
      <c r="F11" t="s">
        <v>73</v>
      </c>
      <c r="G11">
        <v>1.5834999999999999</v>
      </c>
      <c r="H11">
        <v>3E+20</v>
      </c>
      <c r="I11">
        <v>1</v>
      </c>
      <c r="J11">
        <v>2</v>
      </c>
      <c r="K11">
        <v>2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11">
        <f t="array" ref="N11">MAX(IF((ProjectInfoTable[ProjectName]=ContinuousStatsTable[[#This Row],[ProjectName]]),(ProjectInfoTable[ProjectName]=ContinuousStatsTable[[#This Row],[ProjectName]])*ProjectInfoTable[NumberOfReplications]))</f>
        <v>15</v>
      </c>
      <c r="O11">
        <f t="array" ref="O11">IFERROR(AVERAGE(IF((ContinuousStatsTable[GroupByKey]=ContinuousStatsTable[[#This Row],[GroupByKey]]),(ContinuousStatsTable[GroupByKey]=ContinuousStatsTable[[#This Row],[GroupByKey]])*ContinuousStatsTable[Average])),0)</f>
        <v>1.5334471868881776</v>
      </c>
      <c r="P11">
        <f t="array" ref="P11">IFERROR(_xlfn.STDEV.S(IF((ContinuousStatsTable[GroupByKey]=ContinuousStatsTable[[#This Row],[GroupByKey]]),(ContinuousStatsTable[GroupByKey]=ContinuousStatsTable[[#This Row],[GroupByKey]])*ContinuousStatsTable[Average])),0)</f>
        <v>0.24154821158553658</v>
      </c>
      <c r="Q1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0.13376494097407529</v>
      </c>
      <c r="S11">
        <f t="array" ref="S11">MIN(IF((ContinuousStatsTable[GroupByKey]=ContinuousStatsTable[[#This Row],[GroupByKey]]),(ContinuousStatsTable[GroupByKey]=ContinuousStatsTable[[#This Row],[GroupByKey]])*ContinuousStatsTable[Average]))</f>
        <v>1</v>
      </c>
      <c r="T11">
        <f t="array" ref="T11">MAX(IF((ContinuousStatsTable[GroupByKey]=ContinuousStatsTable[[#This Row],[GroupByKey]]),(ContinuousStatsTable[GroupByKey]=ContinuousStatsTable[[#This Row],[GroupByKey]])*ContinuousStatsTable[Average]))</f>
        <v>2</v>
      </c>
      <c r="U11">
        <f>IF((ContinuousStatsTable[[#This Row],[RepsRequested]]&gt;1),ContinuousStatsTable[[#This Row],[HalfWidth]],ContinuousStatsTable[[#This Row],[BatchMeansHalfWidth]])</f>
        <v>0.13376494097407529</v>
      </c>
    </row>
    <row r="12" spans="1:21" x14ac:dyDescent="0.25">
      <c r="A12" t="s">
        <v>67</v>
      </c>
      <c r="B12" t="s">
        <v>70</v>
      </c>
      <c r="C12">
        <v>1</v>
      </c>
      <c r="D12" t="s">
        <v>81</v>
      </c>
      <c r="E12" t="s">
        <v>72</v>
      </c>
      <c r="F12" t="s">
        <v>73</v>
      </c>
      <c r="G12">
        <v>0</v>
      </c>
      <c r="H12">
        <v>2E+20</v>
      </c>
      <c r="I12">
        <v>0</v>
      </c>
      <c r="J12">
        <v>0</v>
      </c>
      <c r="K12">
        <v>0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ProjectcutterInstantaneous UtilizationResource</v>
      </c>
      <c r="N12" s="5">
        <f t="array" ref="N12">MAX(IF((ProjectInfoTable[ProjectName]=ContinuousStatsTable[[#This Row],[ProjectName]]),(ProjectInfoTable[ProjectName]=ContinuousStatsTable[[#This Row],[ProjectName]])*ProjectInfoTable[NumberOfReplications]))</f>
        <v>15</v>
      </c>
      <c r="O12" s="5">
        <f t="array" ref="O12">IFERROR(AVERAGE(IF((ContinuousStatsTable[GroupByKey]=ContinuousStatsTable[[#This Row],[GroupByKey]]),(ContinuousStatsTable[GroupByKey]=ContinuousStatsTable[[#This Row],[GroupByKey]])*ContinuousStatsTable[Average])),0)</f>
        <v>0</v>
      </c>
      <c r="P12" s="5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s="5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" s="5">
        <f t="array" ref="S12">MIN(IF((ContinuousStatsTable[GroupByKey]=ContinuousStatsTable[[#This Row],[GroupByKey]]),(ContinuousStatsTable[GroupByKey]=ContinuousStatsTable[[#This Row],[GroupByKey]])*ContinuousStatsTable[Average]))</f>
        <v>0</v>
      </c>
      <c r="T12" s="5">
        <f t="array" ref="T12">MAX(IF((ContinuousStatsTable[GroupByKey]=ContinuousStatsTable[[#This Row],[GroupByKey]]),(ContinuousStatsTable[GroupByKey]=ContinuousStatsTable[[#This Row],[GroupByKey]])*ContinuousStatsTable[Average]))</f>
        <v>0</v>
      </c>
      <c r="U12" s="5">
        <f>IF((ContinuousStatsTable[[#This Row],[RepsRequested]]&gt;1),ContinuousStatsTable[[#This Row],[HalfWidth]],ContinuousStatsTable[[#This Row],[BatchMeansHalfWidth]])</f>
        <v>0</v>
      </c>
    </row>
    <row r="13" spans="1:21" x14ac:dyDescent="0.25">
      <c r="A13" t="s">
        <v>67</v>
      </c>
      <c r="B13" t="s">
        <v>70</v>
      </c>
      <c r="C13">
        <v>1</v>
      </c>
      <c r="D13" t="s">
        <v>81</v>
      </c>
      <c r="E13" t="s">
        <v>74</v>
      </c>
      <c r="F13" t="s">
        <v>73</v>
      </c>
      <c r="G13">
        <v>0</v>
      </c>
      <c r="H13">
        <v>2E+20</v>
      </c>
      <c r="I13">
        <v>0</v>
      </c>
      <c r="J13">
        <v>0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ProjectcutterNumber BusyResource</v>
      </c>
      <c r="N13" s="5">
        <f t="array" ref="N13">MAX(IF((ProjectInfoTable[ProjectName]=ContinuousStatsTable[[#This Row],[ProjectName]]),(ProjectInfoTable[ProjectName]=ContinuousStatsTable[[#This Row],[ProjectName]])*ProjectInfoTable[NumberOfReplications]))</f>
        <v>15</v>
      </c>
      <c r="O13" s="5">
        <f t="array" ref="O13">IFERROR(AVERAGE(IF((ContinuousStatsTable[GroupByKey]=ContinuousStatsTable[[#This Row],[GroupByKey]]),(ContinuousStatsTable[GroupByKey]=ContinuousStatsTable[[#This Row],[GroupByKey]])*ContinuousStatsTable[Average])),0)</f>
        <v>0</v>
      </c>
      <c r="P13" s="5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5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" s="5">
        <f t="array" ref="S13">MIN(IF((ContinuousStatsTable[GroupByKey]=ContinuousStatsTable[[#This Row],[GroupByKey]]),(ContinuousStatsTable[GroupByKey]=ContinuousStatsTable[[#This Row],[GroupByKey]])*ContinuousStatsTable[Average]))</f>
        <v>0</v>
      </c>
      <c r="T13" s="5">
        <f t="array" ref="T13">MAX(IF((ContinuousStatsTable[GroupByKey]=ContinuousStatsTable[[#This Row],[GroupByKey]]),(ContinuousStatsTable[GroupByKey]=ContinuousStatsTable[[#This Row],[GroupByKey]])*ContinuousStatsTable[Average]))</f>
        <v>0</v>
      </c>
      <c r="U13" s="5">
        <f>IF((ContinuousStatsTable[[#This Row],[RepsRequested]]&gt;1),ContinuousStatsTable[[#This Row],[HalfWidth]],ContinuousStatsTable[[#This Row],[BatchMeansHalfWidth]])</f>
        <v>0</v>
      </c>
    </row>
    <row r="14" spans="1:21" x14ac:dyDescent="0.25">
      <c r="A14" t="s">
        <v>67</v>
      </c>
      <c r="B14" t="s">
        <v>70</v>
      </c>
      <c r="C14">
        <v>1</v>
      </c>
      <c r="D14" t="s">
        <v>81</v>
      </c>
      <c r="E14" t="s">
        <v>75</v>
      </c>
      <c r="F14" t="s">
        <v>73</v>
      </c>
      <c r="G14">
        <v>1.58325</v>
      </c>
      <c r="H14">
        <v>3E+20</v>
      </c>
      <c r="I14">
        <v>1</v>
      </c>
      <c r="J14">
        <v>2</v>
      </c>
      <c r="K14">
        <v>2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ProjectcutterNumber ScheduledResource</v>
      </c>
      <c r="N14" s="5">
        <f t="array" ref="N14">MAX(IF((ProjectInfoTable[ProjectName]=ContinuousStatsTable[[#This Row],[ProjectName]]),(ProjectInfoTable[ProjectName]=ContinuousStatsTable[[#This Row],[ProjectName]])*ProjectInfoTable[NumberOfReplications]))</f>
        <v>15</v>
      </c>
      <c r="O14" s="5">
        <f t="array" ref="O14">IFERROR(AVERAGE(IF((ContinuousStatsTable[GroupByKey]=ContinuousStatsTable[[#This Row],[GroupByKey]]),(ContinuousStatsTable[GroupByKey]=ContinuousStatsTable[[#This Row],[GroupByKey]])*ContinuousStatsTable[Average])),0)</f>
        <v>1.5332999999999999</v>
      </c>
      <c r="P14" s="5">
        <f t="array" ref="P14">IFERROR(_xlfn.STDEV.S(IF((ContinuousStatsTable[GroupByKey]=ContinuousStatsTable[[#This Row],[GroupByKey]]),(ContinuousStatsTable[GroupByKey]=ContinuousStatsTable[[#This Row],[GroupByKey]])*ContinuousStatsTable[Average])),0)</f>
        <v>0.24151556349584294</v>
      </c>
      <c r="Q14" s="5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0.1337468610646356</v>
      </c>
      <c r="S14" s="5">
        <f t="array" ref="S14">MIN(IF((ContinuousStatsTable[GroupByKey]=ContinuousStatsTable[[#This Row],[GroupByKey]]),(ContinuousStatsTable[GroupByKey]=ContinuousStatsTable[[#This Row],[GroupByKey]])*ContinuousStatsTable[Average]))</f>
        <v>1</v>
      </c>
      <c r="T14" s="5">
        <f t="array" ref="T14">MAX(IF((ContinuousStatsTable[GroupByKey]=ContinuousStatsTable[[#This Row],[GroupByKey]]),(ContinuousStatsTable[GroupByKey]=ContinuousStatsTable[[#This Row],[GroupByKey]])*ContinuousStatsTable[Average]))</f>
        <v>2</v>
      </c>
      <c r="U14" s="5">
        <f>IF((ContinuousStatsTable[[#This Row],[RepsRequested]]&gt;1),ContinuousStatsTable[[#This Row],[HalfWidth]],ContinuousStatsTable[[#This Row],[BatchMeansHalfWidth]])</f>
        <v>0.1337468610646356</v>
      </c>
    </row>
    <row r="15" spans="1:21" x14ac:dyDescent="0.25">
      <c r="A15" t="s">
        <v>67</v>
      </c>
      <c r="B15" t="s">
        <v>70</v>
      </c>
      <c r="C15">
        <v>1</v>
      </c>
      <c r="D15" t="s">
        <v>82</v>
      </c>
      <c r="E15" t="s">
        <v>72</v>
      </c>
      <c r="F15" t="s">
        <v>73</v>
      </c>
      <c r="G15">
        <v>0</v>
      </c>
      <c r="H15">
        <v>2E+20</v>
      </c>
      <c r="I15">
        <v>0</v>
      </c>
      <c r="J15">
        <v>0</v>
      </c>
      <c r="K15">
        <v>0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ProjectfinalqcmanInstantaneous UtilizationResource</v>
      </c>
      <c r="N15" s="5">
        <f t="array" ref="N15">MAX(IF((ProjectInfoTable[ProjectName]=ContinuousStatsTable[[#This Row],[ProjectName]]),(ProjectInfoTable[ProjectName]=ContinuousStatsTable[[#This Row],[ProjectName]])*ProjectInfoTable[NumberOfReplications]))</f>
        <v>15</v>
      </c>
      <c r="O15" s="5">
        <f t="array" ref="O15">IFERROR(AVERAGE(IF((ContinuousStatsTable[GroupByKey]=ContinuousStatsTable[[#This Row],[GroupByKey]]),(ContinuousStatsTable[GroupByKey]=ContinuousStatsTable[[#This Row],[GroupByKey]])*ContinuousStatsTable[Average])),0)</f>
        <v>0</v>
      </c>
      <c r="P15" s="5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s="5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" s="5">
        <f t="array" ref="S15">MIN(IF((ContinuousStatsTable[GroupByKey]=ContinuousStatsTable[[#This Row],[GroupByKey]]),(ContinuousStatsTable[GroupByKey]=ContinuousStatsTable[[#This Row],[GroupByKey]])*ContinuousStatsTable[Average]))</f>
        <v>0</v>
      </c>
      <c r="T15" s="5">
        <f t="array" ref="T15">MAX(IF((ContinuousStatsTable[GroupByKey]=ContinuousStatsTable[[#This Row],[GroupByKey]]),(ContinuousStatsTable[GroupByKey]=ContinuousStatsTable[[#This Row],[GroupByKey]])*ContinuousStatsTable[Average]))</f>
        <v>0</v>
      </c>
      <c r="U15" s="5">
        <f>IF((ContinuousStatsTable[[#This Row],[RepsRequested]]&gt;1),ContinuousStatsTable[[#This Row],[HalfWidth]],ContinuousStatsTable[[#This Row],[BatchMeansHalfWidth]])</f>
        <v>0</v>
      </c>
    </row>
    <row r="16" spans="1:21" x14ac:dyDescent="0.25">
      <c r="A16" t="s">
        <v>67</v>
      </c>
      <c r="B16" t="s">
        <v>70</v>
      </c>
      <c r="C16">
        <v>1</v>
      </c>
      <c r="D16" t="s">
        <v>82</v>
      </c>
      <c r="E16" t="s">
        <v>74</v>
      </c>
      <c r="F16" t="s">
        <v>73</v>
      </c>
      <c r="G16">
        <v>0</v>
      </c>
      <c r="H16">
        <v>2E+20</v>
      </c>
      <c r="I16">
        <v>0</v>
      </c>
      <c r="J16">
        <v>0</v>
      </c>
      <c r="K16">
        <v>0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ProjectfinalqcmanNumber BusyResource</v>
      </c>
      <c r="N16" s="5">
        <f t="array" ref="N16">MAX(IF((ProjectInfoTable[ProjectName]=ContinuousStatsTable[[#This Row],[ProjectName]]),(ProjectInfoTable[ProjectName]=ContinuousStatsTable[[#This Row],[ProjectName]])*ProjectInfoTable[NumberOfReplications]))</f>
        <v>15</v>
      </c>
      <c r="O16" s="5">
        <f t="array" ref="O16">IFERROR(AVERAGE(IF((ContinuousStatsTable[GroupByKey]=ContinuousStatsTable[[#This Row],[GroupByKey]]),(ContinuousStatsTable[GroupByKey]=ContinuousStatsTable[[#This Row],[GroupByKey]])*ContinuousStatsTable[Average])),0)</f>
        <v>0</v>
      </c>
      <c r="P16" s="5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s="5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" s="5">
        <f t="array" ref="S16">MIN(IF((ContinuousStatsTable[GroupByKey]=ContinuousStatsTable[[#This Row],[GroupByKey]]),(ContinuousStatsTable[GroupByKey]=ContinuousStatsTable[[#This Row],[GroupByKey]])*ContinuousStatsTable[Average]))</f>
        <v>0</v>
      </c>
      <c r="T16" s="5">
        <f t="array" ref="T16">MAX(IF((ContinuousStatsTable[GroupByKey]=ContinuousStatsTable[[#This Row],[GroupByKey]]),(ContinuousStatsTable[GroupByKey]=ContinuousStatsTable[[#This Row],[GroupByKey]])*ContinuousStatsTable[Average]))</f>
        <v>0</v>
      </c>
      <c r="U16" s="5">
        <f>IF((ContinuousStatsTable[[#This Row],[RepsRequested]]&gt;1),ContinuousStatsTable[[#This Row],[HalfWidth]],ContinuousStatsTable[[#This Row],[BatchMeansHalfWidth]])</f>
        <v>0</v>
      </c>
    </row>
    <row r="17" spans="1:21" x14ac:dyDescent="0.25">
      <c r="A17" t="s">
        <v>67</v>
      </c>
      <c r="B17" t="s">
        <v>70</v>
      </c>
      <c r="C17">
        <v>1</v>
      </c>
      <c r="D17" t="s">
        <v>82</v>
      </c>
      <c r="E17" t="s">
        <v>75</v>
      </c>
      <c r="F17" t="s">
        <v>73</v>
      </c>
      <c r="G17">
        <v>1.5834434519429701</v>
      </c>
      <c r="H17">
        <v>3E+20</v>
      </c>
      <c r="I17">
        <v>1</v>
      </c>
      <c r="J17">
        <v>2</v>
      </c>
      <c r="K17">
        <v>2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ProjectfinalqcmanNumber ScheduledResource</v>
      </c>
      <c r="N17" s="5">
        <f t="array" ref="N17">MAX(IF((ProjectInfoTable[ProjectName]=ContinuousStatsTable[[#This Row],[ProjectName]]),(ProjectInfoTable[ProjectName]=ContinuousStatsTable[[#This Row],[ProjectName]])*ProjectInfoTable[NumberOfReplications]))</f>
        <v>15</v>
      </c>
      <c r="O17" s="5">
        <f t="array" ref="O17">IFERROR(AVERAGE(IF((ContinuousStatsTable[GroupByKey]=ContinuousStatsTable[[#This Row],[GroupByKey]]),(ContinuousStatsTable[GroupByKey]=ContinuousStatsTable[[#This Row],[GroupByKey]])*ContinuousStatsTable[Average])),0)</f>
        <v>1.5334510661643974</v>
      </c>
      <c r="P17" s="5">
        <f t="array" ref="P17">IFERROR(_xlfn.STDEV.S(IF((ContinuousStatsTable[GroupByKey]=ContinuousStatsTable[[#This Row],[GroupByKey]]),(ContinuousStatsTable[GroupByKey]=ContinuousStatsTable[[#This Row],[GroupByKey]])*ContinuousStatsTable[Average])),0)</f>
        <v>0.24154906725932371</v>
      </c>
      <c r="Q17" s="5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0.13376541483042423</v>
      </c>
      <c r="S17" s="5">
        <f t="array" ref="S17">MIN(IF((ContinuousStatsTable[GroupByKey]=ContinuousStatsTable[[#This Row],[GroupByKey]]),(ContinuousStatsTable[GroupByKey]=ContinuousStatsTable[[#This Row],[GroupByKey]])*ContinuousStatsTable[Average]))</f>
        <v>1</v>
      </c>
      <c r="T17" s="5">
        <f t="array" ref="T17">MAX(IF((ContinuousStatsTable[GroupByKey]=ContinuousStatsTable[[#This Row],[GroupByKey]]),(ContinuousStatsTable[GroupByKey]=ContinuousStatsTable[[#This Row],[GroupByKey]])*ContinuousStatsTable[Average]))</f>
        <v>2</v>
      </c>
      <c r="U17" s="5">
        <f>IF((ContinuousStatsTable[[#This Row],[RepsRequested]]&gt;1),ContinuousStatsTable[[#This Row],[HalfWidth]],ContinuousStatsTable[[#This Row],[BatchMeansHalfWidth]])</f>
        <v>0.13376541483042423</v>
      </c>
    </row>
    <row r="18" spans="1:21" x14ac:dyDescent="0.25">
      <c r="A18" t="s">
        <v>67</v>
      </c>
      <c r="B18" t="s">
        <v>70</v>
      </c>
      <c r="C18">
        <v>1</v>
      </c>
      <c r="D18" t="s">
        <v>83</v>
      </c>
      <c r="E18" t="s">
        <v>84</v>
      </c>
      <c r="F18" t="s">
        <v>85</v>
      </c>
      <c r="G18">
        <v>0</v>
      </c>
      <c r="H18">
        <v>2E+20</v>
      </c>
      <c r="I18">
        <v>0</v>
      </c>
      <c r="J18">
        <v>0</v>
      </c>
      <c r="K18">
        <v>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Projectinspectorseize.QueueNumber WaitingQueue</v>
      </c>
      <c r="N18" s="5">
        <f t="array" ref="N18">MAX(IF((ProjectInfoTable[ProjectName]=ContinuousStatsTable[[#This Row],[ProjectName]]),(ProjectInfoTable[ProjectName]=ContinuousStatsTable[[#This Row],[ProjectName]])*ProjectInfoTable[NumberOfReplications]))</f>
        <v>15</v>
      </c>
      <c r="O18" s="5">
        <f t="array" ref="O18">IFERROR(AVERAGE(IF((ContinuousStatsTable[GroupByKey]=ContinuousStatsTable[[#This Row],[GroupByKey]]),(ContinuousStatsTable[GroupByKey]=ContinuousStatsTable[[#This Row],[GroupByKey]])*ContinuousStatsTable[Average])),0)</f>
        <v>0</v>
      </c>
      <c r="P18" s="5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s="5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" s="5">
        <f t="array" ref="S18">MIN(IF((ContinuousStatsTable[GroupByKey]=ContinuousStatsTable[[#This Row],[GroupByKey]]),(ContinuousStatsTable[GroupByKey]=ContinuousStatsTable[[#This Row],[GroupByKey]])*ContinuousStatsTable[Average]))</f>
        <v>0</v>
      </c>
      <c r="T18" s="5">
        <f t="array" ref="T18">MAX(IF((ContinuousStatsTable[GroupByKey]=ContinuousStatsTable[[#This Row],[GroupByKey]]),(ContinuousStatsTable[GroupByKey]=ContinuousStatsTable[[#This Row],[GroupByKey]])*ContinuousStatsTable[Average]))</f>
        <v>0</v>
      </c>
      <c r="U18" s="5">
        <f>IF((ContinuousStatsTable[[#This Row],[RepsRequested]]&gt;1),ContinuousStatsTable[[#This Row],[HalfWidth]],ContinuousStatsTable[[#This Row],[BatchMeansHalfWidth]])</f>
        <v>0</v>
      </c>
    </row>
    <row r="19" spans="1:21" x14ac:dyDescent="0.25">
      <c r="A19" t="s">
        <v>67</v>
      </c>
      <c r="B19" t="s">
        <v>70</v>
      </c>
      <c r="C19">
        <v>1</v>
      </c>
      <c r="D19" t="s">
        <v>86</v>
      </c>
      <c r="E19" t="s">
        <v>84</v>
      </c>
      <c r="F19" t="s">
        <v>85</v>
      </c>
      <c r="G19">
        <v>2</v>
      </c>
      <c r="H19">
        <v>2E+20</v>
      </c>
      <c r="I19">
        <v>2</v>
      </c>
      <c r="J19">
        <v>2</v>
      </c>
      <c r="K19">
        <v>2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Projectmatch_truckcombo.Queue1Number WaitingQueue</v>
      </c>
      <c r="N19" s="5">
        <f t="array" ref="N19">MAX(IF((ProjectInfoTable[ProjectName]=ContinuousStatsTable[[#This Row],[ProjectName]]),(ProjectInfoTable[ProjectName]=ContinuousStatsTable[[#This Row],[ProjectName]])*ProjectInfoTable[NumberOfReplications]))</f>
        <v>15</v>
      </c>
      <c r="O19" s="5">
        <f t="array" ref="O19">IFERROR(AVERAGE(IF((ContinuousStatsTable[GroupByKey]=ContinuousStatsTable[[#This Row],[GroupByKey]]),(ContinuousStatsTable[GroupByKey]=ContinuousStatsTable[[#This Row],[GroupByKey]])*ContinuousStatsTable[Average])),0)</f>
        <v>3.3333333333333335</v>
      </c>
      <c r="P19" s="5">
        <f t="array" ref="P19">IFERROR(_xlfn.STDEV.S(IF((ContinuousStatsTable[GroupByKey]=ContinuousStatsTable[[#This Row],[GroupByKey]]),(ContinuousStatsTable[GroupByKey]=ContinuousStatsTable[[#This Row],[GroupByKey]])*ContinuousStatsTable[Average])),0)</f>
        <v>4.577377082170635</v>
      </c>
      <c r="Q19" s="5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2.5348669368881507</v>
      </c>
      <c r="S19" s="5">
        <f t="array" ref="S19">MIN(IF((ContinuousStatsTable[GroupByKey]=ContinuousStatsTable[[#This Row],[GroupByKey]]),(ContinuousStatsTable[GroupByKey]=ContinuousStatsTable[[#This Row],[GroupByKey]])*ContinuousStatsTable[Average]))</f>
        <v>0</v>
      </c>
      <c r="T19" s="5">
        <f t="array" ref="T19">MAX(IF((ContinuousStatsTable[GroupByKey]=ContinuousStatsTable[[#This Row],[GroupByKey]]),(ContinuousStatsTable[GroupByKey]=ContinuousStatsTable[[#This Row],[GroupByKey]])*ContinuousStatsTable[Average]))</f>
        <v>12</v>
      </c>
      <c r="U19" s="5">
        <f>IF((ContinuousStatsTable[[#This Row],[RepsRequested]]&gt;1),ContinuousStatsTable[[#This Row],[HalfWidth]],ContinuousStatsTable[[#This Row],[BatchMeansHalfWidth]])</f>
        <v>2.5348669368881507</v>
      </c>
    </row>
    <row r="20" spans="1:21" x14ac:dyDescent="0.25">
      <c r="A20" t="s">
        <v>67</v>
      </c>
      <c r="B20" t="s">
        <v>70</v>
      </c>
      <c r="C20">
        <v>1</v>
      </c>
      <c r="D20" t="s">
        <v>87</v>
      </c>
      <c r="E20" t="s">
        <v>84</v>
      </c>
      <c r="F20" t="s">
        <v>85</v>
      </c>
      <c r="G20">
        <v>0</v>
      </c>
      <c r="H20">
        <v>2E+20</v>
      </c>
      <c r="I20">
        <v>0</v>
      </c>
      <c r="J20">
        <v>0</v>
      </c>
      <c r="K20">
        <v>0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Projectmatch_truckcombo.Queue2Number WaitingQueue</v>
      </c>
      <c r="N20" s="5">
        <f t="array" ref="N20">MAX(IF((ProjectInfoTable[ProjectName]=ContinuousStatsTable[[#This Row],[ProjectName]]),(ProjectInfoTable[ProjectName]=ContinuousStatsTable[[#This Row],[ProjectName]])*ProjectInfoTable[NumberOfReplications]))</f>
        <v>15</v>
      </c>
      <c r="O20" s="5">
        <f t="array" ref="O20">IFERROR(AVERAGE(IF((ContinuousStatsTable[GroupByKey]=ContinuousStatsTable[[#This Row],[GroupByKey]]),(ContinuousStatsTable[GroupByKey]=ContinuousStatsTable[[#This Row],[GroupByKey]])*ContinuousStatsTable[Average])),0)</f>
        <v>2.8</v>
      </c>
      <c r="P20" s="5">
        <f t="array" ref="P20">IFERROR(_xlfn.STDEV.S(IF((ContinuousStatsTable[GroupByKey]=ContinuousStatsTable[[#This Row],[GroupByKey]]),(ContinuousStatsTable[GroupByKey]=ContinuousStatsTable[[#This Row],[GroupByKey]])*ContinuousStatsTable[Average])),0)</f>
        <v>5.226307081896902</v>
      </c>
      <c r="Q20" s="5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2.8942323925042523</v>
      </c>
      <c r="S20" s="5">
        <f t="array" ref="S20">MIN(IF((ContinuousStatsTable[GroupByKey]=ContinuousStatsTable[[#This Row],[GroupByKey]]),(ContinuousStatsTable[GroupByKey]=ContinuousStatsTable[[#This Row],[GroupByKey]])*ContinuousStatsTable[Average]))</f>
        <v>0</v>
      </c>
      <c r="T20" s="5">
        <f t="array" ref="T20">MAX(IF((ContinuousStatsTable[GroupByKey]=ContinuousStatsTable[[#This Row],[GroupByKey]]),(ContinuousStatsTable[GroupByKey]=ContinuousStatsTable[[#This Row],[GroupByKey]])*ContinuousStatsTable[Average]))</f>
        <v>16</v>
      </c>
      <c r="U20" s="5">
        <f>IF((ContinuousStatsTable[[#This Row],[RepsRequested]]&gt;1),ContinuousStatsTable[[#This Row],[HalfWidth]],ContinuousStatsTable[[#This Row],[BatchMeansHalfWidth]])</f>
        <v>2.8942323925042523</v>
      </c>
    </row>
    <row r="21" spans="1:21" x14ac:dyDescent="0.25">
      <c r="A21" t="s">
        <v>67</v>
      </c>
      <c r="B21" t="s">
        <v>70</v>
      </c>
      <c r="C21">
        <v>1</v>
      </c>
      <c r="D21" t="s">
        <v>88</v>
      </c>
      <c r="E21" t="s">
        <v>72</v>
      </c>
      <c r="F21" t="s">
        <v>73</v>
      </c>
      <c r="G21">
        <v>0</v>
      </c>
      <c r="H21">
        <v>2E+20</v>
      </c>
      <c r="I21">
        <v>0</v>
      </c>
      <c r="J21">
        <v>0</v>
      </c>
      <c r="K21">
        <v>0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ProjectpaintingmachineInstantaneous UtilizationResource</v>
      </c>
      <c r="N21" s="5">
        <f t="array" ref="N21">MAX(IF((ProjectInfoTable[ProjectName]=ContinuousStatsTable[[#This Row],[ProjectName]]),(ProjectInfoTable[ProjectName]=ContinuousStatsTable[[#This Row],[ProjectName]])*ProjectInfoTable[NumberOfReplications]))</f>
        <v>15</v>
      </c>
      <c r="O21" s="5">
        <f t="array" ref="O21">IFERROR(AVERAGE(IF((ContinuousStatsTable[GroupByKey]=ContinuousStatsTable[[#This Row],[GroupByKey]]),(ContinuousStatsTable[GroupByKey]=ContinuousStatsTable[[#This Row],[GroupByKey]])*ContinuousStatsTable[Average])),0)</f>
        <v>0</v>
      </c>
      <c r="P21" s="5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 s="5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" s="5">
        <f t="array" ref="S21">MIN(IF((ContinuousStatsTable[GroupByKey]=ContinuousStatsTable[[#This Row],[GroupByKey]]),(ContinuousStatsTable[GroupByKey]=ContinuousStatsTable[[#This Row],[GroupByKey]])*ContinuousStatsTable[Average]))</f>
        <v>0</v>
      </c>
      <c r="T21" s="5">
        <f t="array" ref="T21">MAX(IF((ContinuousStatsTable[GroupByKey]=ContinuousStatsTable[[#This Row],[GroupByKey]]),(ContinuousStatsTable[GroupByKey]=ContinuousStatsTable[[#This Row],[GroupByKey]])*ContinuousStatsTable[Average]))</f>
        <v>0</v>
      </c>
      <c r="U21" s="5">
        <f>IF((ContinuousStatsTable[[#This Row],[RepsRequested]]&gt;1),ContinuousStatsTable[[#This Row],[HalfWidth]],ContinuousStatsTable[[#This Row],[BatchMeansHalfWidth]])</f>
        <v>0</v>
      </c>
    </row>
    <row r="22" spans="1:21" x14ac:dyDescent="0.25">
      <c r="A22" t="s">
        <v>67</v>
      </c>
      <c r="B22" t="s">
        <v>70</v>
      </c>
      <c r="C22">
        <v>1</v>
      </c>
      <c r="D22" t="s">
        <v>88</v>
      </c>
      <c r="E22" t="s">
        <v>74</v>
      </c>
      <c r="F22" t="s">
        <v>73</v>
      </c>
      <c r="G22">
        <v>0</v>
      </c>
      <c r="H22">
        <v>2E+20</v>
      </c>
      <c r="I22">
        <v>0</v>
      </c>
      <c r="J22">
        <v>0</v>
      </c>
      <c r="K22">
        <v>0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ProjectpaintingmachineNumber BusyResource</v>
      </c>
      <c r="N22" s="5">
        <f t="array" ref="N22">MAX(IF((ProjectInfoTable[ProjectName]=ContinuousStatsTable[[#This Row],[ProjectName]]),(ProjectInfoTable[ProjectName]=ContinuousStatsTable[[#This Row],[ProjectName]])*ProjectInfoTable[NumberOfReplications]))</f>
        <v>15</v>
      </c>
      <c r="O22" s="5">
        <f t="array" ref="O22">IFERROR(AVERAGE(IF((ContinuousStatsTable[GroupByKey]=ContinuousStatsTable[[#This Row],[GroupByKey]]),(ContinuousStatsTable[GroupByKey]=ContinuousStatsTable[[#This Row],[GroupByKey]])*ContinuousStatsTable[Average])),0)</f>
        <v>0</v>
      </c>
      <c r="P22" s="5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 s="5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" s="5">
        <f t="array" ref="S22">MIN(IF((ContinuousStatsTable[GroupByKey]=ContinuousStatsTable[[#This Row],[GroupByKey]]),(ContinuousStatsTable[GroupByKey]=ContinuousStatsTable[[#This Row],[GroupByKey]])*ContinuousStatsTable[Average]))</f>
        <v>0</v>
      </c>
      <c r="T22" s="5">
        <f t="array" ref="T22">MAX(IF((ContinuousStatsTable[GroupByKey]=ContinuousStatsTable[[#This Row],[GroupByKey]]),(ContinuousStatsTable[GroupByKey]=ContinuousStatsTable[[#This Row],[GroupByKey]])*ContinuousStatsTable[Average]))</f>
        <v>0</v>
      </c>
      <c r="U22" s="5">
        <f>IF((ContinuousStatsTable[[#This Row],[RepsRequested]]&gt;1),ContinuousStatsTable[[#This Row],[HalfWidth]],ContinuousStatsTable[[#This Row],[BatchMeansHalfWidth]])</f>
        <v>0</v>
      </c>
    </row>
    <row r="23" spans="1:21" x14ac:dyDescent="0.25">
      <c r="A23" t="s">
        <v>67</v>
      </c>
      <c r="B23" t="s">
        <v>70</v>
      </c>
      <c r="C23">
        <v>1</v>
      </c>
      <c r="D23" t="s">
        <v>88</v>
      </c>
      <c r="E23" t="s">
        <v>75</v>
      </c>
      <c r="F23" t="s">
        <v>73</v>
      </c>
      <c r="G23">
        <v>1</v>
      </c>
      <c r="H23">
        <v>2E+20</v>
      </c>
      <c r="I23">
        <v>1</v>
      </c>
      <c r="J23">
        <v>1</v>
      </c>
      <c r="K23">
        <v>1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Unnamed ProjectpaintingmachineNumber ScheduledResource</v>
      </c>
      <c r="N23" s="5">
        <f t="array" ref="N23">MAX(IF((ProjectInfoTable[ProjectName]=ContinuousStatsTable[[#This Row],[ProjectName]]),(ProjectInfoTable[ProjectName]=ContinuousStatsTable[[#This Row],[ProjectName]])*ProjectInfoTable[NumberOfReplications]))</f>
        <v>15</v>
      </c>
      <c r="O23" s="5">
        <f t="array" ref="O23">IFERROR(AVERAGE(IF((ContinuousStatsTable[GroupByKey]=ContinuousStatsTable[[#This Row],[GroupByKey]]),(ContinuousStatsTable[GroupByKey]=ContinuousStatsTable[[#This Row],[GroupByKey]])*ContinuousStatsTable[Average])),0)</f>
        <v>1</v>
      </c>
      <c r="P23" s="5">
        <f t="array" ref="P23">IFERROR(_xlfn.STDEV.S(IF((ContinuousStatsTable[GroupByKey]=ContinuousStatsTable[[#This Row],[GroupByKey]]),(ContinuousStatsTable[GroupByKey]=ContinuousStatsTable[[#This Row],[GroupByKey]])*ContinuousStatsTable[Average])),0)</f>
        <v>0</v>
      </c>
      <c r="Q23" s="5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" s="5">
        <f t="array" ref="S23">MIN(IF((ContinuousStatsTable[GroupByKey]=ContinuousStatsTable[[#This Row],[GroupByKey]]),(ContinuousStatsTable[GroupByKey]=ContinuousStatsTable[[#This Row],[GroupByKey]])*ContinuousStatsTable[Average]))</f>
        <v>1</v>
      </c>
      <c r="T23" s="5">
        <f t="array" ref="T23">MAX(IF((ContinuousStatsTable[GroupByKey]=ContinuousStatsTable[[#This Row],[GroupByKey]]),(ContinuousStatsTable[GroupByKey]=ContinuousStatsTable[[#This Row],[GroupByKey]])*ContinuousStatsTable[Average]))</f>
        <v>1</v>
      </c>
      <c r="U23" s="5">
        <f>IF((ContinuousStatsTable[[#This Row],[RepsRequested]]&gt;1),ContinuousStatsTable[[#This Row],[HalfWidth]],ContinuousStatsTable[[#This Row],[BatchMeansHalfWidth]])</f>
        <v>0</v>
      </c>
    </row>
    <row r="24" spans="1:21" x14ac:dyDescent="0.25">
      <c r="A24" t="s">
        <v>67</v>
      </c>
      <c r="B24" t="s">
        <v>70</v>
      </c>
      <c r="C24">
        <v>1</v>
      </c>
      <c r="D24" t="s">
        <v>89</v>
      </c>
      <c r="E24" t="s">
        <v>72</v>
      </c>
      <c r="F24" t="s">
        <v>73</v>
      </c>
      <c r="G24">
        <v>0</v>
      </c>
      <c r="H24">
        <v>2E+20</v>
      </c>
      <c r="I24">
        <v>0</v>
      </c>
      <c r="J24">
        <v>0</v>
      </c>
      <c r="K24">
        <v>0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Unnamed ProjectpaintingoperatorInstantaneous UtilizationResource</v>
      </c>
      <c r="N24" s="5">
        <f t="array" ref="N24">MAX(IF((ProjectInfoTable[ProjectName]=ContinuousStatsTable[[#This Row],[ProjectName]]),(ProjectInfoTable[ProjectName]=ContinuousStatsTable[[#This Row],[ProjectName]])*ProjectInfoTable[NumberOfReplications]))</f>
        <v>15</v>
      </c>
      <c r="O24" s="5">
        <f t="array" ref="O24">IFERROR(AVERAGE(IF((ContinuousStatsTable[GroupByKey]=ContinuousStatsTable[[#This Row],[GroupByKey]]),(ContinuousStatsTable[GroupByKey]=ContinuousStatsTable[[#This Row],[GroupByKey]])*ContinuousStatsTable[Average])),0)</f>
        <v>0</v>
      </c>
      <c r="P24" s="5">
        <f t="array" ref="P24">IFERROR(_xlfn.STDEV.S(IF((ContinuousStatsTable[GroupByKey]=ContinuousStatsTable[[#This Row],[GroupByKey]]),(ContinuousStatsTable[GroupByKey]=ContinuousStatsTable[[#This Row],[GroupByKey]])*ContinuousStatsTable[Average])),0)</f>
        <v>0</v>
      </c>
      <c r="Q24" s="5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" s="5">
        <f t="array" ref="S24">MIN(IF((ContinuousStatsTable[GroupByKey]=ContinuousStatsTable[[#This Row],[GroupByKey]]),(ContinuousStatsTable[GroupByKey]=ContinuousStatsTable[[#This Row],[GroupByKey]])*ContinuousStatsTable[Average]))</f>
        <v>0</v>
      </c>
      <c r="T24" s="5">
        <f t="array" ref="T24">MAX(IF((ContinuousStatsTable[GroupByKey]=ContinuousStatsTable[[#This Row],[GroupByKey]]),(ContinuousStatsTable[GroupByKey]=ContinuousStatsTable[[#This Row],[GroupByKey]])*ContinuousStatsTable[Average]))</f>
        <v>0</v>
      </c>
      <c r="U24" s="5">
        <f>IF((ContinuousStatsTable[[#This Row],[RepsRequested]]&gt;1),ContinuousStatsTable[[#This Row],[HalfWidth]],ContinuousStatsTable[[#This Row],[BatchMeansHalfWidth]])</f>
        <v>0</v>
      </c>
    </row>
    <row r="25" spans="1:21" x14ac:dyDescent="0.25">
      <c r="A25" t="s">
        <v>67</v>
      </c>
      <c r="B25" t="s">
        <v>70</v>
      </c>
      <c r="C25">
        <v>1</v>
      </c>
      <c r="D25" t="s">
        <v>89</v>
      </c>
      <c r="E25" t="s">
        <v>74</v>
      </c>
      <c r="F25" t="s">
        <v>73</v>
      </c>
      <c r="G25">
        <v>0</v>
      </c>
      <c r="H25">
        <v>2E+20</v>
      </c>
      <c r="I25">
        <v>0</v>
      </c>
      <c r="J25">
        <v>0</v>
      </c>
      <c r="K25">
        <v>0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Unnamed ProjectpaintingoperatorNumber BusyResource</v>
      </c>
      <c r="N25" s="5">
        <f t="array" ref="N25">MAX(IF((ProjectInfoTable[ProjectName]=ContinuousStatsTable[[#This Row],[ProjectName]]),(ProjectInfoTable[ProjectName]=ContinuousStatsTable[[#This Row],[ProjectName]])*ProjectInfoTable[NumberOfReplications]))</f>
        <v>15</v>
      </c>
      <c r="O25" s="5">
        <f t="array" ref="O25">IFERROR(AVERAGE(IF((ContinuousStatsTable[GroupByKey]=ContinuousStatsTable[[#This Row],[GroupByKey]]),(ContinuousStatsTable[GroupByKey]=ContinuousStatsTable[[#This Row],[GroupByKey]])*ContinuousStatsTable[Average])),0)</f>
        <v>0</v>
      </c>
      <c r="P25" s="5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s="5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" s="5">
        <f t="array" ref="S25">MIN(IF((ContinuousStatsTable[GroupByKey]=ContinuousStatsTable[[#This Row],[GroupByKey]]),(ContinuousStatsTable[GroupByKey]=ContinuousStatsTable[[#This Row],[GroupByKey]])*ContinuousStatsTable[Average]))</f>
        <v>0</v>
      </c>
      <c r="T25" s="5">
        <f t="array" ref="T25">MAX(IF((ContinuousStatsTable[GroupByKey]=ContinuousStatsTable[[#This Row],[GroupByKey]]),(ContinuousStatsTable[GroupByKey]=ContinuousStatsTable[[#This Row],[GroupByKey]])*ContinuousStatsTable[Average]))</f>
        <v>0</v>
      </c>
      <c r="U25" s="5">
        <f>IF((ContinuousStatsTable[[#This Row],[RepsRequested]]&gt;1),ContinuousStatsTable[[#This Row],[HalfWidth]],ContinuousStatsTable[[#This Row],[BatchMeansHalfWidth]])</f>
        <v>0</v>
      </c>
    </row>
    <row r="26" spans="1:21" x14ac:dyDescent="0.25">
      <c r="A26" t="s">
        <v>67</v>
      </c>
      <c r="B26" t="s">
        <v>70</v>
      </c>
      <c r="C26">
        <v>1</v>
      </c>
      <c r="D26" t="s">
        <v>89</v>
      </c>
      <c r="E26" t="s">
        <v>75</v>
      </c>
      <c r="F26" t="s">
        <v>73</v>
      </c>
      <c r="G26">
        <v>1.5834999999999999</v>
      </c>
      <c r="H26">
        <v>3E+20</v>
      </c>
      <c r="I26">
        <v>1</v>
      </c>
      <c r="J26">
        <v>2</v>
      </c>
      <c r="K26">
        <v>2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Unnamed ProjectpaintingoperatorNumber ScheduledResource</v>
      </c>
      <c r="N26" s="5">
        <f t="array" ref="N26">MAX(IF((ProjectInfoTable[ProjectName]=ContinuousStatsTable[[#This Row],[ProjectName]]),(ProjectInfoTable[ProjectName]=ContinuousStatsTable[[#This Row],[ProjectName]])*ProjectInfoTable[NumberOfReplications]))</f>
        <v>15</v>
      </c>
      <c r="O26" s="5">
        <f t="array" ref="O26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26" s="5">
        <f t="array" ref="P26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26" s="5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26" s="5">
        <f t="array" ref="S26">MIN(IF((ContinuousStatsTable[GroupByKey]=ContinuousStatsTable[[#This Row],[GroupByKey]]),(ContinuousStatsTable[GroupByKey]=ContinuousStatsTable[[#This Row],[GroupByKey]])*ContinuousStatsTable[Average]))</f>
        <v>1</v>
      </c>
      <c r="T26" s="5">
        <f t="array" ref="T26">MAX(IF((ContinuousStatsTable[GroupByKey]=ContinuousStatsTable[[#This Row],[GroupByKey]]),(ContinuousStatsTable[GroupByKey]=ContinuousStatsTable[[#This Row],[GroupByKey]])*ContinuousStatsTable[Average]))</f>
        <v>2</v>
      </c>
      <c r="U26" s="5">
        <f>IF((ContinuousStatsTable[[#This Row],[RepsRequested]]&gt;1),ContinuousStatsTable[[#This Row],[HalfWidth]],ContinuousStatsTable[[#This Row],[BatchMeansHalfWidth]])</f>
        <v>0.13376733135491528</v>
      </c>
    </row>
    <row r="27" spans="1:21" x14ac:dyDescent="0.25">
      <c r="A27" t="s">
        <v>67</v>
      </c>
      <c r="B27" t="s">
        <v>70</v>
      </c>
      <c r="C27">
        <v>1</v>
      </c>
      <c r="D27" t="s">
        <v>90</v>
      </c>
      <c r="E27" t="s">
        <v>72</v>
      </c>
      <c r="F27" t="s">
        <v>73</v>
      </c>
      <c r="G27">
        <v>0</v>
      </c>
      <c r="H27">
        <v>2E+20</v>
      </c>
      <c r="I27">
        <v>0</v>
      </c>
      <c r="J27">
        <v>0</v>
      </c>
      <c r="K27">
        <v>0</v>
      </c>
      <c r="L27">
        <v>0</v>
      </c>
      <c r="M27" s="5" t="str">
        <f>ContinuousStatsTable[[#This Row],[ProjectName]]&amp;ContinuousStatsTable[[#This Row],[Name]]&amp;ContinuousStatsTable[[#This Row],[Type]]&amp;ContinuousStatsTable[[#This Row],[Source]]</f>
        <v>Unnamed ProjectsandblastmachineInstantaneous UtilizationResource</v>
      </c>
      <c r="N27" s="5">
        <f t="array" ref="N27">MAX(IF((ProjectInfoTable[ProjectName]=ContinuousStatsTable[[#This Row],[ProjectName]]),(ProjectInfoTable[ProjectName]=ContinuousStatsTable[[#This Row],[ProjectName]])*ProjectInfoTable[NumberOfReplications]))</f>
        <v>15</v>
      </c>
      <c r="O27" s="5">
        <f t="array" ref="O27">IFERROR(AVERAGE(IF((ContinuousStatsTable[GroupByKey]=ContinuousStatsTable[[#This Row],[GroupByKey]]),(ContinuousStatsTable[GroupByKey]=ContinuousStatsTable[[#This Row],[GroupByKey]])*ContinuousStatsTable[Average])),0)</f>
        <v>0</v>
      </c>
      <c r="P27" s="5">
        <f t="array" ref="P27">IFERROR(_xlfn.STDEV.S(IF((ContinuousStatsTable[GroupByKey]=ContinuousStatsTable[[#This Row],[GroupByKey]]),(ContinuousStatsTable[GroupByKey]=ContinuousStatsTable[[#This Row],[GroupByKey]])*ContinuousStatsTable[Average])),0)</f>
        <v>0</v>
      </c>
      <c r="Q27" s="5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" s="5">
        <f t="array" ref="S27">MIN(IF((ContinuousStatsTable[GroupByKey]=ContinuousStatsTable[[#This Row],[GroupByKey]]),(ContinuousStatsTable[GroupByKey]=ContinuousStatsTable[[#This Row],[GroupByKey]])*ContinuousStatsTable[Average]))</f>
        <v>0</v>
      </c>
      <c r="T27" s="5">
        <f t="array" ref="T27">MAX(IF((ContinuousStatsTable[GroupByKey]=ContinuousStatsTable[[#This Row],[GroupByKey]]),(ContinuousStatsTable[GroupByKey]=ContinuousStatsTable[[#This Row],[GroupByKey]])*ContinuousStatsTable[Average]))</f>
        <v>0</v>
      </c>
      <c r="U27" s="5">
        <f>IF((ContinuousStatsTable[[#This Row],[RepsRequested]]&gt;1),ContinuousStatsTable[[#This Row],[HalfWidth]],ContinuousStatsTable[[#This Row],[BatchMeansHalfWidth]])</f>
        <v>0</v>
      </c>
    </row>
    <row r="28" spans="1:21" x14ac:dyDescent="0.25">
      <c r="A28" t="s">
        <v>67</v>
      </c>
      <c r="B28" t="s">
        <v>70</v>
      </c>
      <c r="C28">
        <v>1</v>
      </c>
      <c r="D28" t="s">
        <v>90</v>
      </c>
      <c r="E28" t="s">
        <v>74</v>
      </c>
      <c r="F28" t="s">
        <v>73</v>
      </c>
      <c r="G28">
        <v>0</v>
      </c>
      <c r="H28">
        <v>2E+20</v>
      </c>
      <c r="I28">
        <v>0</v>
      </c>
      <c r="J28">
        <v>0</v>
      </c>
      <c r="K28">
        <v>0</v>
      </c>
      <c r="L28">
        <v>0</v>
      </c>
      <c r="M28" s="5" t="str">
        <f>ContinuousStatsTable[[#This Row],[ProjectName]]&amp;ContinuousStatsTable[[#This Row],[Name]]&amp;ContinuousStatsTable[[#This Row],[Type]]&amp;ContinuousStatsTable[[#This Row],[Source]]</f>
        <v>Unnamed ProjectsandblastmachineNumber BusyResource</v>
      </c>
      <c r="N28" s="5">
        <f t="array" ref="N28">MAX(IF((ProjectInfoTable[ProjectName]=ContinuousStatsTable[[#This Row],[ProjectName]]),(ProjectInfoTable[ProjectName]=ContinuousStatsTable[[#This Row],[ProjectName]])*ProjectInfoTable[NumberOfReplications]))</f>
        <v>15</v>
      </c>
      <c r="O28" s="5">
        <f t="array" ref="O28">IFERROR(AVERAGE(IF((ContinuousStatsTable[GroupByKey]=ContinuousStatsTable[[#This Row],[GroupByKey]]),(ContinuousStatsTable[GroupByKey]=ContinuousStatsTable[[#This Row],[GroupByKey]])*ContinuousStatsTable[Average])),0)</f>
        <v>0</v>
      </c>
      <c r="P28" s="5">
        <f t="array" ref="P28">IFERROR(_xlfn.STDEV.S(IF((ContinuousStatsTable[GroupByKey]=ContinuousStatsTable[[#This Row],[GroupByKey]]),(ContinuousStatsTable[GroupByKey]=ContinuousStatsTable[[#This Row],[GroupByKey]])*ContinuousStatsTable[Average])),0)</f>
        <v>0</v>
      </c>
      <c r="Q28" s="5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" s="5">
        <f t="array" ref="S28">MIN(IF((ContinuousStatsTable[GroupByKey]=ContinuousStatsTable[[#This Row],[GroupByKey]]),(ContinuousStatsTable[GroupByKey]=ContinuousStatsTable[[#This Row],[GroupByKey]])*ContinuousStatsTable[Average]))</f>
        <v>0</v>
      </c>
      <c r="T28" s="5">
        <f t="array" ref="T28">MAX(IF((ContinuousStatsTable[GroupByKey]=ContinuousStatsTable[[#This Row],[GroupByKey]]),(ContinuousStatsTable[GroupByKey]=ContinuousStatsTable[[#This Row],[GroupByKey]])*ContinuousStatsTable[Average]))</f>
        <v>0</v>
      </c>
      <c r="U28" s="5">
        <f>IF((ContinuousStatsTable[[#This Row],[RepsRequested]]&gt;1),ContinuousStatsTable[[#This Row],[HalfWidth]],ContinuousStatsTable[[#This Row],[BatchMeansHalfWidth]])</f>
        <v>0</v>
      </c>
    </row>
    <row r="29" spans="1:21" x14ac:dyDescent="0.25">
      <c r="A29" t="s">
        <v>67</v>
      </c>
      <c r="B29" t="s">
        <v>70</v>
      </c>
      <c r="C29">
        <v>1</v>
      </c>
      <c r="D29" t="s">
        <v>90</v>
      </c>
      <c r="E29" t="s">
        <v>75</v>
      </c>
      <c r="F29" t="s">
        <v>73</v>
      </c>
      <c r="G29">
        <v>1</v>
      </c>
      <c r="H29">
        <v>2E+20</v>
      </c>
      <c r="I29">
        <v>1</v>
      </c>
      <c r="J29">
        <v>1</v>
      </c>
      <c r="K29">
        <v>1</v>
      </c>
      <c r="L29">
        <v>0</v>
      </c>
      <c r="M29" s="5" t="str">
        <f>ContinuousStatsTable[[#This Row],[ProjectName]]&amp;ContinuousStatsTable[[#This Row],[Name]]&amp;ContinuousStatsTable[[#This Row],[Type]]&amp;ContinuousStatsTable[[#This Row],[Source]]</f>
        <v>Unnamed ProjectsandblastmachineNumber ScheduledResource</v>
      </c>
      <c r="N29" s="5">
        <f t="array" ref="N29">MAX(IF((ProjectInfoTable[ProjectName]=ContinuousStatsTable[[#This Row],[ProjectName]]),(ProjectInfoTable[ProjectName]=ContinuousStatsTable[[#This Row],[ProjectName]])*ProjectInfoTable[NumberOfReplications]))</f>
        <v>15</v>
      </c>
      <c r="O29" s="5">
        <f t="array" ref="O29">IFERROR(AVERAGE(IF((ContinuousStatsTable[GroupByKey]=ContinuousStatsTable[[#This Row],[GroupByKey]]),(ContinuousStatsTable[GroupByKey]=ContinuousStatsTable[[#This Row],[GroupByKey]])*ContinuousStatsTable[Average])),0)</f>
        <v>1</v>
      </c>
      <c r="P29" s="5">
        <f t="array" ref="P29">IFERROR(_xlfn.STDEV.S(IF((ContinuousStatsTable[GroupByKey]=ContinuousStatsTable[[#This Row],[GroupByKey]]),(ContinuousStatsTable[GroupByKey]=ContinuousStatsTable[[#This Row],[GroupByKey]])*ContinuousStatsTable[Average])),0)</f>
        <v>0</v>
      </c>
      <c r="Q29" s="5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" s="5">
        <f t="array" ref="S29">MIN(IF((ContinuousStatsTable[GroupByKey]=ContinuousStatsTable[[#This Row],[GroupByKey]]),(ContinuousStatsTable[GroupByKey]=ContinuousStatsTable[[#This Row],[GroupByKey]])*ContinuousStatsTable[Average]))</f>
        <v>1</v>
      </c>
      <c r="T29" s="5">
        <f t="array" ref="T29">MAX(IF((ContinuousStatsTable[GroupByKey]=ContinuousStatsTable[[#This Row],[GroupByKey]]),(ContinuousStatsTable[GroupByKey]=ContinuousStatsTable[[#This Row],[GroupByKey]])*ContinuousStatsTable[Average]))</f>
        <v>1</v>
      </c>
      <c r="U29" s="5">
        <f>IF((ContinuousStatsTable[[#This Row],[RepsRequested]]&gt;1),ContinuousStatsTable[[#This Row],[HalfWidth]],ContinuousStatsTable[[#This Row],[BatchMeansHalfWidth]])</f>
        <v>0</v>
      </c>
    </row>
    <row r="30" spans="1:21" x14ac:dyDescent="0.25">
      <c r="A30" t="s">
        <v>67</v>
      </c>
      <c r="B30" t="s">
        <v>70</v>
      </c>
      <c r="C30">
        <v>1</v>
      </c>
      <c r="D30" t="s">
        <v>91</v>
      </c>
      <c r="E30" t="s">
        <v>72</v>
      </c>
      <c r="F30" t="s">
        <v>73</v>
      </c>
      <c r="G30">
        <v>0</v>
      </c>
      <c r="H30">
        <v>2E+20</v>
      </c>
      <c r="I30">
        <v>0</v>
      </c>
      <c r="J30">
        <v>0</v>
      </c>
      <c r="K30">
        <v>0</v>
      </c>
      <c r="L30">
        <v>0</v>
      </c>
      <c r="M30" s="5" t="str">
        <f>ContinuousStatsTable[[#This Row],[ProjectName]]&amp;ContinuousStatsTable[[#This Row],[Name]]&amp;ContinuousStatsTable[[#This Row],[Type]]&amp;ContinuousStatsTable[[#This Row],[Source]]</f>
        <v>Unnamed ProjectsandblastoperatorInstantaneous UtilizationResource</v>
      </c>
      <c r="N30" s="5">
        <f t="array" ref="N30">MAX(IF((ProjectInfoTable[ProjectName]=ContinuousStatsTable[[#This Row],[ProjectName]]),(ProjectInfoTable[ProjectName]=ContinuousStatsTable[[#This Row],[ProjectName]])*ProjectInfoTable[NumberOfReplications]))</f>
        <v>15</v>
      </c>
      <c r="O30" s="5">
        <f t="array" ref="O30">IFERROR(AVERAGE(IF((ContinuousStatsTable[GroupByKey]=ContinuousStatsTable[[#This Row],[GroupByKey]]),(ContinuousStatsTable[GroupByKey]=ContinuousStatsTable[[#This Row],[GroupByKey]])*ContinuousStatsTable[Average])),0)</f>
        <v>0</v>
      </c>
      <c r="P30" s="5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s="5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s="5">
        <f t="array" ref="S30">MIN(IF((ContinuousStatsTable[GroupByKey]=ContinuousStatsTable[[#This Row],[GroupByKey]]),(ContinuousStatsTable[GroupByKey]=ContinuousStatsTable[[#This Row],[GroupByKey]])*ContinuousStatsTable[Average]))</f>
        <v>0</v>
      </c>
      <c r="T30" s="5">
        <f t="array" ref="T30">MAX(IF((ContinuousStatsTable[GroupByKey]=ContinuousStatsTable[[#This Row],[GroupByKey]]),(ContinuousStatsTable[GroupByKey]=ContinuousStatsTable[[#This Row],[GroupByKey]])*ContinuousStatsTable[Average]))</f>
        <v>0</v>
      </c>
      <c r="U30" s="5">
        <f>IF((ContinuousStatsTable[[#This Row],[RepsRequested]]&gt;1),ContinuousStatsTable[[#This Row],[HalfWidth]],ContinuousStatsTable[[#This Row],[BatchMeansHalfWidth]])</f>
        <v>0</v>
      </c>
    </row>
    <row r="31" spans="1:21" x14ac:dyDescent="0.25">
      <c r="A31" t="s">
        <v>67</v>
      </c>
      <c r="B31" t="s">
        <v>70</v>
      </c>
      <c r="C31">
        <v>1</v>
      </c>
      <c r="D31" t="s">
        <v>91</v>
      </c>
      <c r="E31" t="s">
        <v>74</v>
      </c>
      <c r="F31" t="s">
        <v>73</v>
      </c>
      <c r="G31">
        <v>0</v>
      </c>
      <c r="H31">
        <v>2E+20</v>
      </c>
      <c r="I31">
        <v>0</v>
      </c>
      <c r="J31">
        <v>0</v>
      </c>
      <c r="K31">
        <v>0</v>
      </c>
      <c r="L31">
        <v>0</v>
      </c>
      <c r="M31" s="5" t="str">
        <f>ContinuousStatsTable[[#This Row],[ProjectName]]&amp;ContinuousStatsTable[[#This Row],[Name]]&amp;ContinuousStatsTable[[#This Row],[Type]]&amp;ContinuousStatsTable[[#This Row],[Source]]</f>
        <v>Unnamed ProjectsandblastoperatorNumber BusyResource</v>
      </c>
      <c r="N31" s="5">
        <f t="array" ref="N31">MAX(IF((ProjectInfoTable[ProjectName]=ContinuousStatsTable[[#This Row],[ProjectName]]),(ProjectInfoTable[ProjectName]=ContinuousStatsTable[[#This Row],[ProjectName]])*ProjectInfoTable[NumberOfReplications]))</f>
        <v>15</v>
      </c>
      <c r="O31" s="5">
        <f t="array" ref="O31">IFERROR(AVERAGE(IF((ContinuousStatsTable[GroupByKey]=ContinuousStatsTable[[#This Row],[GroupByKey]]),(ContinuousStatsTable[GroupByKey]=ContinuousStatsTable[[#This Row],[GroupByKey]])*ContinuousStatsTable[Average])),0)</f>
        <v>0</v>
      </c>
      <c r="P31" s="5">
        <f t="array" ref="P31">IFERROR(_xlfn.STDEV.S(IF((ContinuousStatsTable[GroupByKey]=ContinuousStatsTable[[#This Row],[GroupByKey]]),(ContinuousStatsTable[GroupByKey]=ContinuousStatsTable[[#This Row],[GroupByKey]])*ContinuousStatsTable[Average])),0)</f>
        <v>0</v>
      </c>
      <c r="Q31" s="5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" s="5">
        <f t="array" ref="S31">MIN(IF((ContinuousStatsTable[GroupByKey]=ContinuousStatsTable[[#This Row],[GroupByKey]]),(ContinuousStatsTable[GroupByKey]=ContinuousStatsTable[[#This Row],[GroupByKey]])*ContinuousStatsTable[Average]))</f>
        <v>0</v>
      </c>
      <c r="T31" s="5">
        <f t="array" ref="T31">MAX(IF((ContinuousStatsTable[GroupByKey]=ContinuousStatsTable[[#This Row],[GroupByKey]]),(ContinuousStatsTable[GroupByKey]=ContinuousStatsTable[[#This Row],[GroupByKey]])*ContinuousStatsTable[Average]))</f>
        <v>0</v>
      </c>
      <c r="U31" s="5">
        <f>IF((ContinuousStatsTable[[#This Row],[RepsRequested]]&gt;1),ContinuousStatsTable[[#This Row],[HalfWidth]],ContinuousStatsTable[[#This Row],[BatchMeansHalfWidth]])</f>
        <v>0</v>
      </c>
    </row>
    <row r="32" spans="1:21" x14ac:dyDescent="0.25">
      <c r="A32" t="s">
        <v>67</v>
      </c>
      <c r="B32" t="s">
        <v>70</v>
      </c>
      <c r="C32">
        <v>1</v>
      </c>
      <c r="D32" t="s">
        <v>91</v>
      </c>
      <c r="E32" t="s">
        <v>75</v>
      </c>
      <c r="F32" t="s">
        <v>73</v>
      </c>
      <c r="G32">
        <v>1.5834999999999999</v>
      </c>
      <c r="H32">
        <v>3E+20</v>
      </c>
      <c r="I32">
        <v>1</v>
      </c>
      <c r="J32">
        <v>2</v>
      </c>
      <c r="K32">
        <v>2</v>
      </c>
      <c r="L32">
        <v>0</v>
      </c>
      <c r="M32" s="5" t="str">
        <f>ContinuousStatsTable[[#This Row],[ProjectName]]&amp;ContinuousStatsTable[[#This Row],[Name]]&amp;ContinuousStatsTable[[#This Row],[Type]]&amp;ContinuousStatsTable[[#This Row],[Source]]</f>
        <v>Unnamed ProjectsandblastoperatorNumber ScheduledResource</v>
      </c>
      <c r="N32" s="5">
        <f t="array" ref="N32">MAX(IF((ProjectInfoTable[ProjectName]=ContinuousStatsTable[[#This Row],[ProjectName]]),(ProjectInfoTable[ProjectName]=ContinuousStatsTable[[#This Row],[ProjectName]])*ProjectInfoTable[NumberOfReplications]))</f>
        <v>15</v>
      </c>
      <c r="O32" s="5">
        <f t="array" ref="O32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32" s="5">
        <f t="array" ref="P32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32" s="5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32" s="5">
        <f t="array" ref="S32">MIN(IF((ContinuousStatsTable[GroupByKey]=ContinuousStatsTable[[#This Row],[GroupByKey]]),(ContinuousStatsTable[GroupByKey]=ContinuousStatsTable[[#This Row],[GroupByKey]])*ContinuousStatsTable[Average]))</f>
        <v>1</v>
      </c>
      <c r="T32" s="5">
        <f t="array" ref="T32">MAX(IF((ContinuousStatsTable[GroupByKey]=ContinuousStatsTable[[#This Row],[GroupByKey]]),(ContinuousStatsTable[GroupByKey]=ContinuousStatsTable[[#This Row],[GroupByKey]])*ContinuousStatsTable[Average]))</f>
        <v>2</v>
      </c>
      <c r="U32" s="5">
        <f>IF((ContinuousStatsTable[[#This Row],[RepsRequested]]&gt;1),ContinuousStatsTable[[#This Row],[HalfWidth]],ContinuousStatsTable[[#This Row],[BatchMeansHalfWidth]])</f>
        <v>0.13376733135491528</v>
      </c>
    </row>
    <row r="33" spans="1:21" x14ac:dyDescent="0.25">
      <c r="A33" t="s">
        <v>67</v>
      </c>
      <c r="B33" t="s">
        <v>70</v>
      </c>
      <c r="C33">
        <v>1</v>
      </c>
      <c r="D33" t="s">
        <v>92</v>
      </c>
      <c r="E33" t="s">
        <v>84</v>
      </c>
      <c r="F33" t="s">
        <v>85</v>
      </c>
      <c r="G33">
        <v>0</v>
      </c>
      <c r="H33">
        <v>2E+20</v>
      </c>
      <c r="I33">
        <v>0</v>
      </c>
      <c r="J33">
        <v>0</v>
      </c>
      <c r="K33">
        <v>0</v>
      </c>
      <c r="L33">
        <v>0</v>
      </c>
      <c r="M33" s="5" t="str">
        <f>ContinuousStatsTable[[#This Row],[ProjectName]]&amp;ContinuousStatsTable[[#This Row],[Name]]&amp;ContinuousStatsTable[[#This Row],[Type]]&amp;ContinuousStatsTable[[#This Row],[Source]]</f>
        <v>Unnamed Projectseize_assembler.QueueNumber WaitingQueue</v>
      </c>
      <c r="N33" s="5">
        <f t="array" ref="N33">MAX(IF((ProjectInfoTable[ProjectName]=ContinuousStatsTable[[#This Row],[ProjectName]]),(ProjectInfoTable[ProjectName]=ContinuousStatsTable[[#This Row],[ProjectName]])*ProjectInfoTable[NumberOfReplications]))</f>
        <v>15</v>
      </c>
      <c r="O33" s="5">
        <f t="array" ref="O33">IFERROR(AVERAGE(IF((ContinuousStatsTable[GroupByKey]=ContinuousStatsTable[[#This Row],[GroupByKey]]),(ContinuousStatsTable[GroupByKey]=ContinuousStatsTable[[#This Row],[GroupByKey]])*ContinuousStatsTable[Average])),0)</f>
        <v>0</v>
      </c>
      <c r="P33" s="5">
        <f t="array" ref="P33">IFERROR(_xlfn.STDEV.S(IF((ContinuousStatsTable[GroupByKey]=ContinuousStatsTable[[#This Row],[GroupByKey]]),(ContinuousStatsTable[GroupByKey]=ContinuousStatsTable[[#This Row],[GroupByKey]])*ContinuousStatsTable[Average])),0)</f>
        <v>0</v>
      </c>
      <c r="Q33" s="5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" s="5">
        <f t="array" ref="S33">MIN(IF((ContinuousStatsTable[GroupByKey]=ContinuousStatsTable[[#This Row],[GroupByKey]]),(ContinuousStatsTable[GroupByKey]=ContinuousStatsTable[[#This Row],[GroupByKey]])*ContinuousStatsTable[Average]))</f>
        <v>0</v>
      </c>
      <c r="T33" s="5">
        <f t="array" ref="T33">MAX(IF((ContinuousStatsTable[GroupByKey]=ContinuousStatsTable[[#This Row],[GroupByKey]]),(ContinuousStatsTable[GroupByKey]=ContinuousStatsTable[[#This Row],[GroupByKey]])*ContinuousStatsTable[Average]))</f>
        <v>0</v>
      </c>
      <c r="U33" s="5">
        <f>IF((ContinuousStatsTable[[#This Row],[RepsRequested]]&gt;1),ContinuousStatsTable[[#This Row],[HalfWidth]],ContinuousStatsTable[[#This Row],[BatchMeansHalfWidth]])</f>
        <v>0</v>
      </c>
    </row>
    <row r="34" spans="1:21" x14ac:dyDescent="0.25">
      <c r="A34" t="s">
        <v>67</v>
      </c>
      <c r="B34" t="s">
        <v>70</v>
      </c>
      <c r="C34">
        <v>1</v>
      </c>
      <c r="D34" t="s">
        <v>93</v>
      </c>
      <c r="E34" t="s">
        <v>84</v>
      </c>
      <c r="F34" t="s">
        <v>85</v>
      </c>
      <c r="G34">
        <v>0</v>
      </c>
      <c r="H34">
        <v>2E+20</v>
      </c>
      <c r="I34">
        <v>0</v>
      </c>
      <c r="J34">
        <v>0</v>
      </c>
      <c r="K34">
        <v>0</v>
      </c>
      <c r="L34">
        <v>0</v>
      </c>
      <c r="M34" s="5" t="str">
        <f>ContinuousStatsTable[[#This Row],[ProjectName]]&amp;ContinuousStatsTable[[#This Row],[Name]]&amp;ContinuousStatsTable[[#This Row],[Type]]&amp;ContinuousStatsTable[[#This Row],[Source]]</f>
        <v>Unnamed Projectseize_cutter.QueueNumber WaitingQueue</v>
      </c>
      <c r="N34" s="5">
        <f t="array" ref="N34">MAX(IF((ProjectInfoTable[ProjectName]=ContinuousStatsTable[[#This Row],[ProjectName]]),(ProjectInfoTable[ProjectName]=ContinuousStatsTable[[#This Row],[ProjectName]])*ProjectInfoTable[NumberOfReplications]))</f>
        <v>15</v>
      </c>
      <c r="O34" s="5">
        <f t="array" ref="O34">IFERROR(AVERAGE(IF((ContinuousStatsTable[GroupByKey]=ContinuousStatsTable[[#This Row],[GroupByKey]]),(ContinuousStatsTable[GroupByKey]=ContinuousStatsTable[[#This Row],[GroupByKey]])*ContinuousStatsTable[Average])),0)</f>
        <v>0</v>
      </c>
      <c r="P34" s="5">
        <f t="array" ref="P34">IFERROR(_xlfn.STDEV.S(IF((ContinuousStatsTable[GroupByKey]=ContinuousStatsTable[[#This Row],[GroupByKey]]),(ContinuousStatsTable[GroupByKey]=ContinuousStatsTable[[#This Row],[GroupByKey]])*ContinuousStatsTable[Average])),0)</f>
        <v>0</v>
      </c>
      <c r="Q34" s="5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" s="5">
        <f t="array" ref="S34">MIN(IF((ContinuousStatsTable[GroupByKey]=ContinuousStatsTable[[#This Row],[GroupByKey]]),(ContinuousStatsTable[GroupByKey]=ContinuousStatsTable[[#This Row],[GroupByKey]])*ContinuousStatsTable[Average]))</f>
        <v>0</v>
      </c>
      <c r="T34" s="5">
        <f t="array" ref="T34">MAX(IF((ContinuousStatsTable[GroupByKey]=ContinuousStatsTable[[#This Row],[GroupByKey]]),(ContinuousStatsTable[GroupByKey]=ContinuousStatsTable[[#This Row],[GroupByKey]])*ContinuousStatsTable[Average]))</f>
        <v>0</v>
      </c>
      <c r="U34" s="5">
        <f>IF((ContinuousStatsTable[[#This Row],[RepsRequested]]&gt;1),ContinuousStatsTable[[#This Row],[HalfWidth]],ContinuousStatsTable[[#This Row],[BatchMeansHalfWidth]])</f>
        <v>0</v>
      </c>
    </row>
    <row r="35" spans="1:21" x14ac:dyDescent="0.25">
      <c r="A35" t="s">
        <v>67</v>
      </c>
      <c r="B35" t="s">
        <v>70</v>
      </c>
      <c r="C35">
        <v>1</v>
      </c>
      <c r="D35" t="s">
        <v>94</v>
      </c>
      <c r="E35" t="s">
        <v>84</v>
      </c>
      <c r="F35" t="s">
        <v>85</v>
      </c>
      <c r="G35">
        <v>0</v>
      </c>
      <c r="H35">
        <v>2E+20</v>
      </c>
      <c r="I35">
        <v>0</v>
      </c>
      <c r="J35">
        <v>0</v>
      </c>
      <c r="K35">
        <v>0</v>
      </c>
      <c r="L35">
        <v>0</v>
      </c>
      <c r="M35" s="5" t="str">
        <f>ContinuousStatsTable[[#This Row],[ProjectName]]&amp;ContinuousStatsTable[[#This Row],[Name]]&amp;ContinuousStatsTable[[#This Row],[Type]]&amp;ContinuousStatsTable[[#This Row],[Source]]</f>
        <v>Unnamed Projectseizeassemblyqcman.QueueNumber WaitingQueue</v>
      </c>
      <c r="N35" s="5">
        <f t="array" ref="N35">MAX(IF((ProjectInfoTable[ProjectName]=ContinuousStatsTable[[#This Row],[ProjectName]]),(ProjectInfoTable[ProjectName]=ContinuousStatsTable[[#This Row],[ProjectName]])*ProjectInfoTable[NumberOfReplications]))</f>
        <v>15</v>
      </c>
      <c r="O35" s="5">
        <f t="array" ref="O35">IFERROR(AVERAGE(IF((ContinuousStatsTable[GroupByKey]=ContinuousStatsTable[[#This Row],[GroupByKey]]),(ContinuousStatsTable[GroupByKey]=ContinuousStatsTable[[#This Row],[GroupByKey]])*ContinuousStatsTable[Average])),0)</f>
        <v>0</v>
      </c>
      <c r="P35" s="5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s="5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s="5">
        <f t="array" ref="S35">MIN(IF((ContinuousStatsTable[GroupByKey]=ContinuousStatsTable[[#This Row],[GroupByKey]]),(ContinuousStatsTable[GroupByKey]=ContinuousStatsTable[[#This Row],[GroupByKey]])*ContinuousStatsTable[Average]))</f>
        <v>0</v>
      </c>
      <c r="T35" s="5">
        <f t="array" ref="T35">MAX(IF((ContinuousStatsTable[GroupByKey]=ContinuousStatsTable[[#This Row],[GroupByKey]]),(ContinuousStatsTable[GroupByKey]=ContinuousStatsTable[[#This Row],[GroupByKey]])*ContinuousStatsTable[Average]))</f>
        <v>0</v>
      </c>
      <c r="U35" s="5">
        <f>IF((ContinuousStatsTable[[#This Row],[RepsRequested]]&gt;1),ContinuousStatsTable[[#This Row],[HalfWidth]],ContinuousStatsTable[[#This Row],[BatchMeansHalfWidth]])</f>
        <v>0</v>
      </c>
    </row>
    <row r="36" spans="1:21" x14ac:dyDescent="0.25">
      <c r="A36" t="s">
        <v>67</v>
      </c>
      <c r="B36" t="s">
        <v>70</v>
      </c>
      <c r="C36">
        <v>1</v>
      </c>
      <c r="D36" t="s">
        <v>95</v>
      </c>
      <c r="E36" t="s">
        <v>84</v>
      </c>
      <c r="F36" t="s">
        <v>85</v>
      </c>
      <c r="G36">
        <v>0</v>
      </c>
      <c r="H36">
        <v>2E+20</v>
      </c>
      <c r="I36">
        <v>0</v>
      </c>
      <c r="J36">
        <v>0</v>
      </c>
      <c r="K36">
        <v>0</v>
      </c>
      <c r="L36">
        <v>0</v>
      </c>
      <c r="M36" s="5" t="str">
        <f>ContinuousStatsTable[[#This Row],[ProjectName]]&amp;ContinuousStatsTable[[#This Row],[Name]]&amp;ContinuousStatsTable[[#This Row],[Type]]&amp;ContinuousStatsTable[[#This Row],[Source]]</f>
        <v>Unnamed Projectseizecleaner.QueueNumber WaitingQueue</v>
      </c>
      <c r="N36" s="5">
        <f t="array" ref="N36">MAX(IF((ProjectInfoTable[ProjectName]=ContinuousStatsTable[[#This Row],[ProjectName]]),(ProjectInfoTable[ProjectName]=ContinuousStatsTable[[#This Row],[ProjectName]])*ProjectInfoTable[NumberOfReplications]))</f>
        <v>15</v>
      </c>
      <c r="O36" s="5">
        <f t="array" ref="O36">IFERROR(AVERAGE(IF((ContinuousStatsTable[GroupByKey]=ContinuousStatsTable[[#This Row],[GroupByKey]]),(ContinuousStatsTable[GroupByKey]=ContinuousStatsTable[[#This Row],[GroupByKey]])*ContinuousStatsTable[Average])),0)</f>
        <v>0</v>
      </c>
      <c r="P36" s="5">
        <f t="array" ref="P36">IFERROR(_xlfn.STDEV.S(IF((ContinuousStatsTable[GroupByKey]=ContinuousStatsTable[[#This Row],[GroupByKey]]),(ContinuousStatsTable[GroupByKey]=ContinuousStatsTable[[#This Row],[GroupByKey]])*ContinuousStatsTable[Average])),0)</f>
        <v>0</v>
      </c>
      <c r="Q36" s="5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" s="5">
        <f t="array" ref="S36">MIN(IF((ContinuousStatsTable[GroupByKey]=ContinuousStatsTable[[#This Row],[GroupByKey]]),(ContinuousStatsTable[GroupByKey]=ContinuousStatsTable[[#This Row],[GroupByKey]])*ContinuousStatsTable[Average]))</f>
        <v>0</v>
      </c>
      <c r="T36" s="5">
        <f t="array" ref="T36">MAX(IF((ContinuousStatsTable[GroupByKey]=ContinuousStatsTable[[#This Row],[GroupByKey]]),(ContinuousStatsTable[GroupByKey]=ContinuousStatsTable[[#This Row],[GroupByKey]])*ContinuousStatsTable[Average]))</f>
        <v>0</v>
      </c>
      <c r="U36" s="5">
        <f>IF((ContinuousStatsTable[[#This Row],[RepsRequested]]&gt;1),ContinuousStatsTable[[#This Row],[HalfWidth]],ContinuousStatsTable[[#This Row],[BatchMeansHalfWidth]])</f>
        <v>0</v>
      </c>
    </row>
    <row r="37" spans="1:21" x14ac:dyDescent="0.25">
      <c r="A37" t="s">
        <v>67</v>
      </c>
      <c r="B37" t="s">
        <v>70</v>
      </c>
      <c r="C37">
        <v>1</v>
      </c>
      <c r="D37" t="s">
        <v>96</v>
      </c>
      <c r="E37" t="s">
        <v>84</v>
      </c>
      <c r="F37" t="s">
        <v>85</v>
      </c>
      <c r="G37">
        <v>0</v>
      </c>
      <c r="H37">
        <v>2E+20</v>
      </c>
      <c r="I37">
        <v>0</v>
      </c>
      <c r="J37">
        <v>0</v>
      </c>
      <c r="K37">
        <v>0</v>
      </c>
      <c r="L37">
        <v>0</v>
      </c>
      <c r="M37" s="5" t="str">
        <f>ContinuousStatsTable[[#This Row],[ProjectName]]&amp;ContinuousStatsTable[[#This Row],[Name]]&amp;ContinuousStatsTable[[#This Row],[Type]]&amp;ContinuousStatsTable[[#This Row],[Source]]</f>
        <v>Unnamed Projectseizepainter.QueueNumber WaitingQueue</v>
      </c>
      <c r="N37" s="5">
        <f t="array" ref="N37">MAX(IF((ProjectInfoTable[ProjectName]=ContinuousStatsTable[[#This Row],[ProjectName]]),(ProjectInfoTable[ProjectName]=ContinuousStatsTable[[#This Row],[ProjectName]])*ProjectInfoTable[NumberOfReplications]))</f>
        <v>15</v>
      </c>
      <c r="O37" s="5">
        <f t="array" ref="O37">IFERROR(AVERAGE(IF((ContinuousStatsTable[GroupByKey]=ContinuousStatsTable[[#This Row],[GroupByKey]]),(ContinuousStatsTable[GroupByKey]=ContinuousStatsTable[[#This Row],[GroupByKey]])*ContinuousStatsTable[Average])),0)</f>
        <v>0</v>
      </c>
      <c r="P37" s="5">
        <f t="array" ref="P37">IFERROR(_xlfn.STDEV.S(IF((ContinuousStatsTable[GroupByKey]=ContinuousStatsTable[[#This Row],[GroupByKey]]),(ContinuousStatsTable[GroupByKey]=ContinuousStatsTable[[#This Row],[GroupByKey]])*ContinuousStatsTable[Average])),0)</f>
        <v>0</v>
      </c>
      <c r="Q37" s="5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" s="5">
        <f t="array" ref="S37">MIN(IF((ContinuousStatsTable[GroupByKey]=ContinuousStatsTable[[#This Row],[GroupByKey]]),(ContinuousStatsTable[GroupByKey]=ContinuousStatsTable[[#This Row],[GroupByKey]])*ContinuousStatsTable[Average]))</f>
        <v>0</v>
      </c>
      <c r="T37" s="5">
        <f t="array" ref="T37">MAX(IF((ContinuousStatsTable[GroupByKey]=ContinuousStatsTable[[#This Row],[GroupByKey]]),(ContinuousStatsTable[GroupByKey]=ContinuousStatsTable[[#This Row],[GroupByKey]])*ContinuousStatsTable[Average]))</f>
        <v>0</v>
      </c>
      <c r="U37" s="5">
        <f>IF((ContinuousStatsTable[[#This Row],[RepsRequested]]&gt;1),ContinuousStatsTable[[#This Row],[HalfWidth]],ContinuousStatsTable[[#This Row],[BatchMeansHalfWidth]])</f>
        <v>0</v>
      </c>
    </row>
    <row r="38" spans="1:21" x14ac:dyDescent="0.25">
      <c r="A38" t="s">
        <v>67</v>
      </c>
      <c r="B38" t="s">
        <v>70</v>
      </c>
      <c r="C38">
        <v>1</v>
      </c>
      <c r="D38" t="s">
        <v>97</v>
      </c>
      <c r="E38" t="s">
        <v>84</v>
      </c>
      <c r="F38" t="s">
        <v>85</v>
      </c>
      <c r="G38">
        <v>0</v>
      </c>
      <c r="H38">
        <v>2E+20</v>
      </c>
      <c r="I38">
        <v>0</v>
      </c>
      <c r="J38">
        <v>0</v>
      </c>
      <c r="K38">
        <v>0</v>
      </c>
      <c r="L38">
        <v>0</v>
      </c>
      <c r="M38" s="5" t="str">
        <f>ContinuousStatsTable[[#This Row],[ProjectName]]&amp;ContinuousStatsTable[[#This Row],[Name]]&amp;ContinuousStatsTable[[#This Row],[Type]]&amp;ContinuousStatsTable[[#This Row],[Source]]</f>
        <v>Unnamed Projectseizeqcman.QueueNumber WaitingQueue</v>
      </c>
      <c r="N38" s="5">
        <f t="array" ref="N38">MAX(IF((ProjectInfoTable[ProjectName]=ContinuousStatsTable[[#This Row],[ProjectName]]),(ProjectInfoTable[ProjectName]=ContinuousStatsTable[[#This Row],[ProjectName]])*ProjectInfoTable[NumberOfReplications]))</f>
        <v>15</v>
      </c>
      <c r="O38" s="5">
        <f t="array" ref="O38">IFERROR(AVERAGE(IF((ContinuousStatsTable[GroupByKey]=ContinuousStatsTable[[#This Row],[GroupByKey]]),(ContinuousStatsTable[GroupByKey]=ContinuousStatsTable[[#This Row],[GroupByKey]])*ContinuousStatsTable[Average])),0)</f>
        <v>0</v>
      </c>
      <c r="P38" s="5">
        <f t="array" ref="P38">IFERROR(_xlfn.STDEV.S(IF((ContinuousStatsTable[GroupByKey]=ContinuousStatsTable[[#This Row],[GroupByKey]]),(ContinuousStatsTable[GroupByKey]=ContinuousStatsTable[[#This Row],[GroupByKey]])*ContinuousStatsTable[Average])),0)</f>
        <v>0</v>
      </c>
      <c r="Q38" s="5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" s="5">
        <f t="array" ref="S38">MIN(IF((ContinuousStatsTable[GroupByKey]=ContinuousStatsTable[[#This Row],[GroupByKey]]),(ContinuousStatsTable[GroupByKey]=ContinuousStatsTable[[#This Row],[GroupByKey]])*ContinuousStatsTable[Average]))</f>
        <v>0</v>
      </c>
      <c r="T38" s="5">
        <f t="array" ref="T38">MAX(IF((ContinuousStatsTable[GroupByKey]=ContinuousStatsTable[[#This Row],[GroupByKey]]),(ContinuousStatsTable[GroupByKey]=ContinuousStatsTable[[#This Row],[GroupByKey]])*ContinuousStatsTable[Average]))</f>
        <v>0</v>
      </c>
      <c r="U38" s="5">
        <f>IF((ContinuousStatsTable[[#This Row],[RepsRequested]]&gt;1),ContinuousStatsTable[[#This Row],[HalfWidth]],ContinuousStatsTable[[#This Row],[BatchMeansHalfWidth]])</f>
        <v>0</v>
      </c>
    </row>
    <row r="39" spans="1:21" x14ac:dyDescent="0.25">
      <c r="A39" t="s">
        <v>67</v>
      </c>
      <c r="B39" t="s">
        <v>70</v>
      </c>
      <c r="C39">
        <v>1</v>
      </c>
      <c r="D39" t="s">
        <v>98</v>
      </c>
      <c r="E39" t="s">
        <v>84</v>
      </c>
      <c r="F39" t="s">
        <v>85</v>
      </c>
      <c r="G39">
        <v>0</v>
      </c>
      <c r="H39">
        <v>2E+20</v>
      </c>
      <c r="I39">
        <v>0</v>
      </c>
      <c r="J39">
        <v>0</v>
      </c>
      <c r="K39">
        <v>0</v>
      </c>
      <c r="L39">
        <v>0</v>
      </c>
      <c r="M39" s="5" t="str">
        <f>ContinuousStatsTable[[#This Row],[ProjectName]]&amp;ContinuousStatsTable[[#This Row],[Name]]&amp;ContinuousStatsTable[[#This Row],[Type]]&amp;ContinuousStatsTable[[#This Row],[Source]]</f>
        <v>Unnamed Projectseizesandblaster.QueueNumber WaitingQueue</v>
      </c>
      <c r="N39" s="5">
        <f t="array" ref="N39">MAX(IF((ProjectInfoTable[ProjectName]=ContinuousStatsTable[[#This Row],[ProjectName]]),(ProjectInfoTable[ProjectName]=ContinuousStatsTable[[#This Row],[ProjectName]])*ProjectInfoTable[NumberOfReplications]))</f>
        <v>15</v>
      </c>
      <c r="O39" s="5">
        <f t="array" ref="O39">IFERROR(AVERAGE(IF((ContinuousStatsTable[GroupByKey]=ContinuousStatsTable[[#This Row],[GroupByKey]]),(ContinuousStatsTable[GroupByKey]=ContinuousStatsTable[[#This Row],[GroupByKey]])*ContinuousStatsTable[Average])),0)</f>
        <v>0</v>
      </c>
      <c r="P39" s="5">
        <f t="array" ref="P39">IFERROR(_xlfn.STDEV.S(IF((ContinuousStatsTable[GroupByKey]=ContinuousStatsTable[[#This Row],[GroupByKey]]),(ContinuousStatsTable[GroupByKey]=ContinuousStatsTable[[#This Row],[GroupByKey]])*ContinuousStatsTable[Average])),0)</f>
        <v>0</v>
      </c>
      <c r="Q39" s="5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" s="5">
        <f t="array" ref="S39">MIN(IF((ContinuousStatsTable[GroupByKey]=ContinuousStatsTable[[#This Row],[GroupByKey]]),(ContinuousStatsTable[GroupByKey]=ContinuousStatsTable[[#This Row],[GroupByKey]])*ContinuousStatsTable[Average]))</f>
        <v>0</v>
      </c>
      <c r="T39" s="5">
        <f t="array" ref="T39">MAX(IF((ContinuousStatsTable[GroupByKey]=ContinuousStatsTable[[#This Row],[GroupByKey]]),(ContinuousStatsTable[GroupByKey]=ContinuousStatsTable[[#This Row],[GroupByKey]])*ContinuousStatsTable[Average]))</f>
        <v>0</v>
      </c>
      <c r="U39" s="5">
        <f>IF((ContinuousStatsTable[[#This Row],[RepsRequested]]&gt;1),ContinuousStatsTable[[#This Row],[HalfWidth]],ContinuousStatsTable[[#This Row],[BatchMeansHalfWidth]])</f>
        <v>0</v>
      </c>
    </row>
    <row r="40" spans="1:21" x14ac:dyDescent="0.25">
      <c r="A40" t="s">
        <v>67</v>
      </c>
      <c r="B40" t="s">
        <v>70</v>
      </c>
      <c r="C40">
        <v>1</v>
      </c>
      <c r="D40" t="s">
        <v>99</v>
      </c>
      <c r="E40" t="s">
        <v>84</v>
      </c>
      <c r="F40" t="s">
        <v>85</v>
      </c>
      <c r="G40">
        <v>0</v>
      </c>
      <c r="H40">
        <v>2E+20</v>
      </c>
      <c r="I40">
        <v>0</v>
      </c>
      <c r="J40">
        <v>0</v>
      </c>
      <c r="K40">
        <v>0</v>
      </c>
      <c r="L40">
        <v>0</v>
      </c>
      <c r="M40" s="5" t="str">
        <f>ContinuousStatsTable[[#This Row],[ProjectName]]&amp;ContinuousStatsTable[[#This Row],[Name]]&amp;ContinuousStatsTable[[#This Row],[Type]]&amp;ContinuousStatsTable[[#This Row],[Source]]</f>
        <v>Unnamed Projectseizewelder.QueueNumber WaitingQueue</v>
      </c>
      <c r="N40" s="5">
        <f t="array" ref="N40">MAX(IF((ProjectInfoTable[ProjectName]=ContinuousStatsTable[[#This Row],[ProjectName]]),(ProjectInfoTable[ProjectName]=ContinuousStatsTable[[#This Row],[ProjectName]])*ProjectInfoTable[NumberOfReplications]))</f>
        <v>15</v>
      </c>
      <c r="O40" s="5">
        <f t="array" ref="O40">IFERROR(AVERAGE(IF((ContinuousStatsTable[GroupByKey]=ContinuousStatsTable[[#This Row],[GroupByKey]]),(ContinuousStatsTable[GroupByKey]=ContinuousStatsTable[[#This Row],[GroupByKey]])*ContinuousStatsTable[Average])),0)</f>
        <v>0</v>
      </c>
      <c r="P40" s="5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s="5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s="5">
        <f t="array" ref="S40">MIN(IF((ContinuousStatsTable[GroupByKey]=ContinuousStatsTable[[#This Row],[GroupByKey]]),(ContinuousStatsTable[GroupByKey]=ContinuousStatsTable[[#This Row],[GroupByKey]])*ContinuousStatsTable[Average]))</f>
        <v>0</v>
      </c>
      <c r="T40" s="5">
        <f t="array" ref="T40">MAX(IF((ContinuousStatsTable[GroupByKey]=ContinuousStatsTable[[#This Row],[GroupByKey]]),(ContinuousStatsTable[GroupByKey]=ContinuousStatsTable[[#This Row],[GroupByKey]])*ContinuousStatsTable[Average]))</f>
        <v>0</v>
      </c>
      <c r="U40" s="5">
        <f>IF((ContinuousStatsTable[[#This Row],[RepsRequested]]&gt;1),ContinuousStatsTable[[#This Row],[HalfWidth]],ContinuousStatsTable[[#This Row],[BatchMeansHalfWidth]])</f>
        <v>0</v>
      </c>
    </row>
    <row r="41" spans="1:21" x14ac:dyDescent="0.25">
      <c r="A41" t="s">
        <v>67</v>
      </c>
      <c r="B41" t="s">
        <v>70</v>
      </c>
      <c r="C41">
        <v>1</v>
      </c>
      <c r="D41" t="s">
        <v>100</v>
      </c>
      <c r="E41" t="s">
        <v>78</v>
      </c>
      <c r="F41" t="s">
        <v>79</v>
      </c>
      <c r="G41">
        <v>2</v>
      </c>
      <c r="H41">
        <v>2E+20</v>
      </c>
      <c r="I41">
        <v>2</v>
      </c>
      <c r="J41">
        <v>2</v>
      </c>
      <c r="K41">
        <v>2</v>
      </c>
      <c r="L41">
        <v>0</v>
      </c>
      <c r="M41" s="5" t="str">
        <f>ContinuousStatsTable[[#This Row],[ProjectName]]&amp;ContinuousStatsTable[[#This Row],[Name]]&amp;ContinuousStatsTable[[#This Row],[Type]]&amp;ContinuousStatsTable[[#This Row],[Source]]</f>
        <v>Unnamed ProjectsteelsheetWIPEntity</v>
      </c>
      <c r="N41" s="5">
        <f t="array" ref="N41">MAX(IF((ProjectInfoTable[ProjectName]=ContinuousStatsTable[[#This Row],[ProjectName]]),(ProjectInfoTable[ProjectName]=ContinuousStatsTable[[#This Row],[ProjectName]])*ProjectInfoTable[NumberOfReplications]))</f>
        <v>15</v>
      </c>
      <c r="O41" s="5">
        <f t="array" ref="O41">IFERROR(AVERAGE(IF((ContinuousStatsTable[GroupByKey]=ContinuousStatsTable[[#This Row],[GroupByKey]]),(ContinuousStatsTable[GroupByKey]=ContinuousStatsTable[[#This Row],[GroupByKey]])*ContinuousStatsTable[Average])),0)</f>
        <v>6.1333333333333337</v>
      </c>
      <c r="P41" s="5">
        <f t="array" ref="P41">IFERROR(_xlfn.STDEV.S(IF((ContinuousStatsTable[GroupByKey]=ContinuousStatsTable[[#This Row],[GroupByKey]]),(ContinuousStatsTable[GroupByKey]=ContinuousStatsTable[[#This Row],[GroupByKey]])*ContinuousStatsTable[Average])),0)</f>
        <v>5.3166405433005028</v>
      </c>
      <c r="Q41" s="5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2.944257396015229</v>
      </c>
      <c r="S41" s="5">
        <f t="array" ref="S41">MIN(IF((ContinuousStatsTable[GroupByKey]=ContinuousStatsTable[[#This Row],[GroupByKey]]),(ContinuousStatsTable[GroupByKey]=ContinuousStatsTable[[#This Row],[GroupByKey]])*ContinuousStatsTable[Average]))</f>
        <v>0</v>
      </c>
      <c r="T41" s="5">
        <f t="array" ref="T41">MAX(IF((ContinuousStatsTable[GroupByKey]=ContinuousStatsTable[[#This Row],[GroupByKey]]),(ContinuousStatsTable[GroupByKey]=ContinuousStatsTable[[#This Row],[GroupByKey]])*ContinuousStatsTable[Average]))</f>
        <v>16</v>
      </c>
      <c r="U41" s="5">
        <f>IF((ContinuousStatsTable[[#This Row],[RepsRequested]]&gt;1),ContinuousStatsTable[[#This Row],[HalfWidth]],ContinuousStatsTable[[#This Row],[BatchMeansHalfWidth]])</f>
        <v>2.944257396015229</v>
      </c>
    </row>
    <row r="42" spans="1:21" x14ac:dyDescent="0.25">
      <c r="A42" t="s">
        <v>67</v>
      </c>
      <c r="B42" t="s">
        <v>70</v>
      </c>
      <c r="C42">
        <v>1</v>
      </c>
      <c r="D42" t="s">
        <v>101</v>
      </c>
      <c r="E42" t="s">
        <v>72</v>
      </c>
      <c r="F42" t="s">
        <v>73</v>
      </c>
      <c r="G42">
        <v>0</v>
      </c>
      <c r="H42">
        <v>2E+20</v>
      </c>
      <c r="I42">
        <v>0</v>
      </c>
      <c r="J42">
        <v>0</v>
      </c>
      <c r="K42">
        <v>0</v>
      </c>
      <c r="L42">
        <v>0</v>
      </c>
      <c r="M42" s="5" t="str">
        <f>ContinuousStatsTable[[#This Row],[ProjectName]]&amp;ContinuousStatsTable[[#This Row],[Name]]&amp;ContinuousStatsTable[[#This Row],[Type]]&amp;ContinuousStatsTable[[#This Row],[Source]]</f>
        <v>Unnamed ProjectwelderInstantaneous UtilizationResource</v>
      </c>
      <c r="N42" s="5">
        <f t="array" ref="N42">MAX(IF((ProjectInfoTable[ProjectName]=ContinuousStatsTable[[#This Row],[ProjectName]]),(ProjectInfoTable[ProjectName]=ContinuousStatsTable[[#This Row],[ProjectName]])*ProjectInfoTable[NumberOfReplications]))</f>
        <v>15</v>
      </c>
      <c r="O42" s="5">
        <f t="array" ref="O42">IFERROR(AVERAGE(IF((ContinuousStatsTable[GroupByKey]=ContinuousStatsTable[[#This Row],[GroupByKey]]),(ContinuousStatsTable[GroupByKey]=ContinuousStatsTable[[#This Row],[GroupByKey]])*ContinuousStatsTable[Average])),0)</f>
        <v>0</v>
      </c>
      <c r="P42" s="5">
        <f t="array" ref="P42">IFERROR(_xlfn.STDEV.S(IF((ContinuousStatsTable[GroupByKey]=ContinuousStatsTable[[#This Row],[GroupByKey]]),(ContinuousStatsTable[GroupByKey]=ContinuousStatsTable[[#This Row],[GroupByKey]])*ContinuousStatsTable[Average])),0)</f>
        <v>0</v>
      </c>
      <c r="Q42" s="5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" s="5">
        <f t="array" ref="S42">MIN(IF((ContinuousStatsTable[GroupByKey]=ContinuousStatsTable[[#This Row],[GroupByKey]]),(ContinuousStatsTable[GroupByKey]=ContinuousStatsTable[[#This Row],[GroupByKey]])*ContinuousStatsTable[Average]))</f>
        <v>0</v>
      </c>
      <c r="T42" s="5">
        <f t="array" ref="T42">MAX(IF((ContinuousStatsTable[GroupByKey]=ContinuousStatsTable[[#This Row],[GroupByKey]]),(ContinuousStatsTable[GroupByKey]=ContinuousStatsTable[[#This Row],[GroupByKey]])*ContinuousStatsTable[Average]))</f>
        <v>0</v>
      </c>
      <c r="U42" s="5">
        <f>IF((ContinuousStatsTable[[#This Row],[RepsRequested]]&gt;1),ContinuousStatsTable[[#This Row],[HalfWidth]],ContinuousStatsTable[[#This Row],[BatchMeansHalfWidth]])</f>
        <v>0</v>
      </c>
    </row>
    <row r="43" spans="1:21" x14ac:dyDescent="0.25">
      <c r="A43" t="s">
        <v>67</v>
      </c>
      <c r="B43" t="s">
        <v>70</v>
      </c>
      <c r="C43">
        <v>1</v>
      </c>
      <c r="D43" t="s">
        <v>101</v>
      </c>
      <c r="E43" t="s">
        <v>74</v>
      </c>
      <c r="F43" t="s">
        <v>73</v>
      </c>
      <c r="G43">
        <v>0</v>
      </c>
      <c r="H43">
        <v>2E+20</v>
      </c>
      <c r="I43">
        <v>0</v>
      </c>
      <c r="J43">
        <v>0</v>
      </c>
      <c r="K43">
        <v>0</v>
      </c>
      <c r="L43">
        <v>0</v>
      </c>
      <c r="M43" s="5" t="str">
        <f>ContinuousStatsTable[[#This Row],[ProjectName]]&amp;ContinuousStatsTable[[#This Row],[Name]]&amp;ContinuousStatsTable[[#This Row],[Type]]&amp;ContinuousStatsTable[[#This Row],[Source]]</f>
        <v>Unnamed ProjectwelderNumber BusyResource</v>
      </c>
      <c r="N43" s="5">
        <f t="array" ref="N43">MAX(IF((ProjectInfoTable[ProjectName]=ContinuousStatsTable[[#This Row],[ProjectName]]),(ProjectInfoTable[ProjectName]=ContinuousStatsTable[[#This Row],[ProjectName]])*ProjectInfoTable[NumberOfReplications]))</f>
        <v>15</v>
      </c>
      <c r="O43" s="5">
        <f t="array" ref="O43">IFERROR(AVERAGE(IF((ContinuousStatsTable[GroupByKey]=ContinuousStatsTable[[#This Row],[GroupByKey]]),(ContinuousStatsTable[GroupByKey]=ContinuousStatsTable[[#This Row],[GroupByKey]])*ContinuousStatsTable[Average])),0)</f>
        <v>0</v>
      </c>
      <c r="P43" s="5">
        <f t="array" ref="P43">IFERROR(_xlfn.STDEV.S(IF((ContinuousStatsTable[GroupByKey]=ContinuousStatsTable[[#This Row],[GroupByKey]]),(ContinuousStatsTable[GroupByKey]=ContinuousStatsTable[[#This Row],[GroupByKey]])*ContinuousStatsTable[Average])),0)</f>
        <v>0</v>
      </c>
      <c r="Q43" s="5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" s="5">
        <f t="array" ref="S43">MIN(IF((ContinuousStatsTable[GroupByKey]=ContinuousStatsTable[[#This Row],[GroupByKey]]),(ContinuousStatsTable[GroupByKey]=ContinuousStatsTable[[#This Row],[GroupByKey]])*ContinuousStatsTable[Average]))</f>
        <v>0</v>
      </c>
      <c r="T43" s="5">
        <f t="array" ref="T43">MAX(IF((ContinuousStatsTable[GroupByKey]=ContinuousStatsTable[[#This Row],[GroupByKey]]),(ContinuousStatsTable[GroupByKey]=ContinuousStatsTable[[#This Row],[GroupByKey]])*ContinuousStatsTable[Average]))</f>
        <v>0</v>
      </c>
      <c r="U43" s="5">
        <f>IF((ContinuousStatsTable[[#This Row],[RepsRequested]]&gt;1),ContinuousStatsTable[[#This Row],[HalfWidth]],ContinuousStatsTable[[#This Row],[BatchMeansHalfWidth]])</f>
        <v>0</v>
      </c>
    </row>
    <row r="44" spans="1:21" x14ac:dyDescent="0.25">
      <c r="A44" t="s">
        <v>67</v>
      </c>
      <c r="B44" t="s">
        <v>70</v>
      </c>
      <c r="C44">
        <v>1</v>
      </c>
      <c r="D44" t="s">
        <v>101</v>
      </c>
      <c r="E44" t="s">
        <v>75</v>
      </c>
      <c r="F44" t="s">
        <v>73</v>
      </c>
      <c r="G44">
        <v>1.5833567339252701</v>
      </c>
      <c r="H44">
        <v>3E+20</v>
      </c>
      <c r="I44">
        <v>1</v>
      </c>
      <c r="J44">
        <v>2</v>
      </c>
      <c r="K44">
        <v>2</v>
      </c>
      <c r="L44">
        <v>0</v>
      </c>
      <c r="M44" s="5" t="str">
        <f>ContinuousStatsTable[[#This Row],[ProjectName]]&amp;ContinuousStatsTable[[#This Row],[Name]]&amp;ContinuousStatsTable[[#This Row],[Type]]&amp;ContinuousStatsTable[[#This Row],[Source]]</f>
        <v>Unnamed ProjectwelderNumber ScheduledResource</v>
      </c>
      <c r="N44" s="5">
        <f t="array" ref="N44">MAX(IF((ProjectInfoTable[ProjectName]=ContinuousStatsTable[[#This Row],[ProjectName]]),(ProjectInfoTable[ProjectName]=ContinuousStatsTable[[#This Row],[ProjectName]])*ProjectInfoTable[NumberOfReplications]))</f>
        <v>15</v>
      </c>
      <c r="O44" s="5">
        <f t="array" ref="O44">IFERROR(AVERAGE(IF((ContinuousStatsTable[GroupByKey]=ContinuousStatsTable[[#This Row],[GroupByKey]]),(ContinuousStatsTable[GroupByKey]=ContinuousStatsTable[[#This Row],[GroupByKey]])*ContinuousStatsTable[Average])),0)</f>
        <v>1.5334531146777051</v>
      </c>
      <c r="P44" s="5">
        <f t="array" ref="P44">IFERROR(_xlfn.STDEV.S(IF((ContinuousStatsTable[GroupByKey]=ContinuousStatsTable[[#This Row],[GroupByKey]]),(ContinuousStatsTable[GroupByKey]=ContinuousStatsTable[[#This Row],[GroupByKey]])*ContinuousStatsTable[Average])),0)</f>
        <v>0.24154952363702747</v>
      </c>
      <c r="Q44" s="5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0.13376566756397254</v>
      </c>
      <c r="S44" s="5">
        <f t="array" ref="S44">MIN(IF((ContinuousStatsTable[GroupByKey]=ContinuousStatsTable[[#This Row],[GroupByKey]]),(ContinuousStatsTable[GroupByKey]=ContinuousStatsTable[[#This Row],[GroupByKey]])*ContinuousStatsTable[Average]))</f>
        <v>1</v>
      </c>
      <c r="T44" s="5">
        <f t="array" ref="T44">MAX(IF((ContinuousStatsTable[GroupByKey]=ContinuousStatsTable[[#This Row],[GroupByKey]]),(ContinuousStatsTable[GroupByKey]=ContinuousStatsTable[[#This Row],[GroupByKey]])*ContinuousStatsTable[Average]))</f>
        <v>2</v>
      </c>
      <c r="U44" s="5">
        <f>IF((ContinuousStatsTable[[#This Row],[RepsRequested]]&gt;1),ContinuousStatsTable[[#This Row],[HalfWidth]],ContinuousStatsTable[[#This Row],[BatchMeansHalfWidth]])</f>
        <v>0.13376566756397254</v>
      </c>
    </row>
    <row r="45" spans="1:21" x14ac:dyDescent="0.25">
      <c r="A45" t="s">
        <v>67</v>
      </c>
      <c r="B45" t="s">
        <v>70</v>
      </c>
      <c r="C45">
        <v>1</v>
      </c>
      <c r="D45" t="s">
        <v>102</v>
      </c>
      <c r="E45" t="s">
        <v>72</v>
      </c>
      <c r="F45" t="s">
        <v>73</v>
      </c>
      <c r="G45">
        <v>0</v>
      </c>
      <c r="H45">
        <v>2E+20</v>
      </c>
      <c r="I45">
        <v>0</v>
      </c>
      <c r="J45">
        <v>0</v>
      </c>
      <c r="K45">
        <v>0</v>
      </c>
      <c r="L45">
        <v>0</v>
      </c>
      <c r="M45" s="5" t="str">
        <f>ContinuousStatsTable[[#This Row],[ProjectName]]&amp;ContinuousStatsTable[[#This Row],[Name]]&amp;ContinuousStatsTable[[#This Row],[Type]]&amp;ContinuousStatsTable[[#This Row],[Source]]</f>
        <v>Unnamed ProjectweldingqcworkerInstantaneous UtilizationResource</v>
      </c>
      <c r="N45" s="5">
        <f t="array" ref="N45">MAX(IF((ProjectInfoTable[ProjectName]=ContinuousStatsTable[[#This Row],[ProjectName]]),(ProjectInfoTable[ProjectName]=ContinuousStatsTable[[#This Row],[ProjectName]])*ProjectInfoTable[NumberOfReplications]))</f>
        <v>15</v>
      </c>
      <c r="O45" s="5">
        <f t="array" ref="O45">IFERROR(AVERAGE(IF((ContinuousStatsTable[GroupByKey]=ContinuousStatsTable[[#This Row],[GroupByKey]]),(ContinuousStatsTable[GroupByKey]=ContinuousStatsTable[[#This Row],[GroupByKey]])*ContinuousStatsTable[Average])),0)</f>
        <v>0</v>
      </c>
      <c r="P45" s="5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s="5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s="5">
        <f t="array" ref="S45">MIN(IF((ContinuousStatsTable[GroupByKey]=ContinuousStatsTable[[#This Row],[GroupByKey]]),(ContinuousStatsTable[GroupByKey]=ContinuousStatsTable[[#This Row],[GroupByKey]])*ContinuousStatsTable[Average]))</f>
        <v>0</v>
      </c>
      <c r="T45" s="5">
        <f t="array" ref="T45">MAX(IF((ContinuousStatsTable[GroupByKey]=ContinuousStatsTable[[#This Row],[GroupByKey]]),(ContinuousStatsTable[GroupByKey]=ContinuousStatsTable[[#This Row],[GroupByKey]])*ContinuousStatsTable[Average]))</f>
        <v>0</v>
      </c>
      <c r="U45" s="5">
        <f>IF((ContinuousStatsTable[[#This Row],[RepsRequested]]&gt;1),ContinuousStatsTable[[#This Row],[HalfWidth]],ContinuousStatsTable[[#This Row],[BatchMeansHalfWidth]])</f>
        <v>0</v>
      </c>
    </row>
    <row r="46" spans="1:21" x14ac:dyDescent="0.25">
      <c r="A46" t="s">
        <v>67</v>
      </c>
      <c r="B46" t="s">
        <v>70</v>
      </c>
      <c r="C46">
        <v>1</v>
      </c>
      <c r="D46" t="s">
        <v>102</v>
      </c>
      <c r="E46" t="s">
        <v>74</v>
      </c>
      <c r="F46" t="s">
        <v>73</v>
      </c>
      <c r="G46">
        <v>0</v>
      </c>
      <c r="H46">
        <v>2E+20</v>
      </c>
      <c r="I46">
        <v>0</v>
      </c>
      <c r="J46">
        <v>0</v>
      </c>
      <c r="K46">
        <v>0</v>
      </c>
      <c r="L46">
        <v>0</v>
      </c>
      <c r="M46" s="5" t="str">
        <f>ContinuousStatsTable[[#This Row],[ProjectName]]&amp;ContinuousStatsTable[[#This Row],[Name]]&amp;ContinuousStatsTable[[#This Row],[Type]]&amp;ContinuousStatsTable[[#This Row],[Source]]</f>
        <v>Unnamed ProjectweldingqcworkerNumber BusyResource</v>
      </c>
      <c r="N46" s="5">
        <f t="array" ref="N46">MAX(IF((ProjectInfoTable[ProjectName]=ContinuousStatsTable[[#This Row],[ProjectName]]),(ProjectInfoTable[ProjectName]=ContinuousStatsTable[[#This Row],[ProjectName]])*ProjectInfoTable[NumberOfReplications]))</f>
        <v>15</v>
      </c>
      <c r="O46" s="5">
        <f t="array" ref="O46">IFERROR(AVERAGE(IF((ContinuousStatsTable[GroupByKey]=ContinuousStatsTable[[#This Row],[GroupByKey]]),(ContinuousStatsTable[GroupByKey]=ContinuousStatsTable[[#This Row],[GroupByKey]])*ContinuousStatsTable[Average])),0)</f>
        <v>0</v>
      </c>
      <c r="P46" s="5">
        <f t="array" ref="P46">IFERROR(_xlfn.STDEV.S(IF((ContinuousStatsTable[GroupByKey]=ContinuousStatsTable[[#This Row],[GroupByKey]]),(ContinuousStatsTable[GroupByKey]=ContinuousStatsTable[[#This Row],[GroupByKey]])*ContinuousStatsTable[Average])),0)</f>
        <v>0</v>
      </c>
      <c r="Q46" s="5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" s="5">
        <f t="array" ref="S46">MIN(IF((ContinuousStatsTable[GroupByKey]=ContinuousStatsTable[[#This Row],[GroupByKey]]),(ContinuousStatsTable[GroupByKey]=ContinuousStatsTable[[#This Row],[GroupByKey]])*ContinuousStatsTable[Average]))</f>
        <v>0</v>
      </c>
      <c r="T46" s="5">
        <f t="array" ref="T46">MAX(IF((ContinuousStatsTable[GroupByKey]=ContinuousStatsTable[[#This Row],[GroupByKey]]),(ContinuousStatsTable[GroupByKey]=ContinuousStatsTable[[#This Row],[GroupByKey]])*ContinuousStatsTable[Average]))</f>
        <v>0</v>
      </c>
      <c r="U46" s="5">
        <f>IF((ContinuousStatsTable[[#This Row],[RepsRequested]]&gt;1),ContinuousStatsTable[[#This Row],[HalfWidth]],ContinuousStatsTable[[#This Row],[BatchMeansHalfWidth]])</f>
        <v>0</v>
      </c>
    </row>
    <row r="47" spans="1:21" x14ac:dyDescent="0.25">
      <c r="A47" t="s">
        <v>67</v>
      </c>
      <c r="B47" t="s">
        <v>70</v>
      </c>
      <c r="C47">
        <v>1</v>
      </c>
      <c r="D47" t="s">
        <v>102</v>
      </c>
      <c r="E47" t="s">
        <v>75</v>
      </c>
      <c r="F47" t="s">
        <v>73</v>
      </c>
      <c r="G47">
        <v>1.58345435893204</v>
      </c>
      <c r="H47">
        <v>3E+20</v>
      </c>
      <c r="I47">
        <v>1</v>
      </c>
      <c r="J47">
        <v>2</v>
      </c>
      <c r="K47">
        <v>2</v>
      </c>
      <c r="L47">
        <v>0</v>
      </c>
      <c r="M47" s="5" t="str">
        <f>ContinuousStatsTable[[#This Row],[ProjectName]]&amp;ContinuousStatsTable[[#This Row],[Name]]&amp;ContinuousStatsTable[[#This Row],[Type]]&amp;ContinuousStatsTable[[#This Row],[Source]]</f>
        <v>Unnamed ProjectweldingqcworkerNumber ScheduledResource</v>
      </c>
      <c r="N47" s="5">
        <f t="array" ref="N47">MAX(IF((ProjectInfoTable[ProjectName]=ContinuousStatsTable[[#This Row],[ProjectName]]),(ProjectInfoTable[ProjectName]=ContinuousStatsTable[[#This Row],[ProjectName]])*ProjectInfoTable[NumberOfReplications]))</f>
        <v>15</v>
      </c>
      <c r="O47" s="5">
        <f t="array" ref="O47">IFERROR(AVERAGE(IF((ContinuousStatsTable[GroupByKey]=ContinuousStatsTable[[#This Row],[GroupByKey]]),(ContinuousStatsTable[GroupByKey]=ContinuousStatsTable[[#This Row],[GroupByKey]])*ContinuousStatsTable[Average])),0)</f>
        <v>1.5334635492504263</v>
      </c>
      <c r="P47" s="5">
        <f t="array" ref="P47">IFERROR(_xlfn.STDEV.S(IF((ContinuousStatsTable[GroupByKey]=ContinuousStatsTable[[#This Row],[GroupByKey]]),(ContinuousStatsTable[GroupByKey]=ContinuousStatsTable[[#This Row],[GroupByKey]])*ContinuousStatsTable[Average])),0)</f>
        <v>0.24155183649982462</v>
      </c>
      <c r="Q47" s="5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0.1337669483846978</v>
      </c>
      <c r="S47" s="5">
        <f t="array" ref="S47">MIN(IF((ContinuousStatsTable[GroupByKey]=ContinuousStatsTable[[#This Row],[GroupByKey]]),(ContinuousStatsTable[GroupByKey]=ContinuousStatsTable[[#This Row],[GroupByKey]])*ContinuousStatsTable[Average]))</f>
        <v>1</v>
      </c>
      <c r="T47" s="5">
        <f t="array" ref="T47">MAX(IF((ContinuousStatsTable[GroupByKey]=ContinuousStatsTable[[#This Row],[GroupByKey]]),(ContinuousStatsTable[GroupByKey]=ContinuousStatsTable[[#This Row],[GroupByKey]])*ContinuousStatsTable[Average]))</f>
        <v>2</v>
      </c>
      <c r="U47" s="5">
        <f>IF((ContinuousStatsTable[[#This Row],[RepsRequested]]&gt;1),ContinuousStatsTable[[#This Row],[HalfWidth]],ContinuousStatsTable[[#This Row],[BatchMeansHalfWidth]])</f>
        <v>0.1337669483846978</v>
      </c>
    </row>
    <row r="48" spans="1:21" x14ac:dyDescent="0.25">
      <c r="A48" t="s">
        <v>67</v>
      </c>
      <c r="B48" t="s">
        <v>70</v>
      </c>
      <c r="C48">
        <v>2</v>
      </c>
      <c r="D48" t="s">
        <v>71</v>
      </c>
      <c r="E48" t="s">
        <v>72</v>
      </c>
      <c r="F48" t="s">
        <v>73</v>
      </c>
      <c r="G48">
        <v>0</v>
      </c>
      <c r="H48">
        <v>2E+20</v>
      </c>
      <c r="I48">
        <v>0</v>
      </c>
      <c r="J48">
        <v>0</v>
      </c>
      <c r="K48">
        <v>0</v>
      </c>
      <c r="L48">
        <v>0</v>
      </c>
      <c r="M48" s="5" t="str">
        <f>ContinuousStatsTable[[#This Row],[ProjectName]]&amp;ContinuousStatsTable[[#This Row],[Name]]&amp;ContinuousStatsTable[[#This Row],[Type]]&amp;ContinuousStatsTable[[#This Row],[Source]]</f>
        <v>Unnamed ProjectassemblerInstantaneous UtilizationResource</v>
      </c>
      <c r="N48" s="5">
        <f t="array" ref="N48">MAX(IF((ProjectInfoTable[ProjectName]=ContinuousStatsTable[[#This Row],[ProjectName]]),(ProjectInfoTable[ProjectName]=ContinuousStatsTable[[#This Row],[ProjectName]])*ProjectInfoTable[NumberOfReplications]))</f>
        <v>15</v>
      </c>
      <c r="O48" s="5">
        <f t="array" ref="O48">IFERROR(AVERAGE(IF((ContinuousStatsTable[GroupByKey]=ContinuousStatsTable[[#This Row],[GroupByKey]]),(ContinuousStatsTable[GroupByKey]=ContinuousStatsTable[[#This Row],[GroupByKey]])*ContinuousStatsTable[Average])),0)</f>
        <v>0</v>
      </c>
      <c r="P48" s="5">
        <f t="array" ref="P48">IFERROR(_xlfn.STDEV.S(IF((ContinuousStatsTable[GroupByKey]=ContinuousStatsTable[[#This Row],[GroupByKey]]),(ContinuousStatsTable[GroupByKey]=ContinuousStatsTable[[#This Row],[GroupByKey]])*ContinuousStatsTable[Average])),0)</f>
        <v>0</v>
      </c>
      <c r="Q48" s="5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" s="5">
        <f t="array" ref="S48">MIN(IF((ContinuousStatsTable[GroupByKey]=ContinuousStatsTable[[#This Row],[GroupByKey]]),(ContinuousStatsTable[GroupByKey]=ContinuousStatsTable[[#This Row],[GroupByKey]])*ContinuousStatsTable[Average]))</f>
        <v>0</v>
      </c>
      <c r="T48" s="5">
        <f t="array" ref="T48">MAX(IF((ContinuousStatsTable[GroupByKey]=ContinuousStatsTable[[#This Row],[GroupByKey]]),(ContinuousStatsTable[GroupByKey]=ContinuousStatsTable[[#This Row],[GroupByKey]])*ContinuousStatsTable[Average]))</f>
        <v>0</v>
      </c>
      <c r="U48" s="5">
        <f>IF((ContinuousStatsTable[[#This Row],[RepsRequested]]&gt;1),ContinuousStatsTable[[#This Row],[HalfWidth]],ContinuousStatsTable[[#This Row],[BatchMeansHalfWidth]])</f>
        <v>0</v>
      </c>
    </row>
    <row r="49" spans="1:21" x14ac:dyDescent="0.25">
      <c r="A49" t="s">
        <v>67</v>
      </c>
      <c r="B49" t="s">
        <v>70</v>
      </c>
      <c r="C49">
        <v>2</v>
      </c>
      <c r="D49" t="s">
        <v>71</v>
      </c>
      <c r="E49" t="s">
        <v>74</v>
      </c>
      <c r="F49" t="s">
        <v>73</v>
      </c>
      <c r="G49">
        <v>0</v>
      </c>
      <c r="H49">
        <v>2E+20</v>
      </c>
      <c r="I49">
        <v>0</v>
      </c>
      <c r="J49">
        <v>0</v>
      </c>
      <c r="K49">
        <v>0</v>
      </c>
      <c r="L49">
        <v>0</v>
      </c>
      <c r="M49" s="5" t="str">
        <f>ContinuousStatsTable[[#This Row],[ProjectName]]&amp;ContinuousStatsTable[[#This Row],[Name]]&amp;ContinuousStatsTable[[#This Row],[Type]]&amp;ContinuousStatsTable[[#This Row],[Source]]</f>
        <v>Unnamed ProjectassemblerNumber BusyResource</v>
      </c>
      <c r="N49" s="5">
        <f t="array" ref="N49">MAX(IF((ProjectInfoTable[ProjectName]=ContinuousStatsTable[[#This Row],[ProjectName]]),(ProjectInfoTable[ProjectName]=ContinuousStatsTable[[#This Row],[ProjectName]])*ProjectInfoTable[NumberOfReplications]))</f>
        <v>15</v>
      </c>
      <c r="O49" s="5">
        <f t="array" ref="O49">IFERROR(AVERAGE(IF((ContinuousStatsTable[GroupByKey]=ContinuousStatsTable[[#This Row],[GroupByKey]]),(ContinuousStatsTable[GroupByKey]=ContinuousStatsTable[[#This Row],[GroupByKey]])*ContinuousStatsTable[Average])),0)</f>
        <v>0</v>
      </c>
      <c r="P49" s="5">
        <f t="array" ref="P49">IFERROR(_xlfn.STDEV.S(IF((ContinuousStatsTable[GroupByKey]=ContinuousStatsTable[[#This Row],[GroupByKey]]),(ContinuousStatsTable[GroupByKey]=ContinuousStatsTable[[#This Row],[GroupByKey]])*ContinuousStatsTable[Average])),0)</f>
        <v>0</v>
      </c>
      <c r="Q49" s="5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" s="5">
        <f t="array" ref="S49">MIN(IF((ContinuousStatsTable[GroupByKey]=ContinuousStatsTable[[#This Row],[GroupByKey]]),(ContinuousStatsTable[GroupByKey]=ContinuousStatsTable[[#This Row],[GroupByKey]])*ContinuousStatsTable[Average]))</f>
        <v>0</v>
      </c>
      <c r="T49" s="5">
        <f t="array" ref="T49">MAX(IF((ContinuousStatsTable[GroupByKey]=ContinuousStatsTable[[#This Row],[GroupByKey]]),(ContinuousStatsTable[GroupByKey]=ContinuousStatsTable[[#This Row],[GroupByKey]])*ContinuousStatsTable[Average]))</f>
        <v>0</v>
      </c>
      <c r="U49" s="5">
        <f>IF((ContinuousStatsTable[[#This Row],[RepsRequested]]&gt;1),ContinuousStatsTable[[#This Row],[HalfWidth]],ContinuousStatsTable[[#This Row],[BatchMeansHalfWidth]])</f>
        <v>0</v>
      </c>
    </row>
    <row r="50" spans="1:21" x14ac:dyDescent="0.25">
      <c r="A50" t="s">
        <v>67</v>
      </c>
      <c r="B50" t="s">
        <v>70</v>
      </c>
      <c r="C50">
        <v>2</v>
      </c>
      <c r="D50" t="s">
        <v>71</v>
      </c>
      <c r="E50" t="s">
        <v>75</v>
      </c>
      <c r="F50" t="s">
        <v>73</v>
      </c>
      <c r="G50">
        <v>1.5827500000000001</v>
      </c>
      <c r="H50">
        <v>3E+20</v>
      </c>
      <c r="I50">
        <v>1</v>
      </c>
      <c r="J50">
        <v>2</v>
      </c>
      <c r="K50">
        <v>1</v>
      </c>
      <c r="L50">
        <v>0</v>
      </c>
      <c r="M50" s="5" t="str">
        <f>ContinuousStatsTable[[#This Row],[ProjectName]]&amp;ContinuousStatsTable[[#This Row],[Name]]&amp;ContinuousStatsTable[[#This Row],[Type]]&amp;ContinuousStatsTable[[#This Row],[Source]]</f>
        <v>Unnamed ProjectassemblerNumber ScheduledResource</v>
      </c>
      <c r="N50" s="5">
        <f t="array" ref="N50">MAX(IF((ProjectInfoTable[ProjectName]=ContinuousStatsTable[[#This Row],[ProjectName]]),(ProjectInfoTable[ProjectName]=ContinuousStatsTable[[#This Row],[ProjectName]])*ProjectInfoTable[NumberOfReplications]))</f>
        <v>15</v>
      </c>
      <c r="O50" s="5">
        <f t="array" ref="O50">IFERROR(AVERAGE(IF((ContinuousStatsTable[GroupByKey]=ContinuousStatsTable[[#This Row],[GroupByKey]]),(ContinuousStatsTable[GroupByKey]=ContinuousStatsTable[[#This Row],[GroupByKey]])*ContinuousStatsTable[Average])),0)</f>
        <v>1.5333142680768803</v>
      </c>
      <c r="P50" s="5">
        <f t="array" ref="P50">IFERROR(_xlfn.STDEV.S(IF((ContinuousStatsTable[GroupByKey]=ContinuousStatsTable[[#This Row],[GroupByKey]]),(ContinuousStatsTable[GroupByKey]=ContinuousStatsTable[[#This Row],[GroupByKey]])*ContinuousStatsTable[Average])),0)</f>
        <v>0.24151891999367611</v>
      </c>
      <c r="Q50" s="5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0.13374871983117992</v>
      </c>
      <c r="S50" s="5">
        <f t="array" ref="S50">MIN(IF((ContinuousStatsTable[GroupByKey]=ContinuousStatsTable[[#This Row],[GroupByKey]]),(ContinuousStatsTable[GroupByKey]=ContinuousStatsTable[[#This Row],[GroupByKey]])*ContinuousStatsTable[Average]))</f>
        <v>1</v>
      </c>
      <c r="T50" s="5">
        <f t="array" ref="T50">MAX(IF((ContinuousStatsTable[GroupByKey]=ContinuousStatsTable[[#This Row],[GroupByKey]]),(ContinuousStatsTable[GroupByKey]=ContinuousStatsTable[[#This Row],[GroupByKey]])*ContinuousStatsTable[Average]))</f>
        <v>2</v>
      </c>
      <c r="U50" s="5">
        <f>IF((ContinuousStatsTable[[#This Row],[RepsRequested]]&gt;1),ContinuousStatsTable[[#This Row],[HalfWidth]],ContinuousStatsTable[[#This Row],[BatchMeansHalfWidth]])</f>
        <v>0.13374871983117992</v>
      </c>
    </row>
    <row r="51" spans="1:21" x14ac:dyDescent="0.25">
      <c r="A51" t="s">
        <v>67</v>
      </c>
      <c r="B51" t="s">
        <v>70</v>
      </c>
      <c r="C51">
        <v>2</v>
      </c>
      <c r="D51" t="s">
        <v>76</v>
      </c>
      <c r="E51" t="s">
        <v>72</v>
      </c>
      <c r="F51" t="s">
        <v>73</v>
      </c>
      <c r="G51">
        <v>0</v>
      </c>
      <c r="H51">
        <v>2E+20</v>
      </c>
      <c r="I51">
        <v>0</v>
      </c>
      <c r="J51">
        <v>0</v>
      </c>
      <c r="K51">
        <v>0</v>
      </c>
      <c r="L51">
        <v>0</v>
      </c>
      <c r="M51" s="5" t="str">
        <f>ContinuousStatsTable[[#This Row],[ProjectName]]&amp;ContinuousStatsTable[[#This Row],[Name]]&amp;ContinuousStatsTable[[#This Row],[Type]]&amp;ContinuousStatsTable[[#This Row],[Source]]</f>
        <v>Unnamed ProjectassemblyqcworkerInstantaneous UtilizationResource</v>
      </c>
      <c r="N51" s="5">
        <f t="array" ref="N51">MAX(IF((ProjectInfoTable[ProjectName]=ContinuousStatsTable[[#This Row],[ProjectName]]),(ProjectInfoTable[ProjectName]=ContinuousStatsTable[[#This Row],[ProjectName]])*ProjectInfoTable[NumberOfReplications]))</f>
        <v>15</v>
      </c>
      <c r="O51" s="5">
        <f t="array" ref="O51">IFERROR(AVERAGE(IF((ContinuousStatsTable[GroupByKey]=ContinuousStatsTable[[#This Row],[GroupByKey]]),(ContinuousStatsTable[GroupByKey]=ContinuousStatsTable[[#This Row],[GroupByKey]])*ContinuousStatsTable[Average])),0)</f>
        <v>0</v>
      </c>
      <c r="P51" s="5">
        <f t="array" ref="P51">IFERROR(_xlfn.STDEV.S(IF((ContinuousStatsTable[GroupByKey]=ContinuousStatsTable[[#This Row],[GroupByKey]]),(ContinuousStatsTable[GroupByKey]=ContinuousStatsTable[[#This Row],[GroupByKey]])*ContinuousStatsTable[Average])),0)</f>
        <v>0</v>
      </c>
      <c r="Q51" s="5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" s="5">
        <f t="array" ref="S51">MIN(IF((ContinuousStatsTable[GroupByKey]=ContinuousStatsTable[[#This Row],[GroupByKey]]),(ContinuousStatsTable[GroupByKey]=ContinuousStatsTable[[#This Row],[GroupByKey]])*ContinuousStatsTable[Average]))</f>
        <v>0</v>
      </c>
      <c r="T51" s="5">
        <f t="array" ref="T51">MAX(IF((ContinuousStatsTable[GroupByKey]=ContinuousStatsTable[[#This Row],[GroupByKey]]),(ContinuousStatsTable[GroupByKey]=ContinuousStatsTable[[#This Row],[GroupByKey]])*ContinuousStatsTable[Average]))</f>
        <v>0</v>
      </c>
      <c r="U51" s="5">
        <f>IF((ContinuousStatsTable[[#This Row],[RepsRequested]]&gt;1),ContinuousStatsTable[[#This Row],[HalfWidth]],ContinuousStatsTable[[#This Row],[BatchMeansHalfWidth]])</f>
        <v>0</v>
      </c>
    </row>
    <row r="52" spans="1:21" x14ac:dyDescent="0.25">
      <c r="A52" t="s">
        <v>67</v>
      </c>
      <c r="B52" t="s">
        <v>70</v>
      </c>
      <c r="C52">
        <v>2</v>
      </c>
      <c r="D52" t="s">
        <v>76</v>
      </c>
      <c r="E52" t="s">
        <v>74</v>
      </c>
      <c r="F52" t="s">
        <v>73</v>
      </c>
      <c r="G52">
        <v>0</v>
      </c>
      <c r="H52">
        <v>2E+20</v>
      </c>
      <c r="I52">
        <v>0</v>
      </c>
      <c r="J52">
        <v>0</v>
      </c>
      <c r="K52">
        <v>0</v>
      </c>
      <c r="L52">
        <v>0</v>
      </c>
      <c r="M52" s="5" t="str">
        <f>ContinuousStatsTable[[#This Row],[ProjectName]]&amp;ContinuousStatsTable[[#This Row],[Name]]&amp;ContinuousStatsTable[[#This Row],[Type]]&amp;ContinuousStatsTable[[#This Row],[Source]]</f>
        <v>Unnamed ProjectassemblyqcworkerNumber BusyResource</v>
      </c>
      <c r="N52" s="5">
        <f t="array" ref="N52">MAX(IF((ProjectInfoTable[ProjectName]=ContinuousStatsTable[[#This Row],[ProjectName]]),(ProjectInfoTable[ProjectName]=ContinuousStatsTable[[#This Row],[ProjectName]])*ProjectInfoTable[NumberOfReplications]))</f>
        <v>15</v>
      </c>
      <c r="O52" s="5">
        <f t="array" ref="O52">IFERROR(AVERAGE(IF((ContinuousStatsTable[GroupByKey]=ContinuousStatsTable[[#This Row],[GroupByKey]]),(ContinuousStatsTable[GroupByKey]=ContinuousStatsTable[[#This Row],[GroupByKey]])*ContinuousStatsTable[Average])),0)</f>
        <v>0</v>
      </c>
      <c r="P52" s="5">
        <f t="array" ref="P52">IFERROR(_xlfn.STDEV.S(IF((ContinuousStatsTable[GroupByKey]=ContinuousStatsTable[[#This Row],[GroupByKey]]),(ContinuousStatsTable[GroupByKey]=ContinuousStatsTable[[#This Row],[GroupByKey]])*ContinuousStatsTable[Average])),0)</f>
        <v>0</v>
      </c>
      <c r="Q52" s="5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" s="5">
        <f t="array" ref="S52">MIN(IF((ContinuousStatsTable[GroupByKey]=ContinuousStatsTable[[#This Row],[GroupByKey]]),(ContinuousStatsTable[GroupByKey]=ContinuousStatsTable[[#This Row],[GroupByKey]])*ContinuousStatsTable[Average]))</f>
        <v>0</v>
      </c>
      <c r="T52" s="5">
        <f t="array" ref="T52">MAX(IF((ContinuousStatsTable[GroupByKey]=ContinuousStatsTable[[#This Row],[GroupByKey]]),(ContinuousStatsTable[GroupByKey]=ContinuousStatsTable[[#This Row],[GroupByKey]])*ContinuousStatsTable[Average]))</f>
        <v>0</v>
      </c>
      <c r="U52" s="5">
        <f>IF((ContinuousStatsTable[[#This Row],[RepsRequested]]&gt;1),ContinuousStatsTable[[#This Row],[HalfWidth]],ContinuousStatsTable[[#This Row],[BatchMeansHalfWidth]])</f>
        <v>0</v>
      </c>
    </row>
    <row r="53" spans="1:21" x14ac:dyDescent="0.25">
      <c r="A53" t="s">
        <v>67</v>
      </c>
      <c r="B53" t="s">
        <v>70</v>
      </c>
      <c r="C53">
        <v>2</v>
      </c>
      <c r="D53" t="s">
        <v>76</v>
      </c>
      <c r="E53" t="s">
        <v>75</v>
      </c>
      <c r="F53" t="s">
        <v>73</v>
      </c>
      <c r="G53">
        <v>1.5834999999999999</v>
      </c>
      <c r="H53">
        <v>3E+20</v>
      </c>
      <c r="I53">
        <v>1</v>
      </c>
      <c r="J53">
        <v>2</v>
      </c>
      <c r="K53">
        <v>2</v>
      </c>
      <c r="L53">
        <v>0</v>
      </c>
      <c r="M53" s="5" t="str">
        <f>ContinuousStatsTable[[#This Row],[ProjectName]]&amp;ContinuousStatsTable[[#This Row],[Name]]&amp;ContinuousStatsTable[[#This Row],[Type]]&amp;ContinuousStatsTable[[#This Row],[Source]]</f>
        <v>Unnamed ProjectassemblyqcworkerNumber ScheduledResource</v>
      </c>
      <c r="N53" s="5">
        <f t="array" ref="N53">MAX(IF((ProjectInfoTable[ProjectName]=ContinuousStatsTable[[#This Row],[ProjectName]]),(ProjectInfoTable[ProjectName]=ContinuousStatsTable[[#This Row],[ProjectName]])*ProjectInfoTable[NumberOfReplications]))</f>
        <v>15</v>
      </c>
      <c r="O53" s="5">
        <f t="array" ref="O53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53" s="5">
        <f t="array" ref="P53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53" s="5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53" s="5">
        <f t="array" ref="S53">MIN(IF((ContinuousStatsTable[GroupByKey]=ContinuousStatsTable[[#This Row],[GroupByKey]]),(ContinuousStatsTable[GroupByKey]=ContinuousStatsTable[[#This Row],[GroupByKey]])*ContinuousStatsTable[Average]))</f>
        <v>1</v>
      </c>
      <c r="T53" s="5">
        <f t="array" ref="T53">MAX(IF((ContinuousStatsTable[GroupByKey]=ContinuousStatsTable[[#This Row],[GroupByKey]]),(ContinuousStatsTable[GroupByKey]=ContinuousStatsTable[[#This Row],[GroupByKey]])*ContinuousStatsTable[Average]))</f>
        <v>2</v>
      </c>
      <c r="U53" s="5">
        <f>IF((ContinuousStatsTable[[#This Row],[RepsRequested]]&gt;1),ContinuousStatsTable[[#This Row],[HalfWidth]],ContinuousStatsTable[[#This Row],[BatchMeansHalfWidth]])</f>
        <v>0.13376733135491528</v>
      </c>
    </row>
    <row r="54" spans="1:21" x14ac:dyDescent="0.25">
      <c r="A54" t="s">
        <v>67</v>
      </c>
      <c r="B54" t="s">
        <v>70</v>
      </c>
      <c r="C54">
        <v>2</v>
      </c>
      <c r="D54" t="s">
        <v>77</v>
      </c>
      <c r="E54" t="s">
        <v>78</v>
      </c>
      <c r="F54" t="s">
        <v>79</v>
      </c>
      <c r="G54">
        <v>0</v>
      </c>
      <c r="H54">
        <v>2E+20</v>
      </c>
      <c r="I54">
        <v>0</v>
      </c>
      <c r="J54">
        <v>0</v>
      </c>
      <c r="K54">
        <v>0</v>
      </c>
      <c r="L54">
        <v>0</v>
      </c>
      <c r="M54" s="5" t="str">
        <f>ContinuousStatsTable[[#This Row],[ProjectName]]&amp;ContinuousStatsTable[[#This Row],[Name]]&amp;ContinuousStatsTable[[#This Row],[Type]]&amp;ContinuousStatsTable[[#This Row],[Source]]</f>
        <v>Unnamed Projectbatched_partsWIPEntity</v>
      </c>
      <c r="N54" s="5">
        <f t="array" ref="N54">MAX(IF((ProjectInfoTable[ProjectName]=ContinuousStatsTable[[#This Row],[ProjectName]]),(ProjectInfoTable[ProjectName]=ContinuousStatsTable[[#This Row],[ProjectName]])*ProjectInfoTable[NumberOfReplications]))</f>
        <v>15</v>
      </c>
      <c r="O54" s="5">
        <f t="array" ref="O54">IFERROR(AVERAGE(IF((ContinuousStatsTable[GroupByKey]=ContinuousStatsTable[[#This Row],[GroupByKey]]),(ContinuousStatsTable[GroupByKey]=ContinuousStatsTable[[#This Row],[GroupByKey]])*ContinuousStatsTable[Average])),0)</f>
        <v>0</v>
      </c>
      <c r="P54" s="5">
        <f t="array" ref="P54">IFERROR(_xlfn.STDEV.S(IF((ContinuousStatsTable[GroupByKey]=ContinuousStatsTable[[#This Row],[GroupByKey]]),(ContinuousStatsTable[GroupByKey]=ContinuousStatsTable[[#This Row],[GroupByKey]])*ContinuousStatsTable[Average])),0)</f>
        <v>0</v>
      </c>
      <c r="Q54" s="5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" s="5">
        <f t="array" ref="S54">MIN(IF((ContinuousStatsTable[GroupByKey]=ContinuousStatsTable[[#This Row],[GroupByKey]]),(ContinuousStatsTable[GroupByKey]=ContinuousStatsTable[[#This Row],[GroupByKey]])*ContinuousStatsTable[Average]))</f>
        <v>0</v>
      </c>
      <c r="T54" s="5">
        <f t="array" ref="T54">MAX(IF((ContinuousStatsTable[GroupByKey]=ContinuousStatsTable[[#This Row],[GroupByKey]]),(ContinuousStatsTable[GroupByKey]=ContinuousStatsTable[[#This Row],[GroupByKey]])*ContinuousStatsTable[Average]))</f>
        <v>0</v>
      </c>
      <c r="U54" s="5">
        <f>IF((ContinuousStatsTable[[#This Row],[RepsRequested]]&gt;1),ContinuousStatsTable[[#This Row],[HalfWidth]],ContinuousStatsTable[[#This Row],[BatchMeansHalfWidth]])</f>
        <v>0</v>
      </c>
    </row>
    <row r="55" spans="1:21" x14ac:dyDescent="0.25">
      <c r="A55" t="s">
        <v>67</v>
      </c>
      <c r="B55" t="s">
        <v>70</v>
      </c>
      <c r="C55">
        <v>2</v>
      </c>
      <c r="D55" t="s">
        <v>80</v>
      </c>
      <c r="E55" t="s">
        <v>72</v>
      </c>
      <c r="F55" t="s">
        <v>73</v>
      </c>
      <c r="G55">
        <v>0</v>
      </c>
      <c r="H55">
        <v>2E+20</v>
      </c>
      <c r="I55">
        <v>0</v>
      </c>
      <c r="J55">
        <v>0</v>
      </c>
      <c r="K55">
        <v>0</v>
      </c>
      <c r="L55">
        <v>0</v>
      </c>
      <c r="M55" s="5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55" s="5">
        <f t="array" ref="N55">MAX(IF((ProjectInfoTable[ProjectName]=ContinuousStatsTable[[#This Row],[ProjectName]]),(ProjectInfoTable[ProjectName]=ContinuousStatsTable[[#This Row],[ProjectName]])*ProjectInfoTable[NumberOfReplications]))</f>
        <v>15</v>
      </c>
      <c r="O55" s="5">
        <f t="array" ref="O55">IFERROR(AVERAGE(IF((ContinuousStatsTable[GroupByKey]=ContinuousStatsTable[[#This Row],[GroupByKey]]),(ContinuousStatsTable[GroupByKey]=ContinuousStatsTable[[#This Row],[GroupByKey]])*ContinuousStatsTable[Average])),0)</f>
        <v>0</v>
      </c>
      <c r="P55" s="5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s="5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s="5">
        <f t="array" ref="S55">MIN(IF((ContinuousStatsTable[GroupByKey]=ContinuousStatsTable[[#This Row],[GroupByKey]]),(ContinuousStatsTable[GroupByKey]=ContinuousStatsTable[[#This Row],[GroupByKey]])*ContinuousStatsTable[Average]))</f>
        <v>0</v>
      </c>
      <c r="T55" s="5">
        <f t="array" ref="T55">MAX(IF((ContinuousStatsTable[GroupByKey]=ContinuousStatsTable[[#This Row],[GroupByKey]]),(ContinuousStatsTable[GroupByKey]=ContinuousStatsTable[[#This Row],[GroupByKey]])*ContinuousStatsTable[Average]))</f>
        <v>0</v>
      </c>
      <c r="U55" s="5">
        <f>IF((ContinuousStatsTable[[#This Row],[RepsRequested]]&gt;1),ContinuousStatsTable[[#This Row],[HalfWidth]],ContinuousStatsTable[[#This Row],[BatchMeansHalfWidth]])</f>
        <v>0</v>
      </c>
    </row>
    <row r="56" spans="1:21" x14ac:dyDescent="0.25">
      <c r="A56" t="s">
        <v>67</v>
      </c>
      <c r="B56" t="s">
        <v>70</v>
      </c>
      <c r="C56">
        <v>2</v>
      </c>
      <c r="D56" t="s">
        <v>80</v>
      </c>
      <c r="E56" t="s">
        <v>74</v>
      </c>
      <c r="F56" t="s">
        <v>73</v>
      </c>
      <c r="G56">
        <v>0</v>
      </c>
      <c r="H56">
        <v>2E+20</v>
      </c>
      <c r="I56">
        <v>0</v>
      </c>
      <c r="J56">
        <v>0</v>
      </c>
      <c r="K56">
        <v>0</v>
      </c>
      <c r="L56">
        <v>0</v>
      </c>
      <c r="M56" s="5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56" s="5">
        <f t="array" ref="N56">MAX(IF((ProjectInfoTable[ProjectName]=ContinuousStatsTable[[#This Row],[ProjectName]]),(ProjectInfoTable[ProjectName]=ContinuousStatsTable[[#This Row],[ProjectName]])*ProjectInfoTable[NumberOfReplications]))</f>
        <v>15</v>
      </c>
      <c r="O56" s="5">
        <f t="array" ref="O56">IFERROR(AVERAGE(IF((ContinuousStatsTable[GroupByKey]=ContinuousStatsTable[[#This Row],[GroupByKey]]),(ContinuousStatsTable[GroupByKey]=ContinuousStatsTable[[#This Row],[GroupByKey]])*ContinuousStatsTable[Average])),0)</f>
        <v>0</v>
      </c>
      <c r="P56" s="5">
        <f t="array" ref="P56">IFERROR(_xlfn.STDEV.S(IF((ContinuousStatsTable[GroupByKey]=ContinuousStatsTable[[#This Row],[GroupByKey]]),(ContinuousStatsTable[GroupByKey]=ContinuousStatsTable[[#This Row],[GroupByKey]])*ContinuousStatsTable[Average])),0)</f>
        <v>0</v>
      </c>
      <c r="Q56" s="5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" s="5">
        <f t="array" ref="S56">MIN(IF((ContinuousStatsTable[GroupByKey]=ContinuousStatsTable[[#This Row],[GroupByKey]]),(ContinuousStatsTable[GroupByKey]=ContinuousStatsTable[[#This Row],[GroupByKey]])*ContinuousStatsTable[Average]))</f>
        <v>0</v>
      </c>
      <c r="T56" s="5">
        <f t="array" ref="T56">MAX(IF((ContinuousStatsTable[GroupByKey]=ContinuousStatsTable[[#This Row],[GroupByKey]]),(ContinuousStatsTable[GroupByKey]=ContinuousStatsTable[[#This Row],[GroupByKey]])*ContinuousStatsTable[Average]))</f>
        <v>0</v>
      </c>
      <c r="U56" s="5">
        <f>IF((ContinuousStatsTable[[#This Row],[RepsRequested]]&gt;1),ContinuousStatsTable[[#This Row],[HalfWidth]],ContinuousStatsTable[[#This Row],[BatchMeansHalfWidth]])</f>
        <v>0</v>
      </c>
    </row>
    <row r="57" spans="1:21" x14ac:dyDescent="0.25">
      <c r="A57" t="s">
        <v>67</v>
      </c>
      <c r="B57" t="s">
        <v>70</v>
      </c>
      <c r="C57">
        <v>2</v>
      </c>
      <c r="D57" t="s">
        <v>80</v>
      </c>
      <c r="E57" t="s">
        <v>75</v>
      </c>
      <c r="F57" t="s">
        <v>73</v>
      </c>
      <c r="G57">
        <v>1.5834999999999999</v>
      </c>
      <c r="H57">
        <v>3E+20</v>
      </c>
      <c r="I57">
        <v>1</v>
      </c>
      <c r="J57">
        <v>2</v>
      </c>
      <c r="K57">
        <v>2</v>
      </c>
      <c r="L57">
        <v>0</v>
      </c>
      <c r="M57" s="5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57" s="5">
        <f t="array" ref="N57">MAX(IF((ProjectInfoTable[ProjectName]=ContinuousStatsTable[[#This Row],[ProjectName]]),(ProjectInfoTable[ProjectName]=ContinuousStatsTable[[#This Row],[ProjectName]])*ProjectInfoTable[NumberOfReplications]))</f>
        <v>15</v>
      </c>
      <c r="O57" s="5">
        <f t="array" ref="O57">IFERROR(AVERAGE(IF((ContinuousStatsTable[GroupByKey]=ContinuousStatsTable[[#This Row],[GroupByKey]]),(ContinuousStatsTable[GroupByKey]=ContinuousStatsTable[[#This Row],[GroupByKey]])*ContinuousStatsTable[Average])),0)</f>
        <v>1.5334471868881776</v>
      </c>
      <c r="P57" s="5">
        <f t="array" ref="P57">IFERROR(_xlfn.STDEV.S(IF((ContinuousStatsTable[GroupByKey]=ContinuousStatsTable[[#This Row],[GroupByKey]]),(ContinuousStatsTable[GroupByKey]=ContinuousStatsTable[[#This Row],[GroupByKey]])*ContinuousStatsTable[Average])),0)</f>
        <v>0.24154821158553658</v>
      </c>
      <c r="Q57" s="5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0.13376494097407529</v>
      </c>
      <c r="S57" s="5">
        <f t="array" ref="S57">MIN(IF((ContinuousStatsTable[GroupByKey]=ContinuousStatsTable[[#This Row],[GroupByKey]]),(ContinuousStatsTable[GroupByKey]=ContinuousStatsTable[[#This Row],[GroupByKey]])*ContinuousStatsTable[Average]))</f>
        <v>1</v>
      </c>
      <c r="T57" s="5">
        <f t="array" ref="T57">MAX(IF((ContinuousStatsTable[GroupByKey]=ContinuousStatsTable[[#This Row],[GroupByKey]]),(ContinuousStatsTable[GroupByKey]=ContinuousStatsTable[[#This Row],[GroupByKey]])*ContinuousStatsTable[Average]))</f>
        <v>2</v>
      </c>
      <c r="U57" s="5">
        <f>IF((ContinuousStatsTable[[#This Row],[RepsRequested]]&gt;1),ContinuousStatsTable[[#This Row],[HalfWidth]],ContinuousStatsTable[[#This Row],[BatchMeansHalfWidth]])</f>
        <v>0.13376494097407529</v>
      </c>
    </row>
    <row r="58" spans="1:21" x14ac:dyDescent="0.25">
      <c r="A58" t="s">
        <v>67</v>
      </c>
      <c r="B58" t="s">
        <v>70</v>
      </c>
      <c r="C58">
        <v>2</v>
      </c>
      <c r="D58" t="s">
        <v>81</v>
      </c>
      <c r="E58" t="s">
        <v>72</v>
      </c>
      <c r="F58" t="s">
        <v>73</v>
      </c>
      <c r="G58">
        <v>0</v>
      </c>
      <c r="H58">
        <v>2E+20</v>
      </c>
      <c r="I58">
        <v>0</v>
      </c>
      <c r="J58">
        <v>0</v>
      </c>
      <c r="K58">
        <v>0</v>
      </c>
      <c r="L58">
        <v>0</v>
      </c>
      <c r="M58" s="5" t="str">
        <f>ContinuousStatsTable[[#This Row],[ProjectName]]&amp;ContinuousStatsTable[[#This Row],[Name]]&amp;ContinuousStatsTable[[#This Row],[Type]]&amp;ContinuousStatsTable[[#This Row],[Source]]</f>
        <v>Unnamed ProjectcutterInstantaneous UtilizationResource</v>
      </c>
      <c r="N58" s="5">
        <f t="array" ref="N58">MAX(IF((ProjectInfoTable[ProjectName]=ContinuousStatsTable[[#This Row],[ProjectName]]),(ProjectInfoTable[ProjectName]=ContinuousStatsTable[[#This Row],[ProjectName]])*ProjectInfoTable[NumberOfReplications]))</f>
        <v>15</v>
      </c>
      <c r="O58" s="5">
        <f t="array" ref="O58">IFERROR(AVERAGE(IF((ContinuousStatsTable[GroupByKey]=ContinuousStatsTable[[#This Row],[GroupByKey]]),(ContinuousStatsTable[GroupByKey]=ContinuousStatsTable[[#This Row],[GroupByKey]])*ContinuousStatsTable[Average])),0)</f>
        <v>0</v>
      </c>
      <c r="P58" s="5">
        <f t="array" ref="P58">IFERROR(_xlfn.STDEV.S(IF((ContinuousStatsTable[GroupByKey]=ContinuousStatsTable[[#This Row],[GroupByKey]]),(ContinuousStatsTable[GroupByKey]=ContinuousStatsTable[[#This Row],[GroupByKey]])*ContinuousStatsTable[Average])),0)</f>
        <v>0</v>
      </c>
      <c r="Q58" s="5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" s="5">
        <f t="array" ref="S58">MIN(IF((ContinuousStatsTable[GroupByKey]=ContinuousStatsTable[[#This Row],[GroupByKey]]),(ContinuousStatsTable[GroupByKey]=ContinuousStatsTable[[#This Row],[GroupByKey]])*ContinuousStatsTable[Average]))</f>
        <v>0</v>
      </c>
      <c r="T58" s="5">
        <f t="array" ref="T58">MAX(IF((ContinuousStatsTable[GroupByKey]=ContinuousStatsTable[[#This Row],[GroupByKey]]),(ContinuousStatsTable[GroupByKey]=ContinuousStatsTable[[#This Row],[GroupByKey]])*ContinuousStatsTable[Average]))</f>
        <v>0</v>
      </c>
      <c r="U58" s="5">
        <f>IF((ContinuousStatsTable[[#This Row],[RepsRequested]]&gt;1),ContinuousStatsTable[[#This Row],[HalfWidth]],ContinuousStatsTable[[#This Row],[BatchMeansHalfWidth]])</f>
        <v>0</v>
      </c>
    </row>
    <row r="59" spans="1:21" x14ac:dyDescent="0.25">
      <c r="A59" t="s">
        <v>67</v>
      </c>
      <c r="B59" t="s">
        <v>70</v>
      </c>
      <c r="C59">
        <v>2</v>
      </c>
      <c r="D59" t="s">
        <v>81</v>
      </c>
      <c r="E59" t="s">
        <v>74</v>
      </c>
      <c r="F59" t="s">
        <v>73</v>
      </c>
      <c r="G59">
        <v>0</v>
      </c>
      <c r="H59">
        <v>2E+20</v>
      </c>
      <c r="I59">
        <v>0</v>
      </c>
      <c r="J59">
        <v>0</v>
      </c>
      <c r="K59">
        <v>0</v>
      </c>
      <c r="L59">
        <v>0</v>
      </c>
      <c r="M59" s="5" t="str">
        <f>ContinuousStatsTable[[#This Row],[ProjectName]]&amp;ContinuousStatsTable[[#This Row],[Name]]&amp;ContinuousStatsTable[[#This Row],[Type]]&amp;ContinuousStatsTable[[#This Row],[Source]]</f>
        <v>Unnamed ProjectcutterNumber BusyResource</v>
      </c>
      <c r="N59" s="5">
        <f t="array" ref="N59">MAX(IF((ProjectInfoTable[ProjectName]=ContinuousStatsTable[[#This Row],[ProjectName]]),(ProjectInfoTable[ProjectName]=ContinuousStatsTable[[#This Row],[ProjectName]])*ProjectInfoTable[NumberOfReplications]))</f>
        <v>15</v>
      </c>
      <c r="O59" s="5">
        <f t="array" ref="O59">IFERROR(AVERAGE(IF((ContinuousStatsTable[GroupByKey]=ContinuousStatsTable[[#This Row],[GroupByKey]]),(ContinuousStatsTable[GroupByKey]=ContinuousStatsTable[[#This Row],[GroupByKey]])*ContinuousStatsTable[Average])),0)</f>
        <v>0</v>
      </c>
      <c r="P59" s="5">
        <f t="array" ref="P59">IFERROR(_xlfn.STDEV.S(IF((ContinuousStatsTable[GroupByKey]=ContinuousStatsTable[[#This Row],[GroupByKey]]),(ContinuousStatsTable[GroupByKey]=ContinuousStatsTable[[#This Row],[GroupByKey]])*ContinuousStatsTable[Average])),0)</f>
        <v>0</v>
      </c>
      <c r="Q59" s="5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" s="5">
        <f t="array" ref="S59">MIN(IF((ContinuousStatsTable[GroupByKey]=ContinuousStatsTable[[#This Row],[GroupByKey]]),(ContinuousStatsTable[GroupByKey]=ContinuousStatsTable[[#This Row],[GroupByKey]])*ContinuousStatsTable[Average]))</f>
        <v>0</v>
      </c>
      <c r="T59" s="5">
        <f t="array" ref="T59">MAX(IF((ContinuousStatsTable[GroupByKey]=ContinuousStatsTable[[#This Row],[GroupByKey]]),(ContinuousStatsTable[GroupByKey]=ContinuousStatsTable[[#This Row],[GroupByKey]])*ContinuousStatsTable[Average]))</f>
        <v>0</v>
      </c>
      <c r="U59" s="5">
        <f>IF((ContinuousStatsTable[[#This Row],[RepsRequested]]&gt;1),ContinuousStatsTable[[#This Row],[HalfWidth]],ContinuousStatsTable[[#This Row],[BatchMeansHalfWidth]])</f>
        <v>0</v>
      </c>
    </row>
    <row r="60" spans="1:21" x14ac:dyDescent="0.25">
      <c r="A60" t="s">
        <v>67</v>
      </c>
      <c r="B60" t="s">
        <v>70</v>
      </c>
      <c r="C60">
        <v>2</v>
      </c>
      <c r="D60" t="s">
        <v>81</v>
      </c>
      <c r="E60" t="s">
        <v>75</v>
      </c>
      <c r="F60" t="s">
        <v>73</v>
      </c>
      <c r="G60">
        <v>1.58325</v>
      </c>
      <c r="H60">
        <v>3E+20</v>
      </c>
      <c r="I60">
        <v>1</v>
      </c>
      <c r="J60">
        <v>2</v>
      </c>
      <c r="K60">
        <v>2</v>
      </c>
      <c r="L60">
        <v>0</v>
      </c>
      <c r="M60" s="5" t="str">
        <f>ContinuousStatsTable[[#This Row],[ProjectName]]&amp;ContinuousStatsTable[[#This Row],[Name]]&amp;ContinuousStatsTable[[#This Row],[Type]]&amp;ContinuousStatsTable[[#This Row],[Source]]</f>
        <v>Unnamed ProjectcutterNumber ScheduledResource</v>
      </c>
      <c r="N60" s="5">
        <f t="array" ref="N60">MAX(IF((ProjectInfoTable[ProjectName]=ContinuousStatsTable[[#This Row],[ProjectName]]),(ProjectInfoTable[ProjectName]=ContinuousStatsTable[[#This Row],[ProjectName]])*ProjectInfoTable[NumberOfReplications]))</f>
        <v>15</v>
      </c>
      <c r="O60" s="5">
        <f t="array" ref="O60">IFERROR(AVERAGE(IF((ContinuousStatsTable[GroupByKey]=ContinuousStatsTable[[#This Row],[GroupByKey]]),(ContinuousStatsTable[GroupByKey]=ContinuousStatsTable[[#This Row],[GroupByKey]])*ContinuousStatsTable[Average])),0)</f>
        <v>1.5332999999999999</v>
      </c>
      <c r="P60" s="5">
        <f t="array" ref="P60">IFERROR(_xlfn.STDEV.S(IF((ContinuousStatsTable[GroupByKey]=ContinuousStatsTable[[#This Row],[GroupByKey]]),(ContinuousStatsTable[GroupByKey]=ContinuousStatsTable[[#This Row],[GroupByKey]])*ContinuousStatsTable[Average])),0)</f>
        <v>0.24151556349584294</v>
      </c>
      <c r="Q60" s="5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0.1337468610646356</v>
      </c>
      <c r="S60" s="5">
        <f t="array" ref="S60">MIN(IF((ContinuousStatsTable[GroupByKey]=ContinuousStatsTable[[#This Row],[GroupByKey]]),(ContinuousStatsTable[GroupByKey]=ContinuousStatsTable[[#This Row],[GroupByKey]])*ContinuousStatsTable[Average]))</f>
        <v>1</v>
      </c>
      <c r="T60" s="5">
        <f t="array" ref="T60">MAX(IF((ContinuousStatsTable[GroupByKey]=ContinuousStatsTable[[#This Row],[GroupByKey]]),(ContinuousStatsTable[GroupByKey]=ContinuousStatsTable[[#This Row],[GroupByKey]])*ContinuousStatsTable[Average]))</f>
        <v>2</v>
      </c>
      <c r="U60" s="5">
        <f>IF((ContinuousStatsTable[[#This Row],[RepsRequested]]&gt;1),ContinuousStatsTable[[#This Row],[HalfWidth]],ContinuousStatsTable[[#This Row],[BatchMeansHalfWidth]])</f>
        <v>0.1337468610646356</v>
      </c>
    </row>
    <row r="61" spans="1:21" x14ac:dyDescent="0.25">
      <c r="A61" t="s">
        <v>67</v>
      </c>
      <c r="B61" t="s">
        <v>70</v>
      </c>
      <c r="C61">
        <v>2</v>
      </c>
      <c r="D61" t="s">
        <v>82</v>
      </c>
      <c r="E61" t="s">
        <v>72</v>
      </c>
      <c r="F61" t="s">
        <v>73</v>
      </c>
      <c r="G61">
        <v>0</v>
      </c>
      <c r="H61">
        <v>2E+20</v>
      </c>
      <c r="I61">
        <v>0</v>
      </c>
      <c r="J61">
        <v>0</v>
      </c>
      <c r="K61">
        <v>0</v>
      </c>
      <c r="L61">
        <v>0</v>
      </c>
      <c r="M61" s="5" t="str">
        <f>ContinuousStatsTable[[#This Row],[ProjectName]]&amp;ContinuousStatsTable[[#This Row],[Name]]&amp;ContinuousStatsTable[[#This Row],[Type]]&amp;ContinuousStatsTable[[#This Row],[Source]]</f>
        <v>Unnamed ProjectfinalqcmanInstantaneous UtilizationResource</v>
      </c>
      <c r="N61" s="5">
        <f t="array" ref="N61">MAX(IF((ProjectInfoTable[ProjectName]=ContinuousStatsTable[[#This Row],[ProjectName]]),(ProjectInfoTable[ProjectName]=ContinuousStatsTable[[#This Row],[ProjectName]])*ProjectInfoTable[NumberOfReplications]))</f>
        <v>15</v>
      </c>
      <c r="O61" s="5">
        <f t="array" ref="O61">IFERROR(AVERAGE(IF((ContinuousStatsTable[GroupByKey]=ContinuousStatsTable[[#This Row],[GroupByKey]]),(ContinuousStatsTable[GroupByKey]=ContinuousStatsTable[[#This Row],[GroupByKey]])*ContinuousStatsTable[Average])),0)</f>
        <v>0</v>
      </c>
      <c r="P61" s="5">
        <f t="array" ref="P61">IFERROR(_xlfn.STDEV.S(IF((ContinuousStatsTable[GroupByKey]=ContinuousStatsTable[[#This Row],[GroupByKey]]),(ContinuousStatsTable[GroupByKey]=ContinuousStatsTable[[#This Row],[GroupByKey]])*ContinuousStatsTable[Average])),0)</f>
        <v>0</v>
      </c>
      <c r="Q61" s="5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" s="5">
        <f t="array" ref="S61">MIN(IF((ContinuousStatsTable[GroupByKey]=ContinuousStatsTable[[#This Row],[GroupByKey]]),(ContinuousStatsTable[GroupByKey]=ContinuousStatsTable[[#This Row],[GroupByKey]])*ContinuousStatsTable[Average]))</f>
        <v>0</v>
      </c>
      <c r="T61" s="5">
        <f t="array" ref="T61">MAX(IF((ContinuousStatsTable[GroupByKey]=ContinuousStatsTable[[#This Row],[GroupByKey]]),(ContinuousStatsTable[GroupByKey]=ContinuousStatsTable[[#This Row],[GroupByKey]])*ContinuousStatsTable[Average]))</f>
        <v>0</v>
      </c>
      <c r="U61" s="5">
        <f>IF((ContinuousStatsTable[[#This Row],[RepsRequested]]&gt;1),ContinuousStatsTable[[#This Row],[HalfWidth]],ContinuousStatsTable[[#This Row],[BatchMeansHalfWidth]])</f>
        <v>0</v>
      </c>
    </row>
    <row r="62" spans="1:21" x14ac:dyDescent="0.25">
      <c r="A62" t="s">
        <v>67</v>
      </c>
      <c r="B62" t="s">
        <v>70</v>
      </c>
      <c r="C62">
        <v>2</v>
      </c>
      <c r="D62" t="s">
        <v>82</v>
      </c>
      <c r="E62" t="s">
        <v>74</v>
      </c>
      <c r="F62" t="s">
        <v>73</v>
      </c>
      <c r="G62">
        <v>0</v>
      </c>
      <c r="H62">
        <v>2E+20</v>
      </c>
      <c r="I62">
        <v>0</v>
      </c>
      <c r="J62">
        <v>0</v>
      </c>
      <c r="K62">
        <v>0</v>
      </c>
      <c r="L62">
        <v>0</v>
      </c>
      <c r="M62" s="5" t="str">
        <f>ContinuousStatsTable[[#This Row],[ProjectName]]&amp;ContinuousStatsTable[[#This Row],[Name]]&amp;ContinuousStatsTable[[#This Row],[Type]]&amp;ContinuousStatsTable[[#This Row],[Source]]</f>
        <v>Unnamed ProjectfinalqcmanNumber BusyResource</v>
      </c>
      <c r="N62" s="5">
        <f t="array" ref="N62">MAX(IF((ProjectInfoTable[ProjectName]=ContinuousStatsTable[[#This Row],[ProjectName]]),(ProjectInfoTable[ProjectName]=ContinuousStatsTable[[#This Row],[ProjectName]])*ProjectInfoTable[NumberOfReplications]))</f>
        <v>15</v>
      </c>
      <c r="O62" s="5">
        <f t="array" ref="O62">IFERROR(AVERAGE(IF((ContinuousStatsTable[GroupByKey]=ContinuousStatsTable[[#This Row],[GroupByKey]]),(ContinuousStatsTable[GroupByKey]=ContinuousStatsTable[[#This Row],[GroupByKey]])*ContinuousStatsTable[Average])),0)</f>
        <v>0</v>
      </c>
      <c r="P62" s="5">
        <f t="array" ref="P62">IFERROR(_xlfn.STDEV.S(IF((ContinuousStatsTable[GroupByKey]=ContinuousStatsTable[[#This Row],[GroupByKey]]),(ContinuousStatsTable[GroupByKey]=ContinuousStatsTable[[#This Row],[GroupByKey]])*ContinuousStatsTable[Average])),0)</f>
        <v>0</v>
      </c>
      <c r="Q62" s="5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" s="5">
        <f t="array" ref="S62">MIN(IF((ContinuousStatsTable[GroupByKey]=ContinuousStatsTable[[#This Row],[GroupByKey]]),(ContinuousStatsTable[GroupByKey]=ContinuousStatsTable[[#This Row],[GroupByKey]])*ContinuousStatsTable[Average]))</f>
        <v>0</v>
      </c>
      <c r="T62" s="5">
        <f t="array" ref="T62">MAX(IF((ContinuousStatsTable[GroupByKey]=ContinuousStatsTable[[#This Row],[GroupByKey]]),(ContinuousStatsTable[GroupByKey]=ContinuousStatsTable[[#This Row],[GroupByKey]])*ContinuousStatsTable[Average]))</f>
        <v>0</v>
      </c>
      <c r="U62" s="5">
        <f>IF((ContinuousStatsTable[[#This Row],[RepsRequested]]&gt;1),ContinuousStatsTable[[#This Row],[HalfWidth]],ContinuousStatsTable[[#This Row],[BatchMeansHalfWidth]])</f>
        <v>0</v>
      </c>
    </row>
    <row r="63" spans="1:21" x14ac:dyDescent="0.25">
      <c r="A63" t="s">
        <v>67</v>
      </c>
      <c r="B63" t="s">
        <v>70</v>
      </c>
      <c r="C63">
        <v>2</v>
      </c>
      <c r="D63" t="s">
        <v>82</v>
      </c>
      <c r="E63" t="s">
        <v>75</v>
      </c>
      <c r="F63" t="s">
        <v>73</v>
      </c>
      <c r="G63">
        <v>1.5834999999999999</v>
      </c>
      <c r="H63">
        <v>3E+20</v>
      </c>
      <c r="I63">
        <v>1</v>
      </c>
      <c r="J63">
        <v>2</v>
      </c>
      <c r="K63">
        <v>2</v>
      </c>
      <c r="L63">
        <v>0</v>
      </c>
      <c r="M63" s="5" t="str">
        <f>ContinuousStatsTable[[#This Row],[ProjectName]]&amp;ContinuousStatsTable[[#This Row],[Name]]&amp;ContinuousStatsTable[[#This Row],[Type]]&amp;ContinuousStatsTable[[#This Row],[Source]]</f>
        <v>Unnamed ProjectfinalqcmanNumber ScheduledResource</v>
      </c>
      <c r="N63" s="5">
        <f t="array" ref="N63">MAX(IF((ProjectInfoTable[ProjectName]=ContinuousStatsTable[[#This Row],[ProjectName]]),(ProjectInfoTable[ProjectName]=ContinuousStatsTable[[#This Row],[ProjectName]])*ProjectInfoTable[NumberOfReplications]))</f>
        <v>15</v>
      </c>
      <c r="O63" s="5">
        <f t="array" ref="O63">IFERROR(AVERAGE(IF((ContinuousStatsTable[GroupByKey]=ContinuousStatsTable[[#This Row],[GroupByKey]]),(ContinuousStatsTable[GroupByKey]=ContinuousStatsTable[[#This Row],[GroupByKey]])*ContinuousStatsTable[Average])),0)</f>
        <v>1.5334510661643974</v>
      </c>
      <c r="P63" s="5">
        <f t="array" ref="P63">IFERROR(_xlfn.STDEV.S(IF((ContinuousStatsTable[GroupByKey]=ContinuousStatsTable[[#This Row],[GroupByKey]]),(ContinuousStatsTable[GroupByKey]=ContinuousStatsTable[[#This Row],[GroupByKey]])*ContinuousStatsTable[Average])),0)</f>
        <v>0.24154906725932371</v>
      </c>
      <c r="Q63" s="5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0.13376541483042423</v>
      </c>
      <c r="S63" s="5">
        <f t="array" ref="S63">MIN(IF((ContinuousStatsTable[GroupByKey]=ContinuousStatsTable[[#This Row],[GroupByKey]]),(ContinuousStatsTable[GroupByKey]=ContinuousStatsTable[[#This Row],[GroupByKey]])*ContinuousStatsTable[Average]))</f>
        <v>1</v>
      </c>
      <c r="T63" s="5">
        <f t="array" ref="T63">MAX(IF((ContinuousStatsTable[GroupByKey]=ContinuousStatsTable[[#This Row],[GroupByKey]]),(ContinuousStatsTable[GroupByKey]=ContinuousStatsTable[[#This Row],[GroupByKey]])*ContinuousStatsTable[Average]))</f>
        <v>2</v>
      </c>
      <c r="U63" s="5">
        <f>IF((ContinuousStatsTable[[#This Row],[RepsRequested]]&gt;1),ContinuousStatsTable[[#This Row],[HalfWidth]],ContinuousStatsTable[[#This Row],[BatchMeansHalfWidth]])</f>
        <v>0.13376541483042423</v>
      </c>
    </row>
    <row r="64" spans="1:21" x14ac:dyDescent="0.25">
      <c r="A64" t="s">
        <v>67</v>
      </c>
      <c r="B64" t="s">
        <v>70</v>
      </c>
      <c r="C64">
        <v>2</v>
      </c>
      <c r="D64" t="s">
        <v>83</v>
      </c>
      <c r="E64" t="s">
        <v>84</v>
      </c>
      <c r="F64" t="s">
        <v>85</v>
      </c>
      <c r="G64">
        <v>0</v>
      </c>
      <c r="H64">
        <v>2E+20</v>
      </c>
      <c r="I64">
        <v>0</v>
      </c>
      <c r="J64">
        <v>0</v>
      </c>
      <c r="K64">
        <v>0</v>
      </c>
      <c r="L64">
        <v>0</v>
      </c>
      <c r="M64" s="5" t="str">
        <f>ContinuousStatsTable[[#This Row],[ProjectName]]&amp;ContinuousStatsTable[[#This Row],[Name]]&amp;ContinuousStatsTable[[#This Row],[Type]]&amp;ContinuousStatsTable[[#This Row],[Source]]</f>
        <v>Unnamed Projectinspectorseize.QueueNumber WaitingQueue</v>
      </c>
      <c r="N64" s="5">
        <f t="array" ref="N64">MAX(IF((ProjectInfoTable[ProjectName]=ContinuousStatsTable[[#This Row],[ProjectName]]),(ProjectInfoTable[ProjectName]=ContinuousStatsTable[[#This Row],[ProjectName]])*ProjectInfoTable[NumberOfReplications]))</f>
        <v>15</v>
      </c>
      <c r="O64" s="5">
        <f t="array" ref="O64">IFERROR(AVERAGE(IF((ContinuousStatsTable[GroupByKey]=ContinuousStatsTable[[#This Row],[GroupByKey]]),(ContinuousStatsTable[GroupByKey]=ContinuousStatsTable[[#This Row],[GroupByKey]])*ContinuousStatsTable[Average])),0)</f>
        <v>0</v>
      </c>
      <c r="P64" s="5">
        <f t="array" ref="P64">IFERROR(_xlfn.STDEV.S(IF((ContinuousStatsTable[GroupByKey]=ContinuousStatsTable[[#This Row],[GroupByKey]]),(ContinuousStatsTable[GroupByKey]=ContinuousStatsTable[[#This Row],[GroupByKey]])*ContinuousStatsTable[Average])),0)</f>
        <v>0</v>
      </c>
      <c r="Q64" s="5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" s="5">
        <f t="array" ref="S64">MIN(IF((ContinuousStatsTable[GroupByKey]=ContinuousStatsTable[[#This Row],[GroupByKey]]),(ContinuousStatsTable[GroupByKey]=ContinuousStatsTable[[#This Row],[GroupByKey]])*ContinuousStatsTable[Average]))</f>
        <v>0</v>
      </c>
      <c r="T64" s="5">
        <f t="array" ref="T64">MAX(IF((ContinuousStatsTable[GroupByKey]=ContinuousStatsTable[[#This Row],[GroupByKey]]),(ContinuousStatsTable[GroupByKey]=ContinuousStatsTable[[#This Row],[GroupByKey]])*ContinuousStatsTable[Average]))</f>
        <v>0</v>
      </c>
      <c r="U64" s="5">
        <f>IF((ContinuousStatsTable[[#This Row],[RepsRequested]]&gt;1),ContinuousStatsTable[[#This Row],[HalfWidth]],ContinuousStatsTable[[#This Row],[BatchMeansHalfWidth]])</f>
        <v>0</v>
      </c>
    </row>
    <row r="65" spans="1:21" x14ac:dyDescent="0.25">
      <c r="A65" t="s">
        <v>67</v>
      </c>
      <c r="B65" t="s">
        <v>70</v>
      </c>
      <c r="C65">
        <v>2</v>
      </c>
      <c r="D65" t="s">
        <v>86</v>
      </c>
      <c r="E65" t="s">
        <v>84</v>
      </c>
      <c r="F65" t="s">
        <v>85</v>
      </c>
      <c r="G65">
        <v>12</v>
      </c>
      <c r="H65">
        <v>2E+20</v>
      </c>
      <c r="I65">
        <v>12</v>
      </c>
      <c r="J65">
        <v>12</v>
      </c>
      <c r="K65">
        <v>12</v>
      </c>
      <c r="L65">
        <v>0</v>
      </c>
      <c r="M65" s="5" t="str">
        <f>ContinuousStatsTable[[#This Row],[ProjectName]]&amp;ContinuousStatsTable[[#This Row],[Name]]&amp;ContinuousStatsTable[[#This Row],[Type]]&amp;ContinuousStatsTable[[#This Row],[Source]]</f>
        <v>Unnamed Projectmatch_truckcombo.Queue1Number WaitingQueue</v>
      </c>
      <c r="N65" s="5">
        <f t="array" ref="N65">MAX(IF((ProjectInfoTable[ProjectName]=ContinuousStatsTable[[#This Row],[ProjectName]]),(ProjectInfoTable[ProjectName]=ContinuousStatsTable[[#This Row],[ProjectName]])*ProjectInfoTable[NumberOfReplications]))</f>
        <v>15</v>
      </c>
      <c r="O65" s="5">
        <f t="array" ref="O65">IFERROR(AVERAGE(IF((ContinuousStatsTable[GroupByKey]=ContinuousStatsTable[[#This Row],[GroupByKey]]),(ContinuousStatsTable[GroupByKey]=ContinuousStatsTable[[#This Row],[GroupByKey]])*ContinuousStatsTable[Average])),0)</f>
        <v>3.3333333333333335</v>
      </c>
      <c r="P65" s="5">
        <f t="array" ref="P65">IFERROR(_xlfn.STDEV.S(IF((ContinuousStatsTable[GroupByKey]=ContinuousStatsTable[[#This Row],[GroupByKey]]),(ContinuousStatsTable[GroupByKey]=ContinuousStatsTable[[#This Row],[GroupByKey]])*ContinuousStatsTable[Average])),0)</f>
        <v>4.577377082170635</v>
      </c>
      <c r="Q65" s="5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2.5348669368881507</v>
      </c>
      <c r="S65" s="5">
        <f t="array" ref="S65">MIN(IF((ContinuousStatsTable[GroupByKey]=ContinuousStatsTable[[#This Row],[GroupByKey]]),(ContinuousStatsTable[GroupByKey]=ContinuousStatsTable[[#This Row],[GroupByKey]])*ContinuousStatsTable[Average]))</f>
        <v>0</v>
      </c>
      <c r="T65" s="5">
        <f t="array" ref="T65">MAX(IF((ContinuousStatsTable[GroupByKey]=ContinuousStatsTable[[#This Row],[GroupByKey]]),(ContinuousStatsTable[GroupByKey]=ContinuousStatsTable[[#This Row],[GroupByKey]])*ContinuousStatsTable[Average]))</f>
        <v>12</v>
      </c>
      <c r="U65" s="5">
        <f>IF((ContinuousStatsTable[[#This Row],[RepsRequested]]&gt;1),ContinuousStatsTable[[#This Row],[HalfWidth]],ContinuousStatsTable[[#This Row],[BatchMeansHalfWidth]])</f>
        <v>2.5348669368881507</v>
      </c>
    </row>
    <row r="66" spans="1:21" x14ac:dyDescent="0.25">
      <c r="A66" t="s">
        <v>67</v>
      </c>
      <c r="B66" t="s">
        <v>70</v>
      </c>
      <c r="C66">
        <v>2</v>
      </c>
      <c r="D66" t="s">
        <v>87</v>
      </c>
      <c r="E66" t="s">
        <v>84</v>
      </c>
      <c r="F66" t="s">
        <v>85</v>
      </c>
      <c r="G66">
        <v>0</v>
      </c>
      <c r="H66">
        <v>2E+20</v>
      </c>
      <c r="I66">
        <v>0</v>
      </c>
      <c r="J66">
        <v>0</v>
      </c>
      <c r="K66">
        <v>0</v>
      </c>
      <c r="L66">
        <v>0</v>
      </c>
      <c r="M66" s="5" t="str">
        <f>ContinuousStatsTable[[#This Row],[ProjectName]]&amp;ContinuousStatsTable[[#This Row],[Name]]&amp;ContinuousStatsTable[[#This Row],[Type]]&amp;ContinuousStatsTable[[#This Row],[Source]]</f>
        <v>Unnamed Projectmatch_truckcombo.Queue2Number WaitingQueue</v>
      </c>
      <c r="N66" s="5">
        <f t="array" ref="N66">MAX(IF((ProjectInfoTable[ProjectName]=ContinuousStatsTable[[#This Row],[ProjectName]]),(ProjectInfoTable[ProjectName]=ContinuousStatsTable[[#This Row],[ProjectName]])*ProjectInfoTable[NumberOfReplications]))</f>
        <v>15</v>
      </c>
      <c r="O66" s="5">
        <f t="array" ref="O66">IFERROR(AVERAGE(IF((ContinuousStatsTable[GroupByKey]=ContinuousStatsTable[[#This Row],[GroupByKey]]),(ContinuousStatsTable[GroupByKey]=ContinuousStatsTable[[#This Row],[GroupByKey]])*ContinuousStatsTable[Average])),0)</f>
        <v>2.8</v>
      </c>
      <c r="P66" s="5">
        <f t="array" ref="P66">IFERROR(_xlfn.STDEV.S(IF((ContinuousStatsTable[GroupByKey]=ContinuousStatsTable[[#This Row],[GroupByKey]]),(ContinuousStatsTable[GroupByKey]=ContinuousStatsTable[[#This Row],[GroupByKey]])*ContinuousStatsTable[Average])),0)</f>
        <v>5.226307081896902</v>
      </c>
      <c r="Q66" s="5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2.8942323925042523</v>
      </c>
      <c r="S66" s="5">
        <f t="array" ref="S66">MIN(IF((ContinuousStatsTable[GroupByKey]=ContinuousStatsTable[[#This Row],[GroupByKey]]),(ContinuousStatsTable[GroupByKey]=ContinuousStatsTable[[#This Row],[GroupByKey]])*ContinuousStatsTable[Average]))</f>
        <v>0</v>
      </c>
      <c r="T66" s="5">
        <f t="array" ref="T66">MAX(IF((ContinuousStatsTable[GroupByKey]=ContinuousStatsTable[[#This Row],[GroupByKey]]),(ContinuousStatsTable[GroupByKey]=ContinuousStatsTable[[#This Row],[GroupByKey]])*ContinuousStatsTable[Average]))</f>
        <v>16</v>
      </c>
      <c r="U66" s="5">
        <f>IF((ContinuousStatsTable[[#This Row],[RepsRequested]]&gt;1),ContinuousStatsTable[[#This Row],[HalfWidth]],ContinuousStatsTable[[#This Row],[BatchMeansHalfWidth]])</f>
        <v>2.8942323925042523</v>
      </c>
    </row>
    <row r="67" spans="1:21" x14ac:dyDescent="0.25">
      <c r="A67" t="s">
        <v>67</v>
      </c>
      <c r="B67" t="s">
        <v>70</v>
      </c>
      <c r="C67">
        <v>2</v>
      </c>
      <c r="D67" t="s">
        <v>88</v>
      </c>
      <c r="E67" t="s">
        <v>72</v>
      </c>
      <c r="F67" t="s">
        <v>73</v>
      </c>
      <c r="G67">
        <v>0</v>
      </c>
      <c r="H67">
        <v>2E+20</v>
      </c>
      <c r="I67">
        <v>0</v>
      </c>
      <c r="J67">
        <v>0</v>
      </c>
      <c r="K67">
        <v>0</v>
      </c>
      <c r="L67">
        <v>0</v>
      </c>
      <c r="M67" s="5" t="str">
        <f>ContinuousStatsTable[[#This Row],[ProjectName]]&amp;ContinuousStatsTable[[#This Row],[Name]]&amp;ContinuousStatsTable[[#This Row],[Type]]&amp;ContinuousStatsTable[[#This Row],[Source]]</f>
        <v>Unnamed ProjectpaintingmachineInstantaneous UtilizationResource</v>
      </c>
      <c r="N67" s="5">
        <f t="array" ref="N67">MAX(IF((ProjectInfoTable[ProjectName]=ContinuousStatsTable[[#This Row],[ProjectName]]),(ProjectInfoTable[ProjectName]=ContinuousStatsTable[[#This Row],[ProjectName]])*ProjectInfoTable[NumberOfReplications]))</f>
        <v>15</v>
      </c>
      <c r="O67" s="5">
        <f t="array" ref="O67">IFERROR(AVERAGE(IF((ContinuousStatsTable[GroupByKey]=ContinuousStatsTable[[#This Row],[GroupByKey]]),(ContinuousStatsTable[GroupByKey]=ContinuousStatsTable[[#This Row],[GroupByKey]])*ContinuousStatsTable[Average])),0)</f>
        <v>0</v>
      </c>
      <c r="P67" s="5">
        <f t="array" ref="P67">IFERROR(_xlfn.STDEV.S(IF((ContinuousStatsTable[GroupByKey]=ContinuousStatsTable[[#This Row],[GroupByKey]]),(ContinuousStatsTable[GroupByKey]=ContinuousStatsTable[[#This Row],[GroupByKey]])*ContinuousStatsTable[Average])),0)</f>
        <v>0</v>
      </c>
      <c r="Q67" s="5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7" s="5">
        <f t="array" ref="S67">MIN(IF((ContinuousStatsTable[GroupByKey]=ContinuousStatsTable[[#This Row],[GroupByKey]]),(ContinuousStatsTable[GroupByKey]=ContinuousStatsTable[[#This Row],[GroupByKey]])*ContinuousStatsTable[Average]))</f>
        <v>0</v>
      </c>
      <c r="T67" s="5">
        <f t="array" ref="T67">MAX(IF((ContinuousStatsTable[GroupByKey]=ContinuousStatsTable[[#This Row],[GroupByKey]]),(ContinuousStatsTable[GroupByKey]=ContinuousStatsTable[[#This Row],[GroupByKey]])*ContinuousStatsTable[Average]))</f>
        <v>0</v>
      </c>
      <c r="U67" s="5">
        <f>IF((ContinuousStatsTable[[#This Row],[RepsRequested]]&gt;1),ContinuousStatsTable[[#This Row],[HalfWidth]],ContinuousStatsTable[[#This Row],[BatchMeansHalfWidth]])</f>
        <v>0</v>
      </c>
    </row>
    <row r="68" spans="1:21" x14ac:dyDescent="0.25">
      <c r="A68" t="s">
        <v>67</v>
      </c>
      <c r="B68" t="s">
        <v>70</v>
      </c>
      <c r="C68">
        <v>2</v>
      </c>
      <c r="D68" t="s">
        <v>88</v>
      </c>
      <c r="E68" t="s">
        <v>74</v>
      </c>
      <c r="F68" t="s">
        <v>73</v>
      </c>
      <c r="G68">
        <v>0</v>
      </c>
      <c r="H68">
        <v>2E+20</v>
      </c>
      <c r="I68">
        <v>0</v>
      </c>
      <c r="J68">
        <v>0</v>
      </c>
      <c r="K68">
        <v>0</v>
      </c>
      <c r="L68">
        <v>0</v>
      </c>
      <c r="M68" s="5" t="str">
        <f>ContinuousStatsTable[[#This Row],[ProjectName]]&amp;ContinuousStatsTable[[#This Row],[Name]]&amp;ContinuousStatsTable[[#This Row],[Type]]&amp;ContinuousStatsTable[[#This Row],[Source]]</f>
        <v>Unnamed ProjectpaintingmachineNumber BusyResource</v>
      </c>
      <c r="N68" s="5">
        <f t="array" ref="N68">MAX(IF((ProjectInfoTable[ProjectName]=ContinuousStatsTable[[#This Row],[ProjectName]]),(ProjectInfoTable[ProjectName]=ContinuousStatsTable[[#This Row],[ProjectName]])*ProjectInfoTable[NumberOfReplications]))</f>
        <v>15</v>
      </c>
      <c r="O68" s="5">
        <f t="array" ref="O68">IFERROR(AVERAGE(IF((ContinuousStatsTable[GroupByKey]=ContinuousStatsTable[[#This Row],[GroupByKey]]),(ContinuousStatsTable[GroupByKey]=ContinuousStatsTable[[#This Row],[GroupByKey]])*ContinuousStatsTable[Average])),0)</f>
        <v>0</v>
      </c>
      <c r="P68" s="5">
        <f t="array" ref="P68">IFERROR(_xlfn.STDEV.S(IF((ContinuousStatsTable[GroupByKey]=ContinuousStatsTable[[#This Row],[GroupByKey]]),(ContinuousStatsTable[GroupByKey]=ContinuousStatsTable[[#This Row],[GroupByKey]])*ContinuousStatsTable[Average])),0)</f>
        <v>0</v>
      </c>
      <c r="Q68" s="5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" s="5">
        <f t="array" ref="S68">MIN(IF((ContinuousStatsTable[GroupByKey]=ContinuousStatsTable[[#This Row],[GroupByKey]]),(ContinuousStatsTable[GroupByKey]=ContinuousStatsTable[[#This Row],[GroupByKey]])*ContinuousStatsTable[Average]))</f>
        <v>0</v>
      </c>
      <c r="T68" s="5">
        <f t="array" ref="T68">MAX(IF((ContinuousStatsTable[GroupByKey]=ContinuousStatsTable[[#This Row],[GroupByKey]]),(ContinuousStatsTable[GroupByKey]=ContinuousStatsTable[[#This Row],[GroupByKey]])*ContinuousStatsTable[Average]))</f>
        <v>0</v>
      </c>
      <c r="U68" s="5">
        <f>IF((ContinuousStatsTable[[#This Row],[RepsRequested]]&gt;1),ContinuousStatsTable[[#This Row],[HalfWidth]],ContinuousStatsTable[[#This Row],[BatchMeansHalfWidth]])</f>
        <v>0</v>
      </c>
    </row>
    <row r="69" spans="1:21" x14ac:dyDescent="0.25">
      <c r="A69" t="s">
        <v>67</v>
      </c>
      <c r="B69" t="s">
        <v>70</v>
      </c>
      <c r="C69">
        <v>2</v>
      </c>
      <c r="D69" t="s">
        <v>88</v>
      </c>
      <c r="E69" t="s">
        <v>75</v>
      </c>
      <c r="F69" t="s">
        <v>73</v>
      </c>
      <c r="G69">
        <v>1</v>
      </c>
      <c r="H69">
        <v>2E+20</v>
      </c>
      <c r="I69">
        <v>1</v>
      </c>
      <c r="J69">
        <v>1</v>
      </c>
      <c r="K69">
        <v>1</v>
      </c>
      <c r="L69">
        <v>0</v>
      </c>
      <c r="M69" s="5" t="str">
        <f>ContinuousStatsTable[[#This Row],[ProjectName]]&amp;ContinuousStatsTable[[#This Row],[Name]]&amp;ContinuousStatsTable[[#This Row],[Type]]&amp;ContinuousStatsTable[[#This Row],[Source]]</f>
        <v>Unnamed ProjectpaintingmachineNumber ScheduledResource</v>
      </c>
      <c r="N69" s="5">
        <f t="array" ref="N69">MAX(IF((ProjectInfoTable[ProjectName]=ContinuousStatsTable[[#This Row],[ProjectName]]),(ProjectInfoTable[ProjectName]=ContinuousStatsTable[[#This Row],[ProjectName]])*ProjectInfoTable[NumberOfReplications]))</f>
        <v>15</v>
      </c>
      <c r="O69" s="5">
        <f t="array" ref="O69">IFERROR(AVERAGE(IF((ContinuousStatsTable[GroupByKey]=ContinuousStatsTable[[#This Row],[GroupByKey]]),(ContinuousStatsTable[GroupByKey]=ContinuousStatsTable[[#This Row],[GroupByKey]])*ContinuousStatsTable[Average])),0)</f>
        <v>1</v>
      </c>
      <c r="P69" s="5">
        <f t="array" ref="P69">IFERROR(_xlfn.STDEV.S(IF((ContinuousStatsTable[GroupByKey]=ContinuousStatsTable[[#This Row],[GroupByKey]]),(ContinuousStatsTable[GroupByKey]=ContinuousStatsTable[[#This Row],[GroupByKey]])*ContinuousStatsTable[Average])),0)</f>
        <v>0</v>
      </c>
      <c r="Q69" s="5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9" s="5">
        <f t="array" ref="S69">MIN(IF((ContinuousStatsTable[GroupByKey]=ContinuousStatsTable[[#This Row],[GroupByKey]]),(ContinuousStatsTable[GroupByKey]=ContinuousStatsTable[[#This Row],[GroupByKey]])*ContinuousStatsTable[Average]))</f>
        <v>1</v>
      </c>
      <c r="T69" s="5">
        <f t="array" ref="T69">MAX(IF((ContinuousStatsTable[GroupByKey]=ContinuousStatsTable[[#This Row],[GroupByKey]]),(ContinuousStatsTable[GroupByKey]=ContinuousStatsTable[[#This Row],[GroupByKey]])*ContinuousStatsTable[Average]))</f>
        <v>1</v>
      </c>
      <c r="U69" s="5">
        <f>IF((ContinuousStatsTable[[#This Row],[RepsRequested]]&gt;1),ContinuousStatsTable[[#This Row],[HalfWidth]],ContinuousStatsTable[[#This Row],[BatchMeansHalfWidth]])</f>
        <v>0</v>
      </c>
    </row>
    <row r="70" spans="1:21" x14ac:dyDescent="0.25">
      <c r="A70" t="s">
        <v>67</v>
      </c>
      <c r="B70" t="s">
        <v>70</v>
      </c>
      <c r="C70">
        <v>2</v>
      </c>
      <c r="D70" t="s">
        <v>89</v>
      </c>
      <c r="E70" t="s">
        <v>72</v>
      </c>
      <c r="F70" t="s">
        <v>73</v>
      </c>
      <c r="G70">
        <v>0</v>
      </c>
      <c r="H70">
        <v>2E+20</v>
      </c>
      <c r="I70">
        <v>0</v>
      </c>
      <c r="J70">
        <v>0</v>
      </c>
      <c r="K70">
        <v>0</v>
      </c>
      <c r="L70">
        <v>0</v>
      </c>
      <c r="M70" s="5" t="str">
        <f>ContinuousStatsTable[[#This Row],[ProjectName]]&amp;ContinuousStatsTable[[#This Row],[Name]]&amp;ContinuousStatsTable[[#This Row],[Type]]&amp;ContinuousStatsTable[[#This Row],[Source]]</f>
        <v>Unnamed ProjectpaintingoperatorInstantaneous UtilizationResource</v>
      </c>
      <c r="N70" s="5">
        <f t="array" ref="N70">MAX(IF((ProjectInfoTable[ProjectName]=ContinuousStatsTable[[#This Row],[ProjectName]]),(ProjectInfoTable[ProjectName]=ContinuousStatsTable[[#This Row],[ProjectName]])*ProjectInfoTable[NumberOfReplications]))</f>
        <v>15</v>
      </c>
      <c r="O70" s="5">
        <f t="array" ref="O70">IFERROR(AVERAGE(IF((ContinuousStatsTable[GroupByKey]=ContinuousStatsTable[[#This Row],[GroupByKey]]),(ContinuousStatsTable[GroupByKey]=ContinuousStatsTable[[#This Row],[GroupByKey]])*ContinuousStatsTable[Average])),0)</f>
        <v>0</v>
      </c>
      <c r="P70" s="5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s="5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s="5">
        <f t="array" ref="S70">MIN(IF((ContinuousStatsTable[GroupByKey]=ContinuousStatsTable[[#This Row],[GroupByKey]]),(ContinuousStatsTable[GroupByKey]=ContinuousStatsTable[[#This Row],[GroupByKey]])*ContinuousStatsTable[Average]))</f>
        <v>0</v>
      </c>
      <c r="T70" s="5">
        <f t="array" ref="T70">MAX(IF((ContinuousStatsTable[GroupByKey]=ContinuousStatsTable[[#This Row],[GroupByKey]]),(ContinuousStatsTable[GroupByKey]=ContinuousStatsTable[[#This Row],[GroupByKey]])*ContinuousStatsTable[Average]))</f>
        <v>0</v>
      </c>
      <c r="U70" s="5">
        <f>IF((ContinuousStatsTable[[#This Row],[RepsRequested]]&gt;1),ContinuousStatsTable[[#This Row],[HalfWidth]],ContinuousStatsTable[[#This Row],[BatchMeansHalfWidth]])</f>
        <v>0</v>
      </c>
    </row>
    <row r="71" spans="1:21" x14ac:dyDescent="0.25">
      <c r="A71" t="s">
        <v>67</v>
      </c>
      <c r="B71" t="s">
        <v>70</v>
      </c>
      <c r="C71">
        <v>2</v>
      </c>
      <c r="D71" t="s">
        <v>89</v>
      </c>
      <c r="E71" t="s">
        <v>74</v>
      </c>
      <c r="F71" t="s">
        <v>73</v>
      </c>
      <c r="G71">
        <v>0</v>
      </c>
      <c r="H71">
        <v>2E+20</v>
      </c>
      <c r="I71">
        <v>0</v>
      </c>
      <c r="J71">
        <v>0</v>
      </c>
      <c r="K71">
        <v>0</v>
      </c>
      <c r="L71">
        <v>0</v>
      </c>
      <c r="M71" s="5" t="str">
        <f>ContinuousStatsTable[[#This Row],[ProjectName]]&amp;ContinuousStatsTable[[#This Row],[Name]]&amp;ContinuousStatsTable[[#This Row],[Type]]&amp;ContinuousStatsTable[[#This Row],[Source]]</f>
        <v>Unnamed ProjectpaintingoperatorNumber BusyResource</v>
      </c>
      <c r="N71" s="5">
        <f t="array" ref="N71">MAX(IF((ProjectInfoTable[ProjectName]=ContinuousStatsTable[[#This Row],[ProjectName]]),(ProjectInfoTable[ProjectName]=ContinuousStatsTable[[#This Row],[ProjectName]])*ProjectInfoTable[NumberOfReplications]))</f>
        <v>15</v>
      </c>
      <c r="O71" s="5">
        <f t="array" ref="O71">IFERROR(AVERAGE(IF((ContinuousStatsTable[GroupByKey]=ContinuousStatsTable[[#This Row],[GroupByKey]]),(ContinuousStatsTable[GroupByKey]=ContinuousStatsTable[[#This Row],[GroupByKey]])*ContinuousStatsTable[Average])),0)</f>
        <v>0</v>
      </c>
      <c r="P71" s="5">
        <f t="array" ref="P71">IFERROR(_xlfn.STDEV.S(IF((ContinuousStatsTable[GroupByKey]=ContinuousStatsTable[[#This Row],[GroupByKey]]),(ContinuousStatsTable[GroupByKey]=ContinuousStatsTable[[#This Row],[GroupByKey]])*ContinuousStatsTable[Average])),0)</f>
        <v>0</v>
      </c>
      <c r="Q71" s="5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" s="5">
        <f t="array" ref="S71">MIN(IF((ContinuousStatsTable[GroupByKey]=ContinuousStatsTable[[#This Row],[GroupByKey]]),(ContinuousStatsTable[GroupByKey]=ContinuousStatsTable[[#This Row],[GroupByKey]])*ContinuousStatsTable[Average]))</f>
        <v>0</v>
      </c>
      <c r="T71" s="5">
        <f t="array" ref="T71">MAX(IF((ContinuousStatsTable[GroupByKey]=ContinuousStatsTable[[#This Row],[GroupByKey]]),(ContinuousStatsTable[GroupByKey]=ContinuousStatsTable[[#This Row],[GroupByKey]])*ContinuousStatsTable[Average]))</f>
        <v>0</v>
      </c>
      <c r="U71" s="5">
        <f>IF((ContinuousStatsTable[[#This Row],[RepsRequested]]&gt;1),ContinuousStatsTable[[#This Row],[HalfWidth]],ContinuousStatsTable[[#This Row],[BatchMeansHalfWidth]])</f>
        <v>0</v>
      </c>
    </row>
    <row r="72" spans="1:21" x14ac:dyDescent="0.25">
      <c r="A72" t="s">
        <v>67</v>
      </c>
      <c r="B72" t="s">
        <v>70</v>
      </c>
      <c r="C72">
        <v>2</v>
      </c>
      <c r="D72" t="s">
        <v>89</v>
      </c>
      <c r="E72" t="s">
        <v>75</v>
      </c>
      <c r="F72" t="s">
        <v>73</v>
      </c>
      <c r="G72">
        <v>1.5834999999999999</v>
      </c>
      <c r="H72">
        <v>3E+20</v>
      </c>
      <c r="I72">
        <v>1</v>
      </c>
      <c r="J72">
        <v>2</v>
      </c>
      <c r="K72">
        <v>2</v>
      </c>
      <c r="L72">
        <v>0</v>
      </c>
      <c r="M72" s="5" t="str">
        <f>ContinuousStatsTable[[#This Row],[ProjectName]]&amp;ContinuousStatsTable[[#This Row],[Name]]&amp;ContinuousStatsTable[[#This Row],[Type]]&amp;ContinuousStatsTable[[#This Row],[Source]]</f>
        <v>Unnamed ProjectpaintingoperatorNumber ScheduledResource</v>
      </c>
      <c r="N72" s="5">
        <f t="array" ref="N72">MAX(IF((ProjectInfoTable[ProjectName]=ContinuousStatsTable[[#This Row],[ProjectName]]),(ProjectInfoTable[ProjectName]=ContinuousStatsTable[[#This Row],[ProjectName]])*ProjectInfoTable[NumberOfReplications]))</f>
        <v>15</v>
      </c>
      <c r="O72" s="5">
        <f t="array" ref="O72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72" s="5">
        <f t="array" ref="P72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72" s="5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72" s="5">
        <f t="array" ref="S72">MIN(IF((ContinuousStatsTable[GroupByKey]=ContinuousStatsTable[[#This Row],[GroupByKey]]),(ContinuousStatsTable[GroupByKey]=ContinuousStatsTable[[#This Row],[GroupByKey]])*ContinuousStatsTable[Average]))</f>
        <v>1</v>
      </c>
      <c r="T72" s="5">
        <f t="array" ref="T72">MAX(IF((ContinuousStatsTable[GroupByKey]=ContinuousStatsTable[[#This Row],[GroupByKey]]),(ContinuousStatsTable[GroupByKey]=ContinuousStatsTable[[#This Row],[GroupByKey]])*ContinuousStatsTable[Average]))</f>
        <v>2</v>
      </c>
      <c r="U72" s="5">
        <f>IF((ContinuousStatsTable[[#This Row],[RepsRequested]]&gt;1),ContinuousStatsTable[[#This Row],[HalfWidth]],ContinuousStatsTable[[#This Row],[BatchMeansHalfWidth]])</f>
        <v>0.13376733135491528</v>
      </c>
    </row>
    <row r="73" spans="1:21" x14ac:dyDescent="0.25">
      <c r="A73" t="s">
        <v>67</v>
      </c>
      <c r="B73" t="s">
        <v>70</v>
      </c>
      <c r="C73">
        <v>2</v>
      </c>
      <c r="D73" t="s">
        <v>90</v>
      </c>
      <c r="E73" t="s">
        <v>72</v>
      </c>
      <c r="F73" t="s">
        <v>73</v>
      </c>
      <c r="G73">
        <v>0</v>
      </c>
      <c r="H73">
        <v>2E+20</v>
      </c>
      <c r="I73">
        <v>0</v>
      </c>
      <c r="J73">
        <v>0</v>
      </c>
      <c r="K73">
        <v>0</v>
      </c>
      <c r="L73">
        <v>0</v>
      </c>
      <c r="M73" s="5" t="str">
        <f>ContinuousStatsTable[[#This Row],[ProjectName]]&amp;ContinuousStatsTable[[#This Row],[Name]]&amp;ContinuousStatsTable[[#This Row],[Type]]&amp;ContinuousStatsTable[[#This Row],[Source]]</f>
        <v>Unnamed ProjectsandblastmachineInstantaneous UtilizationResource</v>
      </c>
      <c r="N73" s="5">
        <f t="array" ref="N73">MAX(IF((ProjectInfoTable[ProjectName]=ContinuousStatsTable[[#This Row],[ProjectName]]),(ProjectInfoTable[ProjectName]=ContinuousStatsTable[[#This Row],[ProjectName]])*ProjectInfoTable[NumberOfReplications]))</f>
        <v>15</v>
      </c>
      <c r="O73" s="5">
        <f t="array" ref="O73">IFERROR(AVERAGE(IF((ContinuousStatsTable[GroupByKey]=ContinuousStatsTable[[#This Row],[GroupByKey]]),(ContinuousStatsTable[GroupByKey]=ContinuousStatsTable[[#This Row],[GroupByKey]])*ContinuousStatsTable[Average])),0)</f>
        <v>0</v>
      </c>
      <c r="P73" s="5">
        <f t="array" ref="P73">IFERROR(_xlfn.STDEV.S(IF((ContinuousStatsTable[GroupByKey]=ContinuousStatsTable[[#This Row],[GroupByKey]]),(ContinuousStatsTable[GroupByKey]=ContinuousStatsTable[[#This Row],[GroupByKey]])*ContinuousStatsTable[Average])),0)</f>
        <v>0</v>
      </c>
      <c r="Q73" s="5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" s="5">
        <f t="array" ref="S73">MIN(IF((ContinuousStatsTable[GroupByKey]=ContinuousStatsTable[[#This Row],[GroupByKey]]),(ContinuousStatsTable[GroupByKey]=ContinuousStatsTable[[#This Row],[GroupByKey]])*ContinuousStatsTable[Average]))</f>
        <v>0</v>
      </c>
      <c r="T73" s="5">
        <f t="array" ref="T73">MAX(IF((ContinuousStatsTable[GroupByKey]=ContinuousStatsTable[[#This Row],[GroupByKey]]),(ContinuousStatsTable[GroupByKey]=ContinuousStatsTable[[#This Row],[GroupByKey]])*ContinuousStatsTable[Average]))</f>
        <v>0</v>
      </c>
      <c r="U73" s="5">
        <f>IF((ContinuousStatsTable[[#This Row],[RepsRequested]]&gt;1),ContinuousStatsTable[[#This Row],[HalfWidth]],ContinuousStatsTable[[#This Row],[BatchMeansHalfWidth]])</f>
        <v>0</v>
      </c>
    </row>
    <row r="74" spans="1:21" x14ac:dyDescent="0.25">
      <c r="A74" t="s">
        <v>67</v>
      </c>
      <c r="B74" t="s">
        <v>70</v>
      </c>
      <c r="C74">
        <v>2</v>
      </c>
      <c r="D74" t="s">
        <v>90</v>
      </c>
      <c r="E74" t="s">
        <v>74</v>
      </c>
      <c r="F74" t="s">
        <v>73</v>
      </c>
      <c r="G74">
        <v>0</v>
      </c>
      <c r="H74">
        <v>2E+20</v>
      </c>
      <c r="I74">
        <v>0</v>
      </c>
      <c r="J74">
        <v>0</v>
      </c>
      <c r="K74">
        <v>0</v>
      </c>
      <c r="L74">
        <v>0</v>
      </c>
      <c r="M74" s="5" t="str">
        <f>ContinuousStatsTable[[#This Row],[ProjectName]]&amp;ContinuousStatsTable[[#This Row],[Name]]&amp;ContinuousStatsTable[[#This Row],[Type]]&amp;ContinuousStatsTable[[#This Row],[Source]]</f>
        <v>Unnamed ProjectsandblastmachineNumber BusyResource</v>
      </c>
      <c r="N74" s="5">
        <f t="array" ref="N74">MAX(IF((ProjectInfoTable[ProjectName]=ContinuousStatsTable[[#This Row],[ProjectName]]),(ProjectInfoTable[ProjectName]=ContinuousStatsTable[[#This Row],[ProjectName]])*ProjectInfoTable[NumberOfReplications]))</f>
        <v>15</v>
      </c>
      <c r="O74" s="5">
        <f t="array" ref="O74">IFERROR(AVERAGE(IF((ContinuousStatsTable[GroupByKey]=ContinuousStatsTable[[#This Row],[GroupByKey]]),(ContinuousStatsTable[GroupByKey]=ContinuousStatsTable[[#This Row],[GroupByKey]])*ContinuousStatsTable[Average])),0)</f>
        <v>0</v>
      </c>
      <c r="P74" s="5">
        <f t="array" ref="P74">IFERROR(_xlfn.STDEV.S(IF((ContinuousStatsTable[GroupByKey]=ContinuousStatsTable[[#This Row],[GroupByKey]]),(ContinuousStatsTable[GroupByKey]=ContinuousStatsTable[[#This Row],[GroupByKey]])*ContinuousStatsTable[Average])),0)</f>
        <v>0</v>
      </c>
      <c r="Q74" s="5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4" s="5">
        <f t="array" ref="S74">MIN(IF((ContinuousStatsTable[GroupByKey]=ContinuousStatsTable[[#This Row],[GroupByKey]]),(ContinuousStatsTable[GroupByKey]=ContinuousStatsTable[[#This Row],[GroupByKey]])*ContinuousStatsTable[Average]))</f>
        <v>0</v>
      </c>
      <c r="T74" s="5">
        <f t="array" ref="T74">MAX(IF((ContinuousStatsTable[GroupByKey]=ContinuousStatsTable[[#This Row],[GroupByKey]]),(ContinuousStatsTable[GroupByKey]=ContinuousStatsTable[[#This Row],[GroupByKey]])*ContinuousStatsTable[Average]))</f>
        <v>0</v>
      </c>
      <c r="U74" s="5">
        <f>IF((ContinuousStatsTable[[#This Row],[RepsRequested]]&gt;1),ContinuousStatsTable[[#This Row],[HalfWidth]],ContinuousStatsTable[[#This Row],[BatchMeansHalfWidth]])</f>
        <v>0</v>
      </c>
    </row>
    <row r="75" spans="1:21" x14ac:dyDescent="0.25">
      <c r="A75" t="s">
        <v>67</v>
      </c>
      <c r="B75" t="s">
        <v>70</v>
      </c>
      <c r="C75">
        <v>2</v>
      </c>
      <c r="D75" t="s">
        <v>90</v>
      </c>
      <c r="E75" t="s">
        <v>75</v>
      </c>
      <c r="F75" t="s">
        <v>73</v>
      </c>
      <c r="G75">
        <v>1</v>
      </c>
      <c r="H75">
        <v>2E+20</v>
      </c>
      <c r="I75">
        <v>1</v>
      </c>
      <c r="J75">
        <v>1</v>
      </c>
      <c r="K75">
        <v>1</v>
      </c>
      <c r="L75">
        <v>0</v>
      </c>
      <c r="M75" s="5" t="str">
        <f>ContinuousStatsTable[[#This Row],[ProjectName]]&amp;ContinuousStatsTable[[#This Row],[Name]]&amp;ContinuousStatsTable[[#This Row],[Type]]&amp;ContinuousStatsTable[[#This Row],[Source]]</f>
        <v>Unnamed ProjectsandblastmachineNumber ScheduledResource</v>
      </c>
      <c r="N75" s="5">
        <f t="array" ref="N75">MAX(IF((ProjectInfoTable[ProjectName]=ContinuousStatsTable[[#This Row],[ProjectName]]),(ProjectInfoTable[ProjectName]=ContinuousStatsTable[[#This Row],[ProjectName]])*ProjectInfoTable[NumberOfReplications]))</f>
        <v>15</v>
      </c>
      <c r="O75" s="5">
        <f t="array" ref="O75">IFERROR(AVERAGE(IF((ContinuousStatsTable[GroupByKey]=ContinuousStatsTable[[#This Row],[GroupByKey]]),(ContinuousStatsTable[GroupByKey]=ContinuousStatsTable[[#This Row],[GroupByKey]])*ContinuousStatsTable[Average])),0)</f>
        <v>1</v>
      </c>
      <c r="P75" s="5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s="5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s="5">
        <f t="array" ref="S75">MIN(IF((ContinuousStatsTable[GroupByKey]=ContinuousStatsTable[[#This Row],[GroupByKey]]),(ContinuousStatsTable[GroupByKey]=ContinuousStatsTable[[#This Row],[GroupByKey]])*ContinuousStatsTable[Average]))</f>
        <v>1</v>
      </c>
      <c r="T75" s="5">
        <f t="array" ref="T75">MAX(IF((ContinuousStatsTable[GroupByKey]=ContinuousStatsTable[[#This Row],[GroupByKey]]),(ContinuousStatsTable[GroupByKey]=ContinuousStatsTable[[#This Row],[GroupByKey]])*ContinuousStatsTable[Average]))</f>
        <v>1</v>
      </c>
      <c r="U75" s="5">
        <f>IF((ContinuousStatsTable[[#This Row],[RepsRequested]]&gt;1),ContinuousStatsTable[[#This Row],[HalfWidth]],ContinuousStatsTable[[#This Row],[BatchMeansHalfWidth]])</f>
        <v>0</v>
      </c>
    </row>
    <row r="76" spans="1:21" x14ac:dyDescent="0.25">
      <c r="A76" t="s">
        <v>67</v>
      </c>
      <c r="B76" t="s">
        <v>70</v>
      </c>
      <c r="C76">
        <v>2</v>
      </c>
      <c r="D76" t="s">
        <v>91</v>
      </c>
      <c r="E76" t="s">
        <v>72</v>
      </c>
      <c r="F76" t="s">
        <v>73</v>
      </c>
      <c r="G76">
        <v>0</v>
      </c>
      <c r="H76">
        <v>2E+20</v>
      </c>
      <c r="I76">
        <v>0</v>
      </c>
      <c r="J76">
        <v>0</v>
      </c>
      <c r="K76">
        <v>0</v>
      </c>
      <c r="L76">
        <v>0</v>
      </c>
      <c r="M76" s="5" t="str">
        <f>ContinuousStatsTable[[#This Row],[ProjectName]]&amp;ContinuousStatsTable[[#This Row],[Name]]&amp;ContinuousStatsTable[[#This Row],[Type]]&amp;ContinuousStatsTable[[#This Row],[Source]]</f>
        <v>Unnamed ProjectsandblastoperatorInstantaneous UtilizationResource</v>
      </c>
      <c r="N76" s="5">
        <f t="array" ref="N76">MAX(IF((ProjectInfoTable[ProjectName]=ContinuousStatsTable[[#This Row],[ProjectName]]),(ProjectInfoTable[ProjectName]=ContinuousStatsTable[[#This Row],[ProjectName]])*ProjectInfoTable[NumberOfReplications]))</f>
        <v>15</v>
      </c>
      <c r="O76" s="5">
        <f t="array" ref="O76">IFERROR(AVERAGE(IF((ContinuousStatsTable[GroupByKey]=ContinuousStatsTable[[#This Row],[GroupByKey]]),(ContinuousStatsTable[GroupByKey]=ContinuousStatsTable[[#This Row],[GroupByKey]])*ContinuousStatsTable[Average])),0)</f>
        <v>0</v>
      </c>
      <c r="P76" s="5">
        <f t="array" ref="P76">IFERROR(_xlfn.STDEV.S(IF((ContinuousStatsTable[GroupByKey]=ContinuousStatsTable[[#This Row],[GroupByKey]]),(ContinuousStatsTable[GroupByKey]=ContinuousStatsTable[[#This Row],[GroupByKey]])*ContinuousStatsTable[Average])),0)</f>
        <v>0</v>
      </c>
      <c r="Q76" s="5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6" s="5">
        <f t="array" ref="S76">MIN(IF((ContinuousStatsTable[GroupByKey]=ContinuousStatsTable[[#This Row],[GroupByKey]]),(ContinuousStatsTable[GroupByKey]=ContinuousStatsTable[[#This Row],[GroupByKey]])*ContinuousStatsTable[Average]))</f>
        <v>0</v>
      </c>
      <c r="T76" s="5">
        <f t="array" ref="T76">MAX(IF((ContinuousStatsTable[GroupByKey]=ContinuousStatsTable[[#This Row],[GroupByKey]]),(ContinuousStatsTable[GroupByKey]=ContinuousStatsTable[[#This Row],[GroupByKey]])*ContinuousStatsTable[Average]))</f>
        <v>0</v>
      </c>
      <c r="U76" s="5">
        <f>IF((ContinuousStatsTable[[#This Row],[RepsRequested]]&gt;1),ContinuousStatsTable[[#This Row],[HalfWidth]],ContinuousStatsTable[[#This Row],[BatchMeansHalfWidth]])</f>
        <v>0</v>
      </c>
    </row>
    <row r="77" spans="1:21" x14ac:dyDescent="0.25">
      <c r="A77" t="s">
        <v>67</v>
      </c>
      <c r="B77" t="s">
        <v>70</v>
      </c>
      <c r="C77">
        <v>2</v>
      </c>
      <c r="D77" t="s">
        <v>91</v>
      </c>
      <c r="E77" t="s">
        <v>74</v>
      </c>
      <c r="F77" t="s">
        <v>73</v>
      </c>
      <c r="G77">
        <v>0</v>
      </c>
      <c r="H77">
        <v>2E+20</v>
      </c>
      <c r="I77">
        <v>0</v>
      </c>
      <c r="J77">
        <v>0</v>
      </c>
      <c r="K77">
        <v>0</v>
      </c>
      <c r="L77">
        <v>0</v>
      </c>
      <c r="M77" s="5" t="str">
        <f>ContinuousStatsTable[[#This Row],[ProjectName]]&amp;ContinuousStatsTable[[#This Row],[Name]]&amp;ContinuousStatsTable[[#This Row],[Type]]&amp;ContinuousStatsTable[[#This Row],[Source]]</f>
        <v>Unnamed ProjectsandblastoperatorNumber BusyResource</v>
      </c>
      <c r="N77" s="5">
        <f t="array" ref="N77">MAX(IF((ProjectInfoTable[ProjectName]=ContinuousStatsTable[[#This Row],[ProjectName]]),(ProjectInfoTable[ProjectName]=ContinuousStatsTable[[#This Row],[ProjectName]])*ProjectInfoTable[NumberOfReplications]))</f>
        <v>15</v>
      </c>
      <c r="O77" s="5">
        <f t="array" ref="O77">IFERROR(AVERAGE(IF((ContinuousStatsTable[GroupByKey]=ContinuousStatsTable[[#This Row],[GroupByKey]]),(ContinuousStatsTable[GroupByKey]=ContinuousStatsTable[[#This Row],[GroupByKey]])*ContinuousStatsTable[Average])),0)</f>
        <v>0</v>
      </c>
      <c r="P77" s="5">
        <f t="array" ref="P77">IFERROR(_xlfn.STDEV.S(IF((ContinuousStatsTable[GroupByKey]=ContinuousStatsTable[[#This Row],[GroupByKey]]),(ContinuousStatsTable[GroupByKey]=ContinuousStatsTable[[#This Row],[GroupByKey]])*ContinuousStatsTable[Average])),0)</f>
        <v>0</v>
      </c>
      <c r="Q77" s="5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7" s="5">
        <f t="array" ref="S77">MIN(IF((ContinuousStatsTable[GroupByKey]=ContinuousStatsTable[[#This Row],[GroupByKey]]),(ContinuousStatsTable[GroupByKey]=ContinuousStatsTable[[#This Row],[GroupByKey]])*ContinuousStatsTable[Average]))</f>
        <v>0</v>
      </c>
      <c r="T77" s="5">
        <f t="array" ref="T77">MAX(IF((ContinuousStatsTable[GroupByKey]=ContinuousStatsTable[[#This Row],[GroupByKey]]),(ContinuousStatsTable[GroupByKey]=ContinuousStatsTable[[#This Row],[GroupByKey]])*ContinuousStatsTable[Average]))</f>
        <v>0</v>
      </c>
      <c r="U77" s="5">
        <f>IF((ContinuousStatsTable[[#This Row],[RepsRequested]]&gt;1),ContinuousStatsTable[[#This Row],[HalfWidth]],ContinuousStatsTable[[#This Row],[BatchMeansHalfWidth]])</f>
        <v>0</v>
      </c>
    </row>
    <row r="78" spans="1:21" x14ac:dyDescent="0.25">
      <c r="A78" t="s">
        <v>67</v>
      </c>
      <c r="B78" t="s">
        <v>70</v>
      </c>
      <c r="C78">
        <v>2</v>
      </c>
      <c r="D78" t="s">
        <v>91</v>
      </c>
      <c r="E78" t="s">
        <v>75</v>
      </c>
      <c r="F78" t="s">
        <v>73</v>
      </c>
      <c r="G78">
        <v>1.5834999999999999</v>
      </c>
      <c r="H78">
        <v>3E+20</v>
      </c>
      <c r="I78">
        <v>1</v>
      </c>
      <c r="J78">
        <v>2</v>
      </c>
      <c r="K78">
        <v>2</v>
      </c>
      <c r="L78">
        <v>0</v>
      </c>
      <c r="M78" s="5" t="str">
        <f>ContinuousStatsTable[[#This Row],[ProjectName]]&amp;ContinuousStatsTable[[#This Row],[Name]]&amp;ContinuousStatsTable[[#This Row],[Type]]&amp;ContinuousStatsTable[[#This Row],[Source]]</f>
        <v>Unnamed ProjectsandblastoperatorNumber ScheduledResource</v>
      </c>
      <c r="N78" s="5">
        <f t="array" ref="N78">MAX(IF((ProjectInfoTable[ProjectName]=ContinuousStatsTable[[#This Row],[ProjectName]]),(ProjectInfoTable[ProjectName]=ContinuousStatsTable[[#This Row],[ProjectName]])*ProjectInfoTable[NumberOfReplications]))</f>
        <v>15</v>
      </c>
      <c r="O78" s="5">
        <f t="array" ref="O78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78" s="5">
        <f t="array" ref="P78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78" s="5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78" s="5">
        <f t="array" ref="S78">MIN(IF((ContinuousStatsTable[GroupByKey]=ContinuousStatsTable[[#This Row],[GroupByKey]]),(ContinuousStatsTable[GroupByKey]=ContinuousStatsTable[[#This Row],[GroupByKey]])*ContinuousStatsTable[Average]))</f>
        <v>1</v>
      </c>
      <c r="T78" s="5">
        <f t="array" ref="T78">MAX(IF((ContinuousStatsTable[GroupByKey]=ContinuousStatsTable[[#This Row],[GroupByKey]]),(ContinuousStatsTable[GroupByKey]=ContinuousStatsTable[[#This Row],[GroupByKey]])*ContinuousStatsTable[Average]))</f>
        <v>2</v>
      </c>
      <c r="U78" s="5">
        <f>IF((ContinuousStatsTable[[#This Row],[RepsRequested]]&gt;1),ContinuousStatsTable[[#This Row],[HalfWidth]],ContinuousStatsTable[[#This Row],[BatchMeansHalfWidth]])</f>
        <v>0.13376733135491528</v>
      </c>
    </row>
    <row r="79" spans="1:21" x14ac:dyDescent="0.25">
      <c r="A79" t="s">
        <v>67</v>
      </c>
      <c r="B79" t="s">
        <v>70</v>
      </c>
      <c r="C79">
        <v>2</v>
      </c>
      <c r="D79" t="s">
        <v>92</v>
      </c>
      <c r="E79" t="s">
        <v>84</v>
      </c>
      <c r="F79" t="s">
        <v>85</v>
      </c>
      <c r="G79">
        <v>0</v>
      </c>
      <c r="H79">
        <v>2E+20</v>
      </c>
      <c r="I79">
        <v>0</v>
      </c>
      <c r="J79">
        <v>0</v>
      </c>
      <c r="K79">
        <v>0</v>
      </c>
      <c r="L79">
        <v>0</v>
      </c>
      <c r="M79" s="5" t="str">
        <f>ContinuousStatsTable[[#This Row],[ProjectName]]&amp;ContinuousStatsTable[[#This Row],[Name]]&amp;ContinuousStatsTable[[#This Row],[Type]]&amp;ContinuousStatsTable[[#This Row],[Source]]</f>
        <v>Unnamed Projectseize_assembler.QueueNumber WaitingQueue</v>
      </c>
      <c r="N79" s="5">
        <f t="array" ref="N79">MAX(IF((ProjectInfoTable[ProjectName]=ContinuousStatsTable[[#This Row],[ProjectName]]),(ProjectInfoTable[ProjectName]=ContinuousStatsTable[[#This Row],[ProjectName]])*ProjectInfoTable[NumberOfReplications]))</f>
        <v>15</v>
      </c>
      <c r="O79" s="5">
        <f t="array" ref="O79">IFERROR(AVERAGE(IF((ContinuousStatsTable[GroupByKey]=ContinuousStatsTable[[#This Row],[GroupByKey]]),(ContinuousStatsTable[GroupByKey]=ContinuousStatsTable[[#This Row],[GroupByKey]])*ContinuousStatsTable[Average])),0)</f>
        <v>0</v>
      </c>
      <c r="P79" s="5">
        <f t="array" ref="P79">IFERROR(_xlfn.STDEV.S(IF((ContinuousStatsTable[GroupByKey]=ContinuousStatsTable[[#This Row],[GroupByKey]]),(ContinuousStatsTable[GroupByKey]=ContinuousStatsTable[[#This Row],[GroupByKey]])*ContinuousStatsTable[Average])),0)</f>
        <v>0</v>
      </c>
      <c r="Q79" s="5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" s="5">
        <f t="array" ref="S79">MIN(IF((ContinuousStatsTable[GroupByKey]=ContinuousStatsTable[[#This Row],[GroupByKey]]),(ContinuousStatsTable[GroupByKey]=ContinuousStatsTable[[#This Row],[GroupByKey]])*ContinuousStatsTable[Average]))</f>
        <v>0</v>
      </c>
      <c r="T79" s="5">
        <f t="array" ref="T79">MAX(IF((ContinuousStatsTable[GroupByKey]=ContinuousStatsTable[[#This Row],[GroupByKey]]),(ContinuousStatsTable[GroupByKey]=ContinuousStatsTable[[#This Row],[GroupByKey]])*ContinuousStatsTable[Average]))</f>
        <v>0</v>
      </c>
      <c r="U79" s="5">
        <f>IF((ContinuousStatsTable[[#This Row],[RepsRequested]]&gt;1),ContinuousStatsTable[[#This Row],[HalfWidth]],ContinuousStatsTable[[#This Row],[BatchMeansHalfWidth]])</f>
        <v>0</v>
      </c>
    </row>
    <row r="80" spans="1:21" x14ac:dyDescent="0.25">
      <c r="A80" t="s">
        <v>67</v>
      </c>
      <c r="B80" t="s">
        <v>70</v>
      </c>
      <c r="C80">
        <v>2</v>
      </c>
      <c r="D80" t="s">
        <v>93</v>
      </c>
      <c r="E80" t="s">
        <v>84</v>
      </c>
      <c r="F80" t="s">
        <v>85</v>
      </c>
      <c r="G80">
        <v>0</v>
      </c>
      <c r="H80">
        <v>2E+20</v>
      </c>
      <c r="I80">
        <v>0</v>
      </c>
      <c r="J80">
        <v>0</v>
      </c>
      <c r="K80">
        <v>0</v>
      </c>
      <c r="L80">
        <v>0</v>
      </c>
      <c r="M80" s="5" t="str">
        <f>ContinuousStatsTable[[#This Row],[ProjectName]]&amp;ContinuousStatsTable[[#This Row],[Name]]&amp;ContinuousStatsTable[[#This Row],[Type]]&amp;ContinuousStatsTable[[#This Row],[Source]]</f>
        <v>Unnamed Projectseize_cutter.QueueNumber WaitingQueue</v>
      </c>
      <c r="N80" s="5">
        <f t="array" ref="N80">MAX(IF((ProjectInfoTable[ProjectName]=ContinuousStatsTable[[#This Row],[ProjectName]]),(ProjectInfoTable[ProjectName]=ContinuousStatsTable[[#This Row],[ProjectName]])*ProjectInfoTable[NumberOfReplications]))</f>
        <v>15</v>
      </c>
      <c r="O80" s="5">
        <f t="array" ref="O80">IFERROR(AVERAGE(IF((ContinuousStatsTable[GroupByKey]=ContinuousStatsTable[[#This Row],[GroupByKey]]),(ContinuousStatsTable[GroupByKey]=ContinuousStatsTable[[#This Row],[GroupByKey]])*ContinuousStatsTable[Average])),0)</f>
        <v>0</v>
      </c>
      <c r="P80" s="5">
        <f t="array" ref="P80">IFERROR(_xlfn.STDEV.S(IF((ContinuousStatsTable[GroupByKey]=ContinuousStatsTable[[#This Row],[GroupByKey]]),(ContinuousStatsTable[GroupByKey]=ContinuousStatsTable[[#This Row],[GroupByKey]])*ContinuousStatsTable[Average])),0)</f>
        <v>0</v>
      </c>
      <c r="Q80" s="5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0" s="5">
        <f t="array" ref="S80">MIN(IF((ContinuousStatsTable[GroupByKey]=ContinuousStatsTable[[#This Row],[GroupByKey]]),(ContinuousStatsTable[GroupByKey]=ContinuousStatsTable[[#This Row],[GroupByKey]])*ContinuousStatsTable[Average]))</f>
        <v>0</v>
      </c>
      <c r="T80" s="5">
        <f t="array" ref="T80">MAX(IF((ContinuousStatsTable[GroupByKey]=ContinuousStatsTable[[#This Row],[GroupByKey]]),(ContinuousStatsTable[GroupByKey]=ContinuousStatsTable[[#This Row],[GroupByKey]])*ContinuousStatsTable[Average]))</f>
        <v>0</v>
      </c>
      <c r="U80" s="5">
        <f>IF((ContinuousStatsTable[[#This Row],[RepsRequested]]&gt;1),ContinuousStatsTable[[#This Row],[HalfWidth]],ContinuousStatsTable[[#This Row],[BatchMeansHalfWidth]])</f>
        <v>0</v>
      </c>
    </row>
    <row r="81" spans="1:21" x14ac:dyDescent="0.25">
      <c r="A81" t="s">
        <v>67</v>
      </c>
      <c r="B81" t="s">
        <v>70</v>
      </c>
      <c r="C81">
        <v>2</v>
      </c>
      <c r="D81" t="s">
        <v>94</v>
      </c>
      <c r="E81" t="s">
        <v>84</v>
      </c>
      <c r="F81" t="s">
        <v>85</v>
      </c>
      <c r="G81">
        <v>0</v>
      </c>
      <c r="H81">
        <v>2E+20</v>
      </c>
      <c r="I81">
        <v>0</v>
      </c>
      <c r="J81">
        <v>0</v>
      </c>
      <c r="K81">
        <v>0</v>
      </c>
      <c r="L81">
        <v>0</v>
      </c>
      <c r="M81" s="5" t="str">
        <f>ContinuousStatsTable[[#This Row],[ProjectName]]&amp;ContinuousStatsTable[[#This Row],[Name]]&amp;ContinuousStatsTable[[#This Row],[Type]]&amp;ContinuousStatsTable[[#This Row],[Source]]</f>
        <v>Unnamed Projectseizeassemblyqcman.QueueNumber WaitingQueue</v>
      </c>
      <c r="N81" s="5">
        <f t="array" ref="N81">MAX(IF((ProjectInfoTable[ProjectName]=ContinuousStatsTable[[#This Row],[ProjectName]]),(ProjectInfoTable[ProjectName]=ContinuousStatsTable[[#This Row],[ProjectName]])*ProjectInfoTable[NumberOfReplications]))</f>
        <v>15</v>
      </c>
      <c r="O81" s="5">
        <f t="array" ref="O81">IFERROR(AVERAGE(IF((ContinuousStatsTable[GroupByKey]=ContinuousStatsTable[[#This Row],[GroupByKey]]),(ContinuousStatsTable[GroupByKey]=ContinuousStatsTable[[#This Row],[GroupByKey]])*ContinuousStatsTable[Average])),0)</f>
        <v>0</v>
      </c>
      <c r="P81" s="5">
        <f t="array" ref="P81">IFERROR(_xlfn.STDEV.S(IF((ContinuousStatsTable[GroupByKey]=ContinuousStatsTable[[#This Row],[GroupByKey]]),(ContinuousStatsTable[GroupByKey]=ContinuousStatsTable[[#This Row],[GroupByKey]])*ContinuousStatsTable[Average])),0)</f>
        <v>0</v>
      </c>
      <c r="Q81" s="5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1" s="5">
        <f t="array" ref="S81">MIN(IF((ContinuousStatsTable[GroupByKey]=ContinuousStatsTable[[#This Row],[GroupByKey]]),(ContinuousStatsTable[GroupByKey]=ContinuousStatsTable[[#This Row],[GroupByKey]])*ContinuousStatsTable[Average]))</f>
        <v>0</v>
      </c>
      <c r="T81" s="5">
        <f t="array" ref="T81">MAX(IF((ContinuousStatsTable[GroupByKey]=ContinuousStatsTable[[#This Row],[GroupByKey]]),(ContinuousStatsTable[GroupByKey]=ContinuousStatsTable[[#This Row],[GroupByKey]])*ContinuousStatsTable[Average]))</f>
        <v>0</v>
      </c>
      <c r="U81" s="5">
        <f>IF((ContinuousStatsTable[[#This Row],[RepsRequested]]&gt;1),ContinuousStatsTable[[#This Row],[HalfWidth]],ContinuousStatsTable[[#This Row],[BatchMeansHalfWidth]])</f>
        <v>0</v>
      </c>
    </row>
    <row r="82" spans="1:21" x14ac:dyDescent="0.25">
      <c r="A82" t="s">
        <v>67</v>
      </c>
      <c r="B82" t="s">
        <v>70</v>
      </c>
      <c r="C82">
        <v>2</v>
      </c>
      <c r="D82" t="s">
        <v>95</v>
      </c>
      <c r="E82" t="s">
        <v>84</v>
      </c>
      <c r="F82" t="s">
        <v>85</v>
      </c>
      <c r="G82">
        <v>0</v>
      </c>
      <c r="H82">
        <v>2E+20</v>
      </c>
      <c r="I82">
        <v>0</v>
      </c>
      <c r="J82">
        <v>0</v>
      </c>
      <c r="K82">
        <v>0</v>
      </c>
      <c r="L82">
        <v>0</v>
      </c>
      <c r="M82" s="5" t="str">
        <f>ContinuousStatsTable[[#This Row],[ProjectName]]&amp;ContinuousStatsTable[[#This Row],[Name]]&amp;ContinuousStatsTable[[#This Row],[Type]]&amp;ContinuousStatsTable[[#This Row],[Source]]</f>
        <v>Unnamed Projectseizecleaner.QueueNumber WaitingQueue</v>
      </c>
      <c r="N82" s="5">
        <f t="array" ref="N82">MAX(IF((ProjectInfoTable[ProjectName]=ContinuousStatsTable[[#This Row],[ProjectName]]),(ProjectInfoTable[ProjectName]=ContinuousStatsTable[[#This Row],[ProjectName]])*ProjectInfoTable[NumberOfReplications]))</f>
        <v>15</v>
      </c>
      <c r="O82" s="5">
        <f t="array" ref="O82">IFERROR(AVERAGE(IF((ContinuousStatsTable[GroupByKey]=ContinuousStatsTable[[#This Row],[GroupByKey]]),(ContinuousStatsTable[GroupByKey]=ContinuousStatsTable[[#This Row],[GroupByKey]])*ContinuousStatsTable[Average])),0)</f>
        <v>0</v>
      </c>
      <c r="P82" s="5">
        <f t="array" ref="P82">IFERROR(_xlfn.STDEV.S(IF((ContinuousStatsTable[GroupByKey]=ContinuousStatsTable[[#This Row],[GroupByKey]]),(ContinuousStatsTable[GroupByKey]=ContinuousStatsTable[[#This Row],[GroupByKey]])*ContinuousStatsTable[Average])),0)</f>
        <v>0</v>
      </c>
      <c r="Q82" s="5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2" s="5">
        <f t="array" ref="S82">MIN(IF((ContinuousStatsTable[GroupByKey]=ContinuousStatsTable[[#This Row],[GroupByKey]]),(ContinuousStatsTable[GroupByKey]=ContinuousStatsTable[[#This Row],[GroupByKey]])*ContinuousStatsTable[Average]))</f>
        <v>0</v>
      </c>
      <c r="T82" s="5">
        <f t="array" ref="T82">MAX(IF((ContinuousStatsTable[GroupByKey]=ContinuousStatsTable[[#This Row],[GroupByKey]]),(ContinuousStatsTable[GroupByKey]=ContinuousStatsTable[[#This Row],[GroupByKey]])*ContinuousStatsTable[Average]))</f>
        <v>0</v>
      </c>
      <c r="U82" s="5">
        <f>IF((ContinuousStatsTable[[#This Row],[RepsRequested]]&gt;1),ContinuousStatsTable[[#This Row],[HalfWidth]],ContinuousStatsTable[[#This Row],[BatchMeansHalfWidth]])</f>
        <v>0</v>
      </c>
    </row>
    <row r="83" spans="1:21" x14ac:dyDescent="0.25">
      <c r="A83" t="s">
        <v>67</v>
      </c>
      <c r="B83" t="s">
        <v>70</v>
      </c>
      <c r="C83">
        <v>2</v>
      </c>
      <c r="D83" t="s">
        <v>96</v>
      </c>
      <c r="E83" t="s">
        <v>84</v>
      </c>
      <c r="F83" t="s">
        <v>85</v>
      </c>
      <c r="G83">
        <v>0</v>
      </c>
      <c r="H83">
        <v>2E+20</v>
      </c>
      <c r="I83">
        <v>0</v>
      </c>
      <c r="J83">
        <v>0</v>
      </c>
      <c r="K83">
        <v>0</v>
      </c>
      <c r="L83">
        <v>0</v>
      </c>
      <c r="M83" s="5" t="str">
        <f>ContinuousStatsTable[[#This Row],[ProjectName]]&amp;ContinuousStatsTable[[#This Row],[Name]]&amp;ContinuousStatsTable[[#This Row],[Type]]&amp;ContinuousStatsTable[[#This Row],[Source]]</f>
        <v>Unnamed Projectseizepainter.QueueNumber WaitingQueue</v>
      </c>
      <c r="N83" s="5">
        <f t="array" ref="N83">MAX(IF((ProjectInfoTable[ProjectName]=ContinuousStatsTable[[#This Row],[ProjectName]]),(ProjectInfoTable[ProjectName]=ContinuousStatsTable[[#This Row],[ProjectName]])*ProjectInfoTable[NumberOfReplications]))</f>
        <v>15</v>
      </c>
      <c r="O83" s="5">
        <f t="array" ref="O83">IFERROR(AVERAGE(IF((ContinuousStatsTable[GroupByKey]=ContinuousStatsTable[[#This Row],[GroupByKey]]),(ContinuousStatsTable[GroupByKey]=ContinuousStatsTable[[#This Row],[GroupByKey]])*ContinuousStatsTable[Average])),0)</f>
        <v>0</v>
      </c>
      <c r="P83" s="5">
        <f t="array" ref="P83">IFERROR(_xlfn.STDEV.S(IF((ContinuousStatsTable[GroupByKey]=ContinuousStatsTable[[#This Row],[GroupByKey]]),(ContinuousStatsTable[GroupByKey]=ContinuousStatsTable[[#This Row],[GroupByKey]])*ContinuousStatsTable[Average])),0)</f>
        <v>0</v>
      </c>
      <c r="Q83" s="5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3" s="5">
        <f t="array" ref="S83">MIN(IF((ContinuousStatsTable[GroupByKey]=ContinuousStatsTable[[#This Row],[GroupByKey]]),(ContinuousStatsTable[GroupByKey]=ContinuousStatsTable[[#This Row],[GroupByKey]])*ContinuousStatsTable[Average]))</f>
        <v>0</v>
      </c>
      <c r="T83" s="5">
        <f t="array" ref="T83">MAX(IF((ContinuousStatsTable[GroupByKey]=ContinuousStatsTable[[#This Row],[GroupByKey]]),(ContinuousStatsTable[GroupByKey]=ContinuousStatsTable[[#This Row],[GroupByKey]])*ContinuousStatsTable[Average]))</f>
        <v>0</v>
      </c>
      <c r="U83" s="5">
        <f>IF((ContinuousStatsTable[[#This Row],[RepsRequested]]&gt;1),ContinuousStatsTable[[#This Row],[HalfWidth]],ContinuousStatsTable[[#This Row],[BatchMeansHalfWidth]])</f>
        <v>0</v>
      </c>
    </row>
    <row r="84" spans="1:21" x14ac:dyDescent="0.25">
      <c r="A84" t="s">
        <v>67</v>
      </c>
      <c r="B84" t="s">
        <v>70</v>
      </c>
      <c r="C84">
        <v>2</v>
      </c>
      <c r="D84" t="s">
        <v>97</v>
      </c>
      <c r="E84" t="s">
        <v>84</v>
      </c>
      <c r="F84" t="s">
        <v>85</v>
      </c>
      <c r="G84">
        <v>0</v>
      </c>
      <c r="H84">
        <v>2E+20</v>
      </c>
      <c r="I84">
        <v>0</v>
      </c>
      <c r="J84">
        <v>0</v>
      </c>
      <c r="K84">
        <v>0</v>
      </c>
      <c r="L84">
        <v>0</v>
      </c>
      <c r="M84" s="5" t="str">
        <f>ContinuousStatsTable[[#This Row],[ProjectName]]&amp;ContinuousStatsTable[[#This Row],[Name]]&amp;ContinuousStatsTable[[#This Row],[Type]]&amp;ContinuousStatsTable[[#This Row],[Source]]</f>
        <v>Unnamed Projectseizeqcman.QueueNumber WaitingQueue</v>
      </c>
      <c r="N84" s="5">
        <f t="array" ref="N84">MAX(IF((ProjectInfoTable[ProjectName]=ContinuousStatsTable[[#This Row],[ProjectName]]),(ProjectInfoTable[ProjectName]=ContinuousStatsTable[[#This Row],[ProjectName]])*ProjectInfoTable[NumberOfReplications]))</f>
        <v>15</v>
      </c>
      <c r="O84" s="5">
        <f t="array" ref="O84">IFERROR(AVERAGE(IF((ContinuousStatsTable[GroupByKey]=ContinuousStatsTable[[#This Row],[GroupByKey]]),(ContinuousStatsTable[GroupByKey]=ContinuousStatsTable[[#This Row],[GroupByKey]])*ContinuousStatsTable[Average])),0)</f>
        <v>0</v>
      </c>
      <c r="P84" s="5">
        <f t="array" ref="P84">IFERROR(_xlfn.STDEV.S(IF((ContinuousStatsTable[GroupByKey]=ContinuousStatsTable[[#This Row],[GroupByKey]]),(ContinuousStatsTable[GroupByKey]=ContinuousStatsTable[[#This Row],[GroupByKey]])*ContinuousStatsTable[Average])),0)</f>
        <v>0</v>
      </c>
      <c r="Q84" s="5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" s="5">
        <f t="array" ref="S84">MIN(IF((ContinuousStatsTable[GroupByKey]=ContinuousStatsTable[[#This Row],[GroupByKey]]),(ContinuousStatsTable[GroupByKey]=ContinuousStatsTable[[#This Row],[GroupByKey]])*ContinuousStatsTable[Average]))</f>
        <v>0</v>
      </c>
      <c r="T84" s="5">
        <f t="array" ref="T84">MAX(IF((ContinuousStatsTable[GroupByKey]=ContinuousStatsTable[[#This Row],[GroupByKey]]),(ContinuousStatsTable[GroupByKey]=ContinuousStatsTable[[#This Row],[GroupByKey]])*ContinuousStatsTable[Average]))</f>
        <v>0</v>
      </c>
      <c r="U84" s="5">
        <f>IF((ContinuousStatsTable[[#This Row],[RepsRequested]]&gt;1),ContinuousStatsTable[[#This Row],[HalfWidth]],ContinuousStatsTable[[#This Row],[BatchMeansHalfWidth]])</f>
        <v>0</v>
      </c>
    </row>
    <row r="85" spans="1:21" x14ac:dyDescent="0.25">
      <c r="A85" t="s">
        <v>67</v>
      </c>
      <c r="B85" t="s">
        <v>70</v>
      </c>
      <c r="C85">
        <v>2</v>
      </c>
      <c r="D85" t="s">
        <v>98</v>
      </c>
      <c r="E85" t="s">
        <v>84</v>
      </c>
      <c r="F85" t="s">
        <v>85</v>
      </c>
      <c r="G85">
        <v>0</v>
      </c>
      <c r="H85">
        <v>2E+20</v>
      </c>
      <c r="I85">
        <v>0</v>
      </c>
      <c r="J85">
        <v>0</v>
      </c>
      <c r="K85">
        <v>0</v>
      </c>
      <c r="L85">
        <v>0</v>
      </c>
      <c r="M85" s="5" t="str">
        <f>ContinuousStatsTable[[#This Row],[ProjectName]]&amp;ContinuousStatsTable[[#This Row],[Name]]&amp;ContinuousStatsTable[[#This Row],[Type]]&amp;ContinuousStatsTable[[#This Row],[Source]]</f>
        <v>Unnamed Projectseizesandblaster.QueueNumber WaitingQueue</v>
      </c>
      <c r="N85" s="5">
        <f t="array" ref="N85">MAX(IF((ProjectInfoTable[ProjectName]=ContinuousStatsTable[[#This Row],[ProjectName]]),(ProjectInfoTable[ProjectName]=ContinuousStatsTable[[#This Row],[ProjectName]])*ProjectInfoTable[NumberOfReplications]))</f>
        <v>15</v>
      </c>
      <c r="O85" s="5">
        <f t="array" ref="O85">IFERROR(AVERAGE(IF((ContinuousStatsTable[GroupByKey]=ContinuousStatsTable[[#This Row],[GroupByKey]]),(ContinuousStatsTable[GroupByKey]=ContinuousStatsTable[[#This Row],[GroupByKey]])*ContinuousStatsTable[Average])),0)</f>
        <v>0</v>
      </c>
      <c r="P85" s="5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s="5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s="5">
        <f t="array" ref="S85">MIN(IF((ContinuousStatsTable[GroupByKey]=ContinuousStatsTable[[#This Row],[GroupByKey]]),(ContinuousStatsTable[GroupByKey]=ContinuousStatsTable[[#This Row],[GroupByKey]])*ContinuousStatsTable[Average]))</f>
        <v>0</v>
      </c>
      <c r="T85" s="5">
        <f t="array" ref="T85">MAX(IF((ContinuousStatsTable[GroupByKey]=ContinuousStatsTable[[#This Row],[GroupByKey]]),(ContinuousStatsTable[GroupByKey]=ContinuousStatsTable[[#This Row],[GroupByKey]])*ContinuousStatsTable[Average]))</f>
        <v>0</v>
      </c>
      <c r="U85" s="5">
        <f>IF((ContinuousStatsTable[[#This Row],[RepsRequested]]&gt;1),ContinuousStatsTable[[#This Row],[HalfWidth]],ContinuousStatsTable[[#This Row],[BatchMeansHalfWidth]])</f>
        <v>0</v>
      </c>
    </row>
    <row r="86" spans="1:21" x14ac:dyDescent="0.25">
      <c r="A86" t="s">
        <v>67</v>
      </c>
      <c r="B86" t="s">
        <v>70</v>
      </c>
      <c r="C86">
        <v>2</v>
      </c>
      <c r="D86" t="s">
        <v>99</v>
      </c>
      <c r="E86" t="s">
        <v>84</v>
      </c>
      <c r="F86" t="s">
        <v>85</v>
      </c>
      <c r="G86">
        <v>0</v>
      </c>
      <c r="H86">
        <v>2E+20</v>
      </c>
      <c r="I86">
        <v>0</v>
      </c>
      <c r="J86">
        <v>0</v>
      </c>
      <c r="K86">
        <v>0</v>
      </c>
      <c r="L86">
        <v>0</v>
      </c>
      <c r="M86" s="5" t="str">
        <f>ContinuousStatsTable[[#This Row],[ProjectName]]&amp;ContinuousStatsTable[[#This Row],[Name]]&amp;ContinuousStatsTable[[#This Row],[Type]]&amp;ContinuousStatsTable[[#This Row],[Source]]</f>
        <v>Unnamed Projectseizewelder.QueueNumber WaitingQueue</v>
      </c>
      <c r="N86" s="5">
        <f t="array" ref="N86">MAX(IF((ProjectInfoTable[ProjectName]=ContinuousStatsTable[[#This Row],[ProjectName]]),(ProjectInfoTable[ProjectName]=ContinuousStatsTable[[#This Row],[ProjectName]])*ProjectInfoTable[NumberOfReplications]))</f>
        <v>15</v>
      </c>
      <c r="O86" s="5">
        <f t="array" ref="O86">IFERROR(AVERAGE(IF((ContinuousStatsTable[GroupByKey]=ContinuousStatsTable[[#This Row],[GroupByKey]]),(ContinuousStatsTable[GroupByKey]=ContinuousStatsTable[[#This Row],[GroupByKey]])*ContinuousStatsTable[Average])),0)</f>
        <v>0</v>
      </c>
      <c r="P86" s="5">
        <f t="array" ref="P86">IFERROR(_xlfn.STDEV.S(IF((ContinuousStatsTable[GroupByKey]=ContinuousStatsTable[[#This Row],[GroupByKey]]),(ContinuousStatsTable[GroupByKey]=ContinuousStatsTable[[#This Row],[GroupByKey]])*ContinuousStatsTable[Average])),0)</f>
        <v>0</v>
      </c>
      <c r="Q86" s="5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6" s="5">
        <f t="array" ref="S86">MIN(IF((ContinuousStatsTable[GroupByKey]=ContinuousStatsTable[[#This Row],[GroupByKey]]),(ContinuousStatsTable[GroupByKey]=ContinuousStatsTable[[#This Row],[GroupByKey]])*ContinuousStatsTable[Average]))</f>
        <v>0</v>
      </c>
      <c r="T86" s="5">
        <f t="array" ref="T86">MAX(IF((ContinuousStatsTable[GroupByKey]=ContinuousStatsTable[[#This Row],[GroupByKey]]),(ContinuousStatsTable[GroupByKey]=ContinuousStatsTable[[#This Row],[GroupByKey]])*ContinuousStatsTable[Average]))</f>
        <v>0</v>
      </c>
      <c r="U86" s="5">
        <f>IF((ContinuousStatsTable[[#This Row],[RepsRequested]]&gt;1),ContinuousStatsTable[[#This Row],[HalfWidth]],ContinuousStatsTable[[#This Row],[BatchMeansHalfWidth]])</f>
        <v>0</v>
      </c>
    </row>
    <row r="87" spans="1:21" x14ac:dyDescent="0.25">
      <c r="A87" t="s">
        <v>67</v>
      </c>
      <c r="B87" t="s">
        <v>70</v>
      </c>
      <c r="C87">
        <v>2</v>
      </c>
      <c r="D87" t="s">
        <v>100</v>
      </c>
      <c r="E87" t="s">
        <v>78</v>
      </c>
      <c r="F87" t="s">
        <v>79</v>
      </c>
      <c r="G87">
        <v>12</v>
      </c>
      <c r="H87">
        <v>2E+20</v>
      </c>
      <c r="I87">
        <v>12</v>
      </c>
      <c r="J87">
        <v>12</v>
      </c>
      <c r="K87">
        <v>12</v>
      </c>
      <c r="L87">
        <v>0</v>
      </c>
      <c r="M87" s="5" t="str">
        <f>ContinuousStatsTable[[#This Row],[ProjectName]]&amp;ContinuousStatsTable[[#This Row],[Name]]&amp;ContinuousStatsTable[[#This Row],[Type]]&amp;ContinuousStatsTable[[#This Row],[Source]]</f>
        <v>Unnamed ProjectsteelsheetWIPEntity</v>
      </c>
      <c r="N87" s="5">
        <f t="array" ref="N87">MAX(IF((ProjectInfoTable[ProjectName]=ContinuousStatsTable[[#This Row],[ProjectName]]),(ProjectInfoTable[ProjectName]=ContinuousStatsTable[[#This Row],[ProjectName]])*ProjectInfoTable[NumberOfReplications]))</f>
        <v>15</v>
      </c>
      <c r="O87" s="5">
        <f t="array" ref="O87">IFERROR(AVERAGE(IF((ContinuousStatsTable[GroupByKey]=ContinuousStatsTable[[#This Row],[GroupByKey]]),(ContinuousStatsTable[GroupByKey]=ContinuousStatsTable[[#This Row],[GroupByKey]])*ContinuousStatsTable[Average])),0)</f>
        <v>6.1333333333333337</v>
      </c>
      <c r="P87" s="5">
        <f t="array" ref="P87">IFERROR(_xlfn.STDEV.S(IF((ContinuousStatsTable[GroupByKey]=ContinuousStatsTable[[#This Row],[GroupByKey]]),(ContinuousStatsTable[GroupByKey]=ContinuousStatsTable[[#This Row],[GroupByKey]])*ContinuousStatsTable[Average])),0)</f>
        <v>5.3166405433005028</v>
      </c>
      <c r="Q87" s="5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2.944257396015229</v>
      </c>
      <c r="S87" s="5">
        <f t="array" ref="S87">MIN(IF((ContinuousStatsTable[GroupByKey]=ContinuousStatsTable[[#This Row],[GroupByKey]]),(ContinuousStatsTable[GroupByKey]=ContinuousStatsTable[[#This Row],[GroupByKey]])*ContinuousStatsTable[Average]))</f>
        <v>0</v>
      </c>
      <c r="T87" s="5">
        <f t="array" ref="T87">MAX(IF((ContinuousStatsTable[GroupByKey]=ContinuousStatsTable[[#This Row],[GroupByKey]]),(ContinuousStatsTable[GroupByKey]=ContinuousStatsTable[[#This Row],[GroupByKey]])*ContinuousStatsTable[Average]))</f>
        <v>16</v>
      </c>
      <c r="U87" s="5">
        <f>IF((ContinuousStatsTable[[#This Row],[RepsRequested]]&gt;1),ContinuousStatsTable[[#This Row],[HalfWidth]],ContinuousStatsTable[[#This Row],[BatchMeansHalfWidth]])</f>
        <v>2.944257396015229</v>
      </c>
    </row>
    <row r="88" spans="1:21" x14ac:dyDescent="0.25">
      <c r="A88" t="s">
        <v>67</v>
      </c>
      <c r="B88" t="s">
        <v>70</v>
      </c>
      <c r="C88">
        <v>2</v>
      </c>
      <c r="D88" t="s">
        <v>101</v>
      </c>
      <c r="E88" t="s">
        <v>72</v>
      </c>
      <c r="F88" t="s">
        <v>73</v>
      </c>
      <c r="G88">
        <v>0</v>
      </c>
      <c r="H88">
        <v>2E+20</v>
      </c>
      <c r="I88">
        <v>0</v>
      </c>
      <c r="J88">
        <v>0</v>
      </c>
      <c r="K88">
        <v>0</v>
      </c>
      <c r="L88">
        <v>0</v>
      </c>
      <c r="M88" s="5" t="str">
        <f>ContinuousStatsTable[[#This Row],[ProjectName]]&amp;ContinuousStatsTable[[#This Row],[Name]]&amp;ContinuousStatsTable[[#This Row],[Type]]&amp;ContinuousStatsTable[[#This Row],[Source]]</f>
        <v>Unnamed ProjectwelderInstantaneous UtilizationResource</v>
      </c>
      <c r="N88" s="5">
        <f t="array" ref="N88">MAX(IF((ProjectInfoTable[ProjectName]=ContinuousStatsTable[[#This Row],[ProjectName]]),(ProjectInfoTable[ProjectName]=ContinuousStatsTable[[#This Row],[ProjectName]])*ProjectInfoTable[NumberOfReplications]))</f>
        <v>15</v>
      </c>
      <c r="O88" s="5">
        <f t="array" ref="O88">IFERROR(AVERAGE(IF((ContinuousStatsTable[GroupByKey]=ContinuousStatsTable[[#This Row],[GroupByKey]]),(ContinuousStatsTable[GroupByKey]=ContinuousStatsTable[[#This Row],[GroupByKey]])*ContinuousStatsTable[Average])),0)</f>
        <v>0</v>
      </c>
      <c r="P88" s="5">
        <f t="array" ref="P88">IFERROR(_xlfn.STDEV.S(IF((ContinuousStatsTable[GroupByKey]=ContinuousStatsTable[[#This Row],[GroupByKey]]),(ContinuousStatsTable[GroupByKey]=ContinuousStatsTable[[#This Row],[GroupByKey]])*ContinuousStatsTable[Average])),0)</f>
        <v>0</v>
      </c>
      <c r="Q88" s="5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8" s="5">
        <f t="array" ref="S88">MIN(IF((ContinuousStatsTable[GroupByKey]=ContinuousStatsTable[[#This Row],[GroupByKey]]),(ContinuousStatsTable[GroupByKey]=ContinuousStatsTable[[#This Row],[GroupByKey]])*ContinuousStatsTable[Average]))</f>
        <v>0</v>
      </c>
      <c r="T88" s="5">
        <f t="array" ref="T88">MAX(IF((ContinuousStatsTable[GroupByKey]=ContinuousStatsTable[[#This Row],[GroupByKey]]),(ContinuousStatsTable[GroupByKey]=ContinuousStatsTable[[#This Row],[GroupByKey]])*ContinuousStatsTable[Average]))</f>
        <v>0</v>
      </c>
      <c r="U88" s="5">
        <f>IF((ContinuousStatsTable[[#This Row],[RepsRequested]]&gt;1),ContinuousStatsTable[[#This Row],[HalfWidth]],ContinuousStatsTable[[#This Row],[BatchMeansHalfWidth]])</f>
        <v>0</v>
      </c>
    </row>
    <row r="89" spans="1:21" x14ac:dyDescent="0.25">
      <c r="A89" t="s">
        <v>67</v>
      </c>
      <c r="B89" t="s">
        <v>70</v>
      </c>
      <c r="C89">
        <v>2</v>
      </c>
      <c r="D89" t="s">
        <v>101</v>
      </c>
      <c r="E89" t="s">
        <v>74</v>
      </c>
      <c r="F89" t="s">
        <v>73</v>
      </c>
      <c r="G89">
        <v>0</v>
      </c>
      <c r="H89">
        <v>2E+20</v>
      </c>
      <c r="I89">
        <v>0</v>
      </c>
      <c r="J89">
        <v>0</v>
      </c>
      <c r="K89">
        <v>0</v>
      </c>
      <c r="L89">
        <v>0</v>
      </c>
      <c r="M89" s="5" t="str">
        <f>ContinuousStatsTable[[#This Row],[ProjectName]]&amp;ContinuousStatsTable[[#This Row],[Name]]&amp;ContinuousStatsTable[[#This Row],[Type]]&amp;ContinuousStatsTable[[#This Row],[Source]]</f>
        <v>Unnamed ProjectwelderNumber BusyResource</v>
      </c>
      <c r="N89" s="5">
        <f t="array" ref="N89">MAX(IF((ProjectInfoTable[ProjectName]=ContinuousStatsTable[[#This Row],[ProjectName]]),(ProjectInfoTable[ProjectName]=ContinuousStatsTable[[#This Row],[ProjectName]])*ProjectInfoTable[NumberOfReplications]))</f>
        <v>15</v>
      </c>
      <c r="O89" s="5">
        <f t="array" ref="O89">IFERROR(AVERAGE(IF((ContinuousStatsTable[GroupByKey]=ContinuousStatsTable[[#This Row],[GroupByKey]]),(ContinuousStatsTable[GroupByKey]=ContinuousStatsTable[[#This Row],[GroupByKey]])*ContinuousStatsTable[Average])),0)</f>
        <v>0</v>
      </c>
      <c r="P89" s="5">
        <f t="array" ref="P89">IFERROR(_xlfn.STDEV.S(IF((ContinuousStatsTable[GroupByKey]=ContinuousStatsTable[[#This Row],[GroupByKey]]),(ContinuousStatsTable[GroupByKey]=ContinuousStatsTable[[#This Row],[GroupByKey]])*ContinuousStatsTable[Average])),0)</f>
        <v>0</v>
      </c>
      <c r="Q89" s="5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9" s="5">
        <f t="array" ref="S89">MIN(IF((ContinuousStatsTable[GroupByKey]=ContinuousStatsTable[[#This Row],[GroupByKey]]),(ContinuousStatsTable[GroupByKey]=ContinuousStatsTable[[#This Row],[GroupByKey]])*ContinuousStatsTable[Average]))</f>
        <v>0</v>
      </c>
      <c r="T89" s="5">
        <f t="array" ref="T89">MAX(IF((ContinuousStatsTable[GroupByKey]=ContinuousStatsTable[[#This Row],[GroupByKey]]),(ContinuousStatsTable[GroupByKey]=ContinuousStatsTable[[#This Row],[GroupByKey]])*ContinuousStatsTable[Average]))</f>
        <v>0</v>
      </c>
      <c r="U89" s="5">
        <f>IF((ContinuousStatsTable[[#This Row],[RepsRequested]]&gt;1),ContinuousStatsTable[[#This Row],[HalfWidth]],ContinuousStatsTable[[#This Row],[BatchMeansHalfWidth]])</f>
        <v>0</v>
      </c>
    </row>
    <row r="90" spans="1:21" x14ac:dyDescent="0.25">
      <c r="A90" t="s">
        <v>67</v>
      </c>
      <c r="B90" t="s">
        <v>70</v>
      </c>
      <c r="C90">
        <v>2</v>
      </c>
      <c r="D90" t="s">
        <v>101</v>
      </c>
      <c r="E90" t="s">
        <v>75</v>
      </c>
      <c r="F90" t="s">
        <v>73</v>
      </c>
      <c r="G90">
        <v>1.5834399862402999</v>
      </c>
      <c r="H90">
        <v>3E+20</v>
      </c>
      <c r="I90">
        <v>1</v>
      </c>
      <c r="J90">
        <v>2</v>
      </c>
      <c r="K90">
        <v>2</v>
      </c>
      <c r="L90">
        <v>0</v>
      </c>
      <c r="M90" s="5" t="str">
        <f>ContinuousStatsTable[[#This Row],[ProjectName]]&amp;ContinuousStatsTable[[#This Row],[Name]]&amp;ContinuousStatsTable[[#This Row],[Type]]&amp;ContinuousStatsTable[[#This Row],[Source]]</f>
        <v>Unnamed ProjectwelderNumber ScheduledResource</v>
      </c>
      <c r="N90" s="5">
        <f t="array" ref="N90">MAX(IF((ProjectInfoTable[ProjectName]=ContinuousStatsTable[[#This Row],[ProjectName]]),(ProjectInfoTable[ProjectName]=ContinuousStatsTable[[#This Row],[ProjectName]])*ProjectInfoTable[NumberOfReplications]))</f>
        <v>15</v>
      </c>
      <c r="O90" s="5">
        <f t="array" ref="O90">IFERROR(AVERAGE(IF((ContinuousStatsTable[GroupByKey]=ContinuousStatsTable[[#This Row],[GroupByKey]]),(ContinuousStatsTable[GroupByKey]=ContinuousStatsTable[[#This Row],[GroupByKey]])*ContinuousStatsTable[Average])),0)</f>
        <v>1.5334531146777051</v>
      </c>
      <c r="P90" s="5">
        <f t="array" ref="P90">IFERROR(_xlfn.STDEV.S(IF((ContinuousStatsTable[GroupByKey]=ContinuousStatsTable[[#This Row],[GroupByKey]]),(ContinuousStatsTable[GroupByKey]=ContinuousStatsTable[[#This Row],[GroupByKey]])*ContinuousStatsTable[Average])),0)</f>
        <v>0.24154952363702747</v>
      </c>
      <c r="Q90" s="5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0.13376566756397254</v>
      </c>
      <c r="S90" s="5">
        <f t="array" ref="S90">MIN(IF((ContinuousStatsTable[GroupByKey]=ContinuousStatsTable[[#This Row],[GroupByKey]]),(ContinuousStatsTable[GroupByKey]=ContinuousStatsTable[[#This Row],[GroupByKey]])*ContinuousStatsTable[Average]))</f>
        <v>1</v>
      </c>
      <c r="T90" s="5">
        <f t="array" ref="T90">MAX(IF((ContinuousStatsTable[GroupByKey]=ContinuousStatsTable[[#This Row],[GroupByKey]]),(ContinuousStatsTable[GroupByKey]=ContinuousStatsTable[[#This Row],[GroupByKey]])*ContinuousStatsTable[Average]))</f>
        <v>2</v>
      </c>
      <c r="U90" s="5">
        <f>IF((ContinuousStatsTable[[#This Row],[RepsRequested]]&gt;1),ContinuousStatsTable[[#This Row],[HalfWidth]],ContinuousStatsTable[[#This Row],[BatchMeansHalfWidth]])</f>
        <v>0.13376566756397254</v>
      </c>
    </row>
    <row r="91" spans="1:21" x14ac:dyDescent="0.25">
      <c r="A91" t="s">
        <v>67</v>
      </c>
      <c r="B91" t="s">
        <v>70</v>
      </c>
      <c r="C91">
        <v>2</v>
      </c>
      <c r="D91" t="s">
        <v>102</v>
      </c>
      <c r="E91" t="s">
        <v>72</v>
      </c>
      <c r="F91" t="s">
        <v>73</v>
      </c>
      <c r="G91">
        <v>0</v>
      </c>
      <c r="H91">
        <v>2E+20</v>
      </c>
      <c r="I91">
        <v>0</v>
      </c>
      <c r="J91">
        <v>0</v>
      </c>
      <c r="K91">
        <v>0</v>
      </c>
      <c r="L91">
        <v>0</v>
      </c>
      <c r="M91" s="5" t="str">
        <f>ContinuousStatsTable[[#This Row],[ProjectName]]&amp;ContinuousStatsTable[[#This Row],[Name]]&amp;ContinuousStatsTable[[#This Row],[Type]]&amp;ContinuousStatsTable[[#This Row],[Source]]</f>
        <v>Unnamed ProjectweldingqcworkerInstantaneous UtilizationResource</v>
      </c>
      <c r="N91" s="5">
        <f t="array" ref="N91">MAX(IF((ProjectInfoTable[ProjectName]=ContinuousStatsTable[[#This Row],[ProjectName]]),(ProjectInfoTable[ProjectName]=ContinuousStatsTable[[#This Row],[ProjectName]])*ProjectInfoTable[NumberOfReplications]))</f>
        <v>15</v>
      </c>
      <c r="O91" s="5">
        <f t="array" ref="O91">IFERROR(AVERAGE(IF((ContinuousStatsTable[GroupByKey]=ContinuousStatsTable[[#This Row],[GroupByKey]]),(ContinuousStatsTable[GroupByKey]=ContinuousStatsTable[[#This Row],[GroupByKey]])*ContinuousStatsTable[Average])),0)</f>
        <v>0</v>
      </c>
      <c r="P91" s="5">
        <f t="array" ref="P91">IFERROR(_xlfn.STDEV.S(IF((ContinuousStatsTable[GroupByKey]=ContinuousStatsTable[[#This Row],[GroupByKey]]),(ContinuousStatsTable[GroupByKey]=ContinuousStatsTable[[#This Row],[GroupByKey]])*ContinuousStatsTable[Average])),0)</f>
        <v>0</v>
      </c>
      <c r="Q91" s="5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1" s="5">
        <f t="array" ref="S91">MIN(IF((ContinuousStatsTable[GroupByKey]=ContinuousStatsTable[[#This Row],[GroupByKey]]),(ContinuousStatsTable[GroupByKey]=ContinuousStatsTable[[#This Row],[GroupByKey]])*ContinuousStatsTable[Average]))</f>
        <v>0</v>
      </c>
      <c r="T91" s="5">
        <f t="array" ref="T91">MAX(IF((ContinuousStatsTable[GroupByKey]=ContinuousStatsTable[[#This Row],[GroupByKey]]),(ContinuousStatsTable[GroupByKey]=ContinuousStatsTable[[#This Row],[GroupByKey]])*ContinuousStatsTable[Average]))</f>
        <v>0</v>
      </c>
      <c r="U91" s="5">
        <f>IF((ContinuousStatsTable[[#This Row],[RepsRequested]]&gt;1),ContinuousStatsTable[[#This Row],[HalfWidth]],ContinuousStatsTable[[#This Row],[BatchMeansHalfWidth]])</f>
        <v>0</v>
      </c>
    </row>
    <row r="92" spans="1:21" x14ac:dyDescent="0.25">
      <c r="A92" t="s">
        <v>67</v>
      </c>
      <c r="B92" t="s">
        <v>70</v>
      </c>
      <c r="C92">
        <v>2</v>
      </c>
      <c r="D92" t="s">
        <v>102</v>
      </c>
      <c r="E92" t="s">
        <v>74</v>
      </c>
      <c r="F92" t="s">
        <v>73</v>
      </c>
      <c r="G92">
        <v>0</v>
      </c>
      <c r="H92">
        <v>2E+20</v>
      </c>
      <c r="I92">
        <v>0</v>
      </c>
      <c r="J92">
        <v>0</v>
      </c>
      <c r="K92">
        <v>0</v>
      </c>
      <c r="L92">
        <v>0</v>
      </c>
      <c r="M92" s="5" t="str">
        <f>ContinuousStatsTable[[#This Row],[ProjectName]]&amp;ContinuousStatsTable[[#This Row],[Name]]&amp;ContinuousStatsTable[[#This Row],[Type]]&amp;ContinuousStatsTable[[#This Row],[Source]]</f>
        <v>Unnamed ProjectweldingqcworkerNumber BusyResource</v>
      </c>
      <c r="N92" s="5">
        <f t="array" ref="N92">MAX(IF((ProjectInfoTable[ProjectName]=ContinuousStatsTable[[#This Row],[ProjectName]]),(ProjectInfoTable[ProjectName]=ContinuousStatsTable[[#This Row],[ProjectName]])*ProjectInfoTable[NumberOfReplications]))</f>
        <v>15</v>
      </c>
      <c r="O92" s="5">
        <f t="array" ref="O92">IFERROR(AVERAGE(IF((ContinuousStatsTable[GroupByKey]=ContinuousStatsTable[[#This Row],[GroupByKey]]),(ContinuousStatsTable[GroupByKey]=ContinuousStatsTable[[#This Row],[GroupByKey]])*ContinuousStatsTable[Average])),0)</f>
        <v>0</v>
      </c>
      <c r="P92" s="5">
        <f t="array" ref="P92">IFERROR(_xlfn.STDEV.S(IF((ContinuousStatsTable[GroupByKey]=ContinuousStatsTable[[#This Row],[GroupByKey]]),(ContinuousStatsTable[GroupByKey]=ContinuousStatsTable[[#This Row],[GroupByKey]])*ContinuousStatsTable[Average])),0)</f>
        <v>0</v>
      </c>
      <c r="Q92" s="5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2" s="5">
        <f t="array" ref="S92">MIN(IF((ContinuousStatsTable[GroupByKey]=ContinuousStatsTable[[#This Row],[GroupByKey]]),(ContinuousStatsTable[GroupByKey]=ContinuousStatsTable[[#This Row],[GroupByKey]])*ContinuousStatsTable[Average]))</f>
        <v>0</v>
      </c>
      <c r="T92" s="5">
        <f t="array" ref="T92">MAX(IF((ContinuousStatsTable[GroupByKey]=ContinuousStatsTable[[#This Row],[GroupByKey]]),(ContinuousStatsTable[GroupByKey]=ContinuousStatsTable[[#This Row],[GroupByKey]])*ContinuousStatsTable[Average]))</f>
        <v>0</v>
      </c>
      <c r="U92" s="5">
        <f>IF((ContinuousStatsTable[[#This Row],[RepsRequested]]&gt;1),ContinuousStatsTable[[#This Row],[HalfWidth]],ContinuousStatsTable[[#This Row],[BatchMeansHalfWidth]])</f>
        <v>0</v>
      </c>
    </row>
    <row r="93" spans="1:21" x14ac:dyDescent="0.25">
      <c r="A93" t="s">
        <v>67</v>
      </c>
      <c r="B93" t="s">
        <v>70</v>
      </c>
      <c r="C93">
        <v>2</v>
      </c>
      <c r="D93" t="s">
        <v>102</v>
      </c>
      <c r="E93" t="s">
        <v>75</v>
      </c>
      <c r="F93" t="s">
        <v>73</v>
      </c>
      <c r="G93">
        <v>1.5834999999999999</v>
      </c>
      <c r="H93">
        <v>3E+20</v>
      </c>
      <c r="I93">
        <v>1</v>
      </c>
      <c r="J93">
        <v>2</v>
      </c>
      <c r="K93">
        <v>2</v>
      </c>
      <c r="L93">
        <v>0</v>
      </c>
      <c r="M93" s="5" t="str">
        <f>ContinuousStatsTable[[#This Row],[ProjectName]]&amp;ContinuousStatsTable[[#This Row],[Name]]&amp;ContinuousStatsTable[[#This Row],[Type]]&amp;ContinuousStatsTable[[#This Row],[Source]]</f>
        <v>Unnamed ProjectweldingqcworkerNumber ScheduledResource</v>
      </c>
      <c r="N93" s="5">
        <f t="array" ref="N93">MAX(IF((ProjectInfoTable[ProjectName]=ContinuousStatsTable[[#This Row],[ProjectName]]),(ProjectInfoTable[ProjectName]=ContinuousStatsTable[[#This Row],[ProjectName]])*ProjectInfoTable[NumberOfReplications]))</f>
        <v>15</v>
      </c>
      <c r="O93" s="5">
        <f t="array" ref="O93">IFERROR(AVERAGE(IF((ContinuousStatsTable[GroupByKey]=ContinuousStatsTable[[#This Row],[GroupByKey]]),(ContinuousStatsTable[GroupByKey]=ContinuousStatsTable[[#This Row],[GroupByKey]])*ContinuousStatsTable[Average])),0)</f>
        <v>1.5334635492504263</v>
      </c>
      <c r="P93" s="5">
        <f t="array" ref="P93">IFERROR(_xlfn.STDEV.S(IF((ContinuousStatsTable[GroupByKey]=ContinuousStatsTable[[#This Row],[GroupByKey]]),(ContinuousStatsTable[GroupByKey]=ContinuousStatsTable[[#This Row],[GroupByKey]])*ContinuousStatsTable[Average])),0)</f>
        <v>0.24155183649982462</v>
      </c>
      <c r="Q93" s="5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0.1337669483846978</v>
      </c>
      <c r="S93" s="5">
        <f t="array" ref="S93">MIN(IF((ContinuousStatsTable[GroupByKey]=ContinuousStatsTable[[#This Row],[GroupByKey]]),(ContinuousStatsTable[GroupByKey]=ContinuousStatsTable[[#This Row],[GroupByKey]])*ContinuousStatsTable[Average]))</f>
        <v>1</v>
      </c>
      <c r="T93" s="5">
        <f t="array" ref="T93">MAX(IF((ContinuousStatsTable[GroupByKey]=ContinuousStatsTable[[#This Row],[GroupByKey]]),(ContinuousStatsTable[GroupByKey]=ContinuousStatsTable[[#This Row],[GroupByKey]])*ContinuousStatsTable[Average]))</f>
        <v>2</v>
      </c>
      <c r="U93" s="5">
        <f>IF((ContinuousStatsTable[[#This Row],[RepsRequested]]&gt;1),ContinuousStatsTable[[#This Row],[HalfWidth]],ContinuousStatsTable[[#This Row],[BatchMeansHalfWidth]])</f>
        <v>0.1337669483846978</v>
      </c>
    </row>
    <row r="94" spans="1:21" x14ac:dyDescent="0.25">
      <c r="A94" t="s">
        <v>67</v>
      </c>
      <c r="B94" t="s">
        <v>70</v>
      </c>
      <c r="C94">
        <v>3</v>
      </c>
      <c r="D94" t="s">
        <v>71</v>
      </c>
      <c r="E94" t="s">
        <v>72</v>
      </c>
      <c r="F94" t="s">
        <v>73</v>
      </c>
      <c r="G94">
        <v>0</v>
      </c>
      <c r="H94">
        <v>2E+20</v>
      </c>
      <c r="I94">
        <v>0</v>
      </c>
      <c r="J94">
        <v>0</v>
      </c>
      <c r="K94">
        <v>0</v>
      </c>
      <c r="L94">
        <v>0</v>
      </c>
      <c r="M94" s="5" t="str">
        <f>ContinuousStatsTable[[#This Row],[ProjectName]]&amp;ContinuousStatsTable[[#This Row],[Name]]&amp;ContinuousStatsTable[[#This Row],[Type]]&amp;ContinuousStatsTable[[#This Row],[Source]]</f>
        <v>Unnamed ProjectassemblerInstantaneous UtilizationResource</v>
      </c>
      <c r="N94" s="5">
        <f t="array" ref="N94">MAX(IF((ProjectInfoTable[ProjectName]=ContinuousStatsTable[[#This Row],[ProjectName]]),(ProjectInfoTable[ProjectName]=ContinuousStatsTable[[#This Row],[ProjectName]])*ProjectInfoTable[NumberOfReplications]))</f>
        <v>15</v>
      </c>
      <c r="O94" s="5">
        <f t="array" ref="O94">IFERROR(AVERAGE(IF((ContinuousStatsTable[GroupByKey]=ContinuousStatsTable[[#This Row],[GroupByKey]]),(ContinuousStatsTable[GroupByKey]=ContinuousStatsTable[[#This Row],[GroupByKey]])*ContinuousStatsTable[Average])),0)</f>
        <v>0</v>
      </c>
      <c r="P94" s="5">
        <f t="array" ref="P94">IFERROR(_xlfn.STDEV.S(IF((ContinuousStatsTable[GroupByKey]=ContinuousStatsTable[[#This Row],[GroupByKey]]),(ContinuousStatsTable[GroupByKey]=ContinuousStatsTable[[#This Row],[GroupByKey]])*ContinuousStatsTable[Average])),0)</f>
        <v>0</v>
      </c>
      <c r="Q94" s="5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4" s="5">
        <f t="array" ref="S94">MIN(IF((ContinuousStatsTable[GroupByKey]=ContinuousStatsTable[[#This Row],[GroupByKey]]),(ContinuousStatsTable[GroupByKey]=ContinuousStatsTable[[#This Row],[GroupByKey]])*ContinuousStatsTable[Average]))</f>
        <v>0</v>
      </c>
      <c r="T94" s="5">
        <f t="array" ref="T94">MAX(IF((ContinuousStatsTable[GroupByKey]=ContinuousStatsTable[[#This Row],[GroupByKey]]),(ContinuousStatsTable[GroupByKey]=ContinuousStatsTable[[#This Row],[GroupByKey]])*ContinuousStatsTable[Average]))</f>
        <v>0</v>
      </c>
      <c r="U94" s="5">
        <f>IF((ContinuousStatsTable[[#This Row],[RepsRequested]]&gt;1),ContinuousStatsTable[[#This Row],[HalfWidth]],ContinuousStatsTable[[#This Row],[BatchMeansHalfWidth]])</f>
        <v>0</v>
      </c>
    </row>
    <row r="95" spans="1:21" x14ac:dyDescent="0.25">
      <c r="A95" t="s">
        <v>67</v>
      </c>
      <c r="B95" t="s">
        <v>70</v>
      </c>
      <c r="C95">
        <v>3</v>
      </c>
      <c r="D95" t="s">
        <v>71</v>
      </c>
      <c r="E95" t="s">
        <v>74</v>
      </c>
      <c r="F95" t="s">
        <v>73</v>
      </c>
      <c r="G95">
        <v>0</v>
      </c>
      <c r="H95">
        <v>2E+20</v>
      </c>
      <c r="I95">
        <v>0</v>
      </c>
      <c r="J95">
        <v>0</v>
      </c>
      <c r="K95">
        <v>0</v>
      </c>
      <c r="L95">
        <v>0</v>
      </c>
      <c r="M95" s="5" t="str">
        <f>ContinuousStatsTable[[#This Row],[ProjectName]]&amp;ContinuousStatsTable[[#This Row],[Name]]&amp;ContinuousStatsTable[[#This Row],[Type]]&amp;ContinuousStatsTable[[#This Row],[Source]]</f>
        <v>Unnamed ProjectassemblerNumber BusyResource</v>
      </c>
      <c r="N95" s="5">
        <f t="array" ref="N95">MAX(IF((ProjectInfoTable[ProjectName]=ContinuousStatsTable[[#This Row],[ProjectName]]),(ProjectInfoTable[ProjectName]=ContinuousStatsTable[[#This Row],[ProjectName]])*ProjectInfoTable[NumberOfReplications]))</f>
        <v>15</v>
      </c>
      <c r="O95" s="5">
        <f t="array" ref="O95">IFERROR(AVERAGE(IF((ContinuousStatsTable[GroupByKey]=ContinuousStatsTable[[#This Row],[GroupByKey]]),(ContinuousStatsTable[GroupByKey]=ContinuousStatsTable[[#This Row],[GroupByKey]])*ContinuousStatsTable[Average])),0)</f>
        <v>0</v>
      </c>
      <c r="P95" s="5">
        <f t="array" ref="P95">IFERROR(_xlfn.STDEV.S(IF((ContinuousStatsTable[GroupByKey]=ContinuousStatsTable[[#This Row],[GroupByKey]]),(ContinuousStatsTable[GroupByKey]=ContinuousStatsTable[[#This Row],[GroupByKey]])*ContinuousStatsTable[Average])),0)</f>
        <v>0</v>
      </c>
      <c r="Q95" s="5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" s="5">
        <f t="array" ref="S95">MIN(IF((ContinuousStatsTable[GroupByKey]=ContinuousStatsTable[[#This Row],[GroupByKey]]),(ContinuousStatsTable[GroupByKey]=ContinuousStatsTable[[#This Row],[GroupByKey]])*ContinuousStatsTable[Average]))</f>
        <v>0</v>
      </c>
      <c r="T95" s="5">
        <f t="array" ref="T95">MAX(IF((ContinuousStatsTable[GroupByKey]=ContinuousStatsTable[[#This Row],[GroupByKey]]),(ContinuousStatsTable[GroupByKey]=ContinuousStatsTable[[#This Row],[GroupByKey]])*ContinuousStatsTable[Average]))</f>
        <v>0</v>
      </c>
      <c r="U95" s="5">
        <f>IF((ContinuousStatsTable[[#This Row],[RepsRequested]]&gt;1),ContinuousStatsTable[[#This Row],[HalfWidth]],ContinuousStatsTable[[#This Row],[BatchMeansHalfWidth]])</f>
        <v>0</v>
      </c>
    </row>
    <row r="96" spans="1:21" x14ac:dyDescent="0.25">
      <c r="A96" t="s">
        <v>67</v>
      </c>
      <c r="B96" t="s">
        <v>70</v>
      </c>
      <c r="C96">
        <v>3</v>
      </c>
      <c r="D96" t="s">
        <v>71</v>
      </c>
      <c r="E96" t="s">
        <v>75</v>
      </c>
      <c r="F96" t="s">
        <v>73</v>
      </c>
      <c r="G96">
        <v>1.58375</v>
      </c>
      <c r="H96">
        <v>3E+20</v>
      </c>
      <c r="I96">
        <v>1</v>
      </c>
      <c r="J96">
        <v>2</v>
      </c>
      <c r="K96">
        <v>2</v>
      </c>
      <c r="L96">
        <v>0</v>
      </c>
      <c r="M96" s="5" t="str">
        <f>ContinuousStatsTable[[#This Row],[ProjectName]]&amp;ContinuousStatsTable[[#This Row],[Name]]&amp;ContinuousStatsTable[[#This Row],[Type]]&amp;ContinuousStatsTable[[#This Row],[Source]]</f>
        <v>Unnamed ProjectassemblerNumber ScheduledResource</v>
      </c>
      <c r="N96" s="5">
        <f t="array" ref="N96">MAX(IF((ProjectInfoTable[ProjectName]=ContinuousStatsTable[[#This Row],[ProjectName]]),(ProjectInfoTable[ProjectName]=ContinuousStatsTable[[#This Row],[ProjectName]])*ProjectInfoTable[NumberOfReplications]))</f>
        <v>15</v>
      </c>
      <c r="O96" s="5">
        <f t="array" ref="O96">IFERROR(AVERAGE(IF((ContinuousStatsTable[GroupByKey]=ContinuousStatsTable[[#This Row],[GroupByKey]]),(ContinuousStatsTable[GroupByKey]=ContinuousStatsTable[[#This Row],[GroupByKey]])*ContinuousStatsTable[Average])),0)</f>
        <v>1.5333142680768803</v>
      </c>
      <c r="P96" s="5">
        <f t="array" ref="P96">IFERROR(_xlfn.STDEV.S(IF((ContinuousStatsTable[GroupByKey]=ContinuousStatsTable[[#This Row],[GroupByKey]]),(ContinuousStatsTable[GroupByKey]=ContinuousStatsTable[[#This Row],[GroupByKey]])*ContinuousStatsTable[Average])),0)</f>
        <v>0.24151891999367611</v>
      </c>
      <c r="Q96" s="5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0.13374871983117992</v>
      </c>
      <c r="S96" s="5">
        <f t="array" ref="S96">MIN(IF((ContinuousStatsTable[GroupByKey]=ContinuousStatsTable[[#This Row],[GroupByKey]]),(ContinuousStatsTable[GroupByKey]=ContinuousStatsTable[[#This Row],[GroupByKey]])*ContinuousStatsTable[Average]))</f>
        <v>1</v>
      </c>
      <c r="T96" s="5">
        <f t="array" ref="T96">MAX(IF((ContinuousStatsTable[GroupByKey]=ContinuousStatsTable[[#This Row],[GroupByKey]]),(ContinuousStatsTable[GroupByKey]=ContinuousStatsTable[[#This Row],[GroupByKey]])*ContinuousStatsTable[Average]))</f>
        <v>2</v>
      </c>
      <c r="U96" s="5">
        <f>IF((ContinuousStatsTable[[#This Row],[RepsRequested]]&gt;1),ContinuousStatsTable[[#This Row],[HalfWidth]],ContinuousStatsTable[[#This Row],[BatchMeansHalfWidth]])</f>
        <v>0.13374871983117992</v>
      </c>
    </row>
    <row r="97" spans="1:21" x14ac:dyDescent="0.25">
      <c r="A97" t="s">
        <v>67</v>
      </c>
      <c r="B97" t="s">
        <v>70</v>
      </c>
      <c r="C97">
        <v>3</v>
      </c>
      <c r="D97" t="s">
        <v>76</v>
      </c>
      <c r="E97" t="s">
        <v>72</v>
      </c>
      <c r="F97" t="s">
        <v>73</v>
      </c>
      <c r="G97">
        <v>0</v>
      </c>
      <c r="H97">
        <v>2E+20</v>
      </c>
      <c r="I97">
        <v>0</v>
      </c>
      <c r="J97">
        <v>0</v>
      </c>
      <c r="K97">
        <v>0</v>
      </c>
      <c r="L97">
        <v>0</v>
      </c>
      <c r="M97" s="5" t="str">
        <f>ContinuousStatsTable[[#This Row],[ProjectName]]&amp;ContinuousStatsTable[[#This Row],[Name]]&amp;ContinuousStatsTable[[#This Row],[Type]]&amp;ContinuousStatsTable[[#This Row],[Source]]</f>
        <v>Unnamed ProjectassemblyqcworkerInstantaneous UtilizationResource</v>
      </c>
      <c r="N97" s="5">
        <f t="array" ref="N97">MAX(IF((ProjectInfoTable[ProjectName]=ContinuousStatsTable[[#This Row],[ProjectName]]),(ProjectInfoTable[ProjectName]=ContinuousStatsTable[[#This Row],[ProjectName]])*ProjectInfoTable[NumberOfReplications]))</f>
        <v>15</v>
      </c>
      <c r="O97" s="5">
        <f t="array" ref="O97">IFERROR(AVERAGE(IF((ContinuousStatsTable[GroupByKey]=ContinuousStatsTable[[#This Row],[GroupByKey]]),(ContinuousStatsTable[GroupByKey]=ContinuousStatsTable[[#This Row],[GroupByKey]])*ContinuousStatsTable[Average])),0)</f>
        <v>0</v>
      </c>
      <c r="P97" s="5">
        <f t="array" ref="P97">IFERROR(_xlfn.STDEV.S(IF((ContinuousStatsTable[GroupByKey]=ContinuousStatsTable[[#This Row],[GroupByKey]]),(ContinuousStatsTable[GroupByKey]=ContinuousStatsTable[[#This Row],[GroupByKey]])*ContinuousStatsTable[Average])),0)</f>
        <v>0</v>
      </c>
      <c r="Q97" s="5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7" s="5">
        <f t="array" ref="S97">MIN(IF((ContinuousStatsTable[GroupByKey]=ContinuousStatsTable[[#This Row],[GroupByKey]]),(ContinuousStatsTable[GroupByKey]=ContinuousStatsTable[[#This Row],[GroupByKey]])*ContinuousStatsTable[Average]))</f>
        <v>0</v>
      </c>
      <c r="T97" s="5">
        <f t="array" ref="T97">MAX(IF((ContinuousStatsTable[GroupByKey]=ContinuousStatsTable[[#This Row],[GroupByKey]]),(ContinuousStatsTable[GroupByKey]=ContinuousStatsTable[[#This Row],[GroupByKey]])*ContinuousStatsTable[Average]))</f>
        <v>0</v>
      </c>
      <c r="U97" s="5">
        <f>IF((ContinuousStatsTable[[#This Row],[RepsRequested]]&gt;1),ContinuousStatsTable[[#This Row],[HalfWidth]],ContinuousStatsTable[[#This Row],[BatchMeansHalfWidth]])</f>
        <v>0</v>
      </c>
    </row>
    <row r="98" spans="1:21" x14ac:dyDescent="0.25">
      <c r="A98" t="s">
        <v>67</v>
      </c>
      <c r="B98" t="s">
        <v>70</v>
      </c>
      <c r="C98">
        <v>3</v>
      </c>
      <c r="D98" t="s">
        <v>76</v>
      </c>
      <c r="E98" t="s">
        <v>74</v>
      </c>
      <c r="F98" t="s">
        <v>73</v>
      </c>
      <c r="G98">
        <v>0</v>
      </c>
      <c r="H98">
        <v>2E+20</v>
      </c>
      <c r="I98">
        <v>0</v>
      </c>
      <c r="J98">
        <v>0</v>
      </c>
      <c r="K98">
        <v>0</v>
      </c>
      <c r="L98">
        <v>0</v>
      </c>
      <c r="M98" s="5" t="str">
        <f>ContinuousStatsTable[[#This Row],[ProjectName]]&amp;ContinuousStatsTable[[#This Row],[Name]]&amp;ContinuousStatsTable[[#This Row],[Type]]&amp;ContinuousStatsTable[[#This Row],[Source]]</f>
        <v>Unnamed ProjectassemblyqcworkerNumber BusyResource</v>
      </c>
      <c r="N98" s="5">
        <f t="array" ref="N98">MAX(IF((ProjectInfoTable[ProjectName]=ContinuousStatsTable[[#This Row],[ProjectName]]),(ProjectInfoTable[ProjectName]=ContinuousStatsTable[[#This Row],[ProjectName]])*ProjectInfoTable[NumberOfReplications]))</f>
        <v>15</v>
      </c>
      <c r="O98" s="5">
        <f t="array" ref="O98">IFERROR(AVERAGE(IF((ContinuousStatsTable[GroupByKey]=ContinuousStatsTable[[#This Row],[GroupByKey]]),(ContinuousStatsTable[GroupByKey]=ContinuousStatsTable[[#This Row],[GroupByKey]])*ContinuousStatsTable[Average])),0)</f>
        <v>0</v>
      </c>
      <c r="P98" s="5">
        <f t="array" ref="P98">IFERROR(_xlfn.STDEV.S(IF((ContinuousStatsTable[GroupByKey]=ContinuousStatsTable[[#This Row],[GroupByKey]]),(ContinuousStatsTable[GroupByKey]=ContinuousStatsTable[[#This Row],[GroupByKey]])*ContinuousStatsTable[Average])),0)</f>
        <v>0</v>
      </c>
      <c r="Q98" s="5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8" s="5">
        <f t="array" ref="S98">MIN(IF((ContinuousStatsTable[GroupByKey]=ContinuousStatsTable[[#This Row],[GroupByKey]]),(ContinuousStatsTable[GroupByKey]=ContinuousStatsTable[[#This Row],[GroupByKey]])*ContinuousStatsTable[Average]))</f>
        <v>0</v>
      </c>
      <c r="T98" s="5">
        <f t="array" ref="T98">MAX(IF((ContinuousStatsTable[GroupByKey]=ContinuousStatsTable[[#This Row],[GroupByKey]]),(ContinuousStatsTable[GroupByKey]=ContinuousStatsTable[[#This Row],[GroupByKey]])*ContinuousStatsTable[Average]))</f>
        <v>0</v>
      </c>
      <c r="U98" s="5">
        <f>IF((ContinuousStatsTable[[#This Row],[RepsRequested]]&gt;1),ContinuousStatsTable[[#This Row],[HalfWidth]],ContinuousStatsTable[[#This Row],[BatchMeansHalfWidth]])</f>
        <v>0</v>
      </c>
    </row>
    <row r="99" spans="1:21" x14ac:dyDescent="0.25">
      <c r="A99" t="s">
        <v>67</v>
      </c>
      <c r="B99" t="s">
        <v>70</v>
      </c>
      <c r="C99">
        <v>3</v>
      </c>
      <c r="D99" t="s">
        <v>76</v>
      </c>
      <c r="E99" t="s">
        <v>75</v>
      </c>
      <c r="F99" t="s">
        <v>73</v>
      </c>
      <c r="G99">
        <v>1.5834999999999999</v>
      </c>
      <c r="H99">
        <v>3E+20</v>
      </c>
      <c r="I99">
        <v>1</v>
      </c>
      <c r="J99">
        <v>2</v>
      </c>
      <c r="K99">
        <v>2</v>
      </c>
      <c r="L99">
        <v>0</v>
      </c>
      <c r="M99" s="5" t="str">
        <f>ContinuousStatsTable[[#This Row],[ProjectName]]&amp;ContinuousStatsTable[[#This Row],[Name]]&amp;ContinuousStatsTable[[#This Row],[Type]]&amp;ContinuousStatsTable[[#This Row],[Source]]</f>
        <v>Unnamed ProjectassemblyqcworkerNumber ScheduledResource</v>
      </c>
      <c r="N99" s="5">
        <f t="array" ref="N99">MAX(IF((ProjectInfoTable[ProjectName]=ContinuousStatsTable[[#This Row],[ProjectName]]),(ProjectInfoTable[ProjectName]=ContinuousStatsTable[[#This Row],[ProjectName]])*ProjectInfoTable[NumberOfReplications]))</f>
        <v>15</v>
      </c>
      <c r="O99" s="5">
        <f t="array" ref="O99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99" s="5">
        <f t="array" ref="P99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99" s="5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99" s="5">
        <f t="array" ref="S99">MIN(IF((ContinuousStatsTable[GroupByKey]=ContinuousStatsTable[[#This Row],[GroupByKey]]),(ContinuousStatsTable[GroupByKey]=ContinuousStatsTable[[#This Row],[GroupByKey]])*ContinuousStatsTable[Average]))</f>
        <v>1</v>
      </c>
      <c r="T99" s="5">
        <f t="array" ref="T99">MAX(IF((ContinuousStatsTable[GroupByKey]=ContinuousStatsTable[[#This Row],[GroupByKey]]),(ContinuousStatsTable[GroupByKey]=ContinuousStatsTable[[#This Row],[GroupByKey]])*ContinuousStatsTable[Average]))</f>
        <v>2</v>
      </c>
      <c r="U99" s="5">
        <f>IF((ContinuousStatsTable[[#This Row],[RepsRequested]]&gt;1),ContinuousStatsTable[[#This Row],[HalfWidth]],ContinuousStatsTable[[#This Row],[BatchMeansHalfWidth]])</f>
        <v>0.13376733135491528</v>
      </c>
    </row>
    <row r="100" spans="1:21" x14ac:dyDescent="0.25">
      <c r="A100" t="s">
        <v>67</v>
      </c>
      <c r="B100" t="s">
        <v>70</v>
      </c>
      <c r="C100">
        <v>3</v>
      </c>
      <c r="D100" t="s">
        <v>77</v>
      </c>
      <c r="E100" t="s">
        <v>78</v>
      </c>
      <c r="F100" t="s">
        <v>79</v>
      </c>
      <c r="G100">
        <v>0</v>
      </c>
      <c r="H100">
        <v>2E+20</v>
      </c>
      <c r="I100">
        <v>0</v>
      </c>
      <c r="J100">
        <v>0</v>
      </c>
      <c r="K100">
        <v>0</v>
      </c>
      <c r="L100">
        <v>0</v>
      </c>
      <c r="M100" s="5" t="str">
        <f>ContinuousStatsTable[[#This Row],[ProjectName]]&amp;ContinuousStatsTable[[#This Row],[Name]]&amp;ContinuousStatsTable[[#This Row],[Type]]&amp;ContinuousStatsTable[[#This Row],[Source]]</f>
        <v>Unnamed Projectbatched_partsWIPEntity</v>
      </c>
      <c r="N100" s="5">
        <f t="array" ref="N100">MAX(IF((ProjectInfoTable[ProjectName]=ContinuousStatsTable[[#This Row],[ProjectName]]),(ProjectInfoTable[ProjectName]=ContinuousStatsTable[[#This Row],[ProjectName]])*ProjectInfoTable[NumberOfReplications]))</f>
        <v>15</v>
      </c>
      <c r="O100" s="5">
        <f t="array" ref="O100">IFERROR(AVERAGE(IF((ContinuousStatsTable[GroupByKey]=ContinuousStatsTable[[#This Row],[GroupByKey]]),(ContinuousStatsTable[GroupByKey]=ContinuousStatsTable[[#This Row],[GroupByKey]])*ContinuousStatsTable[Average])),0)</f>
        <v>0</v>
      </c>
      <c r="P100" s="5">
        <f t="array" ref="P100">IFERROR(_xlfn.STDEV.S(IF((ContinuousStatsTable[GroupByKey]=ContinuousStatsTable[[#This Row],[GroupByKey]]),(ContinuousStatsTable[GroupByKey]=ContinuousStatsTable[[#This Row],[GroupByKey]])*ContinuousStatsTable[Average])),0)</f>
        <v>0</v>
      </c>
      <c r="Q100" s="5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0" s="5">
        <f t="array" ref="S100">MIN(IF((ContinuousStatsTable[GroupByKey]=ContinuousStatsTable[[#This Row],[GroupByKey]]),(ContinuousStatsTable[GroupByKey]=ContinuousStatsTable[[#This Row],[GroupByKey]])*ContinuousStatsTable[Average]))</f>
        <v>0</v>
      </c>
      <c r="T100" s="5">
        <f t="array" ref="T100">MAX(IF((ContinuousStatsTable[GroupByKey]=ContinuousStatsTable[[#This Row],[GroupByKey]]),(ContinuousStatsTable[GroupByKey]=ContinuousStatsTable[[#This Row],[GroupByKey]])*ContinuousStatsTable[Average]))</f>
        <v>0</v>
      </c>
      <c r="U100" s="5">
        <f>IF((ContinuousStatsTable[[#This Row],[RepsRequested]]&gt;1),ContinuousStatsTable[[#This Row],[HalfWidth]],ContinuousStatsTable[[#This Row],[BatchMeansHalfWidth]])</f>
        <v>0</v>
      </c>
    </row>
    <row r="101" spans="1:21" x14ac:dyDescent="0.25">
      <c r="A101" t="s">
        <v>67</v>
      </c>
      <c r="B101" t="s">
        <v>70</v>
      </c>
      <c r="C101">
        <v>3</v>
      </c>
      <c r="D101" t="s">
        <v>80</v>
      </c>
      <c r="E101" t="s">
        <v>72</v>
      </c>
      <c r="F101" t="s">
        <v>73</v>
      </c>
      <c r="G101">
        <v>0</v>
      </c>
      <c r="H101">
        <v>2E+20</v>
      </c>
      <c r="I101">
        <v>0</v>
      </c>
      <c r="J101">
        <v>0</v>
      </c>
      <c r="K101">
        <v>0</v>
      </c>
      <c r="L101">
        <v>0</v>
      </c>
      <c r="M101" s="5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101" s="5">
        <f t="array" ref="N101">MAX(IF((ProjectInfoTable[ProjectName]=ContinuousStatsTable[[#This Row],[ProjectName]]),(ProjectInfoTable[ProjectName]=ContinuousStatsTable[[#This Row],[ProjectName]])*ProjectInfoTable[NumberOfReplications]))</f>
        <v>15</v>
      </c>
      <c r="O101" s="5">
        <f t="array" ref="O101">IFERROR(AVERAGE(IF((ContinuousStatsTable[GroupByKey]=ContinuousStatsTable[[#This Row],[GroupByKey]]),(ContinuousStatsTable[GroupByKey]=ContinuousStatsTable[[#This Row],[GroupByKey]])*ContinuousStatsTable[Average])),0)</f>
        <v>0</v>
      </c>
      <c r="P101" s="5">
        <f t="array" ref="P101">IFERROR(_xlfn.STDEV.S(IF((ContinuousStatsTable[GroupByKey]=ContinuousStatsTable[[#This Row],[GroupByKey]]),(ContinuousStatsTable[GroupByKey]=ContinuousStatsTable[[#This Row],[GroupByKey]])*ContinuousStatsTable[Average])),0)</f>
        <v>0</v>
      </c>
      <c r="Q101" s="5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1" s="5">
        <f t="array" ref="S101">MIN(IF((ContinuousStatsTable[GroupByKey]=ContinuousStatsTable[[#This Row],[GroupByKey]]),(ContinuousStatsTable[GroupByKey]=ContinuousStatsTable[[#This Row],[GroupByKey]])*ContinuousStatsTable[Average]))</f>
        <v>0</v>
      </c>
      <c r="T101" s="5">
        <f t="array" ref="T101">MAX(IF((ContinuousStatsTable[GroupByKey]=ContinuousStatsTable[[#This Row],[GroupByKey]]),(ContinuousStatsTable[GroupByKey]=ContinuousStatsTable[[#This Row],[GroupByKey]])*ContinuousStatsTable[Average]))</f>
        <v>0</v>
      </c>
      <c r="U101" s="5">
        <f>IF((ContinuousStatsTable[[#This Row],[RepsRequested]]&gt;1),ContinuousStatsTable[[#This Row],[HalfWidth]],ContinuousStatsTable[[#This Row],[BatchMeansHalfWidth]])</f>
        <v>0</v>
      </c>
    </row>
    <row r="102" spans="1:21" x14ac:dyDescent="0.25">
      <c r="A102" t="s">
        <v>67</v>
      </c>
      <c r="B102" t="s">
        <v>70</v>
      </c>
      <c r="C102">
        <v>3</v>
      </c>
      <c r="D102" t="s">
        <v>80</v>
      </c>
      <c r="E102" t="s">
        <v>74</v>
      </c>
      <c r="F102" t="s">
        <v>73</v>
      </c>
      <c r="G102">
        <v>0</v>
      </c>
      <c r="H102">
        <v>2E+20</v>
      </c>
      <c r="I102">
        <v>0</v>
      </c>
      <c r="J102">
        <v>0</v>
      </c>
      <c r="K102">
        <v>0</v>
      </c>
      <c r="L102">
        <v>0</v>
      </c>
      <c r="M102" s="5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102" s="5">
        <f t="array" ref="N102">MAX(IF((ProjectInfoTable[ProjectName]=ContinuousStatsTable[[#This Row],[ProjectName]]),(ProjectInfoTable[ProjectName]=ContinuousStatsTable[[#This Row],[ProjectName]])*ProjectInfoTable[NumberOfReplications]))</f>
        <v>15</v>
      </c>
      <c r="O102" s="5">
        <f t="array" ref="O102">IFERROR(AVERAGE(IF((ContinuousStatsTable[GroupByKey]=ContinuousStatsTable[[#This Row],[GroupByKey]]),(ContinuousStatsTable[GroupByKey]=ContinuousStatsTable[[#This Row],[GroupByKey]])*ContinuousStatsTable[Average])),0)</f>
        <v>0</v>
      </c>
      <c r="P102" s="5">
        <f t="array" ref="P102">IFERROR(_xlfn.STDEV.S(IF((ContinuousStatsTable[GroupByKey]=ContinuousStatsTable[[#This Row],[GroupByKey]]),(ContinuousStatsTable[GroupByKey]=ContinuousStatsTable[[#This Row],[GroupByKey]])*ContinuousStatsTable[Average])),0)</f>
        <v>0</v>
      </c>
      <c r="Q102" s="5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2" s="5">
        <f t="array" ref="S102">MIN(IF((ContinuousStatsTable[GroupByKey]=ContinuousStatsTable[[#This Row],[GroupByKey]]),(ContinuousStatsTable[GroupByKey]=ContinuousStatsTable[[#This Row],[GroupByKey]])*ContinuousStatsTable[Average]))</f>
        <v>0</v>
      </c>
      <c r="T102" s="5">
        <f t="array" ref="T102">MAX(IF((ContinuousStatsTable[GroupByKey]=ContinuousStatsTable[[#This Row],[GroupByKey]]),(ContinuousStatsTable[GroupByKey]=ContinuousStatsTable[[#This Row],[GroupByKey]])*ContinuousStatsTable[Average]))</f>
        <v>0</v>
      </c>
      <c r="U102" s="5">
        <f>IF((ContinuousStatsTable[[#This Row],[RepsRequested]]&gt;1),ContinuousStatsTable[[#This Row],[HalfWidth]],ContinuousStatsTable[[#This Row],[BatchMeansHalfWidth]])</f>
        <v>0</v>
      </c>
    </row>
    <row r="103" spans="1:21" x14ac:dyDescent="0.25">
      <c r="A103" t="s">
        <v>67</v>
      </c>
      <c r="B103" t="s">
        <v>70</v>
      </c>
      <c r="C103">
        <v>3</v>
      </c>
      <c r="D103" t="s">
        <v>80</v>
      </c>
      <c r="E103" t="s">
        <v>75</v>
      </c>
      <c r="F103" t="s">
        <v>73</v>
      </c>
      <c r="G103">
        <v>1.5834999999999999</v>
      </c>
      <c r="H103">
        <v>3E+20</v>
      </c>
      <c r="I103">
        <v>1</v>
      </c>
      <c r="J103">
        <v>2</v>
      </c>
      <c r="K103">
        <v>2</v>
      </c>
      <c r="L103">
        <v>0</v>
      </c>
      <c r="M103" s="5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103" s="5">
        <f t="array" ref="N103">MAX(IF((ProjectInfoTable[ProjectName]=ContinuousStatsTable[[#This Row],[ProjectName]]),(ProjectInfoTable[ProjectName]=ContinuousStatsTable[[#This Row],[ProjectName]])*ProjectInfoTable[NumberOfReplications]))</f>
        <v>15</v>
      </c>
      <c r="O103" s="5">
        <f t="array" ref="O103">IFERROR(AVERAGE(IF((ContinuousStatsTable[GroupByKey]=ContinuousStatsTable[[#This Row],[GroupByKey]]),(ContinuousStatsTable[GroupByKey]=ContinuousStatsTable[[#This Row],[GroupByKey]])*ContinuousStatsTable[Average])),0)</f>
        <v>1.5334471868881776</v>
      </c>
      <c r="P103" s="5">
        <f t="array" ref="P103">IFERROR(_xlfn.STDEV.S(IF((ContinuousStatsTable[GroupByKey]=ContinuousStatsTable[[#This Row],[GroupByKey]]),(ContinuousStatsTable[GroupByKey]=ContinuousStatsTable[[#This Row],[GroupByKey]])*ContinuousStatsTable[Average])),0)</f>
        <v>0.24154821158553658</v>
      </c>
      <c r="Q103" s="5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0.13376494097407529</v>
      </c>
      <c r="S103" s="5">
        <f t="array" ref="S103">MIN(IF((ContinuousStatsTable[GroupByKey]=ContinuousStatsTable[[#This Row],[GroupByKey]]),(ContinuousStatsTable[GroupByKey]=ContinuousStatsTable[[#This Row],[GroupByKey]])*ContinuousStatsTable[Average]))</f>
        <v>1</v>
      </c>
      <c r="T103" s="5">
        <f t="array" ref="T103">MAX(IF((ContinuousStatsTable[GroupByKey]=ContinuousStatsTable[[#This Row],[GroupByKey]]),(ContinuousStatsTable[GroupByKey]=ContinuousStatsTable[[#This Row],[GroupByKey]])*ContinuousStatsTable[Average]))</f>
        <v>2</v>
      </c>
      <c r="U103" s="5">
        <f>IF((ContinuousStatsTable[[#This Row],[RepsRequested]]&gt;1),ContinuousStatsTable[[#This Row],[HalfWidth]],ContinuousStatsTable[[#This Row],[BatchMeansHalfWidth]])</f>
        <v>0.13376494097407529</v>
      </c>
    </row>
    <row r="104" spans="1:21" x14ac:dyDescent="0.25">
      <c r="A104" t="s">
        <v>67</v>
      </c>
      <c r="B104" t="s">
        <v>70</v>
      </c>
      <c r="C104">
        <v>3</v>
      </c>
      <c r="D104" t="s">
        <v>81</v>
      </c>
      <c r="E104" t="s">
        <v>72</v>
      </c>
      <c r="F104" t="s">
        <v>73</v>
      </c>
      <c r="G104">
        <v>0</v>
      </c>
      <c r="H104">
        <v>2E+20</v>
      </c>
      <c r="I104">
        <v>0</v>
      </c>
      <c r="J104">
        <v>0</v>
      </c>
      <c r="K104">
        <v>0</v>
      </c>
      <c r="L104">
        <v>0</v>
      </c>
      <c r="M104" s="5" t="str">
        <f>ContinuousStatsTable[[#This Row],[ProjectName]]&amp;ContinuousStatsTable[[#This Row],[Name]]&amp;ContinuousStatsTable[[#This Row],[Type]]&amp;ContinuousStatsTable[[#This Row],[Source]]</f>
        <v>Unnamed ProjectcutterInstantaneous UtilizationResource</v>
      </c>
      <c r="N104" s="5">
        <f t="array" ref="N104">MAX(IF((ProjectInfoTable[ProjectName]=ContinuousStatsTable[[#This Row],[ProjectName]]),(ProjectInfoTable[ProjectName]=ContinuousStatsTable[[#This Row],[ProjectName]])*ProjectInfoTable[NumberOfReplications]))</f>
        <v>15</v>
      </c>
      <c r="O104" s="5">
        <f t="array" ref="O104">IFERROR(AVERAGE(IF((ContinuousStatsTable[GroupByKey]=ContinuousStatsTable[[#This Row],[GroupByKey]]),(ContinuousStatsTable[GroupByKey]=ContinuousStatsTable[[#This Row],[GroupByKey]])*ContinuousStatsTable[Average])),0)</f>
        <v>0</v>
      </c>
      <c r="P104" s="5">
        <f t="array" ref="P104">IFERROR(_xlfn.STDEV.S(IF((ContinuousStatsTable[GroupByKey]=ContinuousStatsTable[[#This Row],[GroupByKey]]),(ContinuousStatsTable[GroupByKey]=ContinuousStatsTable[[#This Row],[GroupByKey]])*ContinuousStatsTable[Average])),0)</f>
        <v>0</v>
      </c>
      <c r="Q104" s="5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4" s="5">
        <f t="array" ref="S104">MIN(IF((ContinuousStatsTable[GroupByKey]=ContinuousStatsTable[[#This Row],[GroupByKey]]),(ContinuousStatsTable[GroupByKey]=ContinuousStatsTable[[#This Row],[GroupByKey]])*ContinuousStatsTable[Average]))</f>
        <v>0</v>
      </c>
      <c r="T104" s="5">
        <f t="array" ref="T104">MAX(IF((ContinuousStatsTable[GroupByKey]=ContinuousStatsTable[[#This Row],[GroupByKey]]),(ContinuousStatsTable[GroupByKey]=ContinuousStatsTable[[#This Row],[GroupByKey]])*ContinuousStatsTable[Average]))</f>
        <v>0</v>
      </c>
      <c r="U104" s="5">
        <f>IF((ContinuousStatsTable[[#This Row],[RepsRequested]]&gt;1),ContinuousStatsTable[[#This Row],[HalfWidth]],ContinuousStatsTable[[#This Row],[BatchMeansHalfWidth]])</f>
        <v>0</v>
      </c>
    </row>
    <row r="105" spans="1:21" x14ac:dyDescent="0.25">
      <c r="A105" t="s">
        <v>67</v>
      </c>
      <c r="B105" t="s">
        <v>70</v>
      </c>
      <c r="C105">
        <v>3</v>
      </c>
      <c r="D105" t="s">
        <v>81</v>
      </c>
      <c r="E105" t="s">
        <v>74</v>
      </c>
      <c r="F105" t="s">
        <v>73</v>
      </c>
      <c r="G105">
        <v>0</v>
      </c>
      <c r="H105">
        <v>2E+20</v>
      </c>
      <c r="I105">
        <v>0</v>
      </c>
      <c r="J105">
        <v>0</v>
      </c>
      <c r="K105">
        <v>0</v>
      </c>
      <c r="L105">
        <v>0</v>
      </c>
      <c r="M105" s="5" t="str">
        <f>ContinuousStatsTable[[#This Row],[ProjectName]]&amp;ContinuousStatsTable[[#This Row],[Name]]&amp;ContinuousStatsTable[[#This Row],[Type]]&amp;ContinuousStatsTable[[#This Row],[Source]]</f>
        <v>Unnamed ProjectcutterNumber BusyResource</v>
      </c>
      <c r="N105" s="5">
        <f t="array" ref="N105">MAX(IF((ProjectInfoTable[ProjectName]=ContinuousStatsTable[[#This Row],[ProjectName]]),(ProjectInfoTable[ProjectName]=ContinuousStatsTable[[#This Row],[ProjectName]])*ProjectInfoTable[NumberOfReplications]))</f>
        <v>15</v>
      </c>
      <c r="O105" s="5">
        <f t="array" ref="O105">IFERROR(AVERAGE(IF((ContinuousStatsTable[GroupByKey]=ContinuousStatsTable[[#This Row],[GroupByKey]]),(ContinuousStatsTable[GroupByKey]=ContinuousStatsTable[[#This Row],[GroupByKey]])*ContinuousStatsTable[Average])),0)</f>
        <v>0</v>
      </c>
      <c r="P105" s="5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s="5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s="5">
        <f t="array" ref="S105">MIN(IF((ContinuousStatsTable[GroupByKey]=ContinuousStatsTable[[#This Row],[GroupByKey]]),(ContinuousStatsTable[GroupByKey]=ContinuousStatsTable[[#This Row],[GroupByKey]])*ContinuousStatsTable[Average]))</f>
        <v>0</v>
      </c>
      <c r="T105" s="5">
        <f t="array" ref="T105">MAX(IF((ContinuousStatsTable[GroupByKey]=ContinuousStatsTable[[#This Row],[GroupByKey]]),(ContinuousStatsTable[GroupByKey]=ContinuousStatsTable[[#This Row],[GroupByKey]])*ContinuousStatsTable[Average]))</f>
        <v>0</v>
      </c>
      <c r="U105" s="5">
        <f>IF((ContinuousStatsTable[[#This Row],[RepsRequested]]&gt;1),ContinuousStatsTable[[#This Row],[HalfWidth]],ContinuousStatsTable[[#This Row],[BatchMeansHalfWidth]])</f>
        <v>0</v>
      </c>
    </row>
    <row r="106" spans="1:21" x14ac:dyDescent="0.25">
      <c r="A106" t="s">
        <v>67</v>
      </c>
      <c r="B106" t="s">
        <v>70</v>
      </c>
      <c r="C106">
        <v>3</v>
      </c>
      <c r="D106" t="s">
        <v>81</v>
      </c>
      <c r="E106" t="s">
        <v>75</v>
      </c>
      <c r="F106" t="s">
        <v>73</v>
      </c>
      <c r="G106">
        <v>1.583375</v>
      </c>
      <c r="H106">
        <v>3E+20</v>
      </c>
      <c r="I106">
        <v>1</v>
      </c>
      <c r="J106">
        <v>2</v>
      </c>
      <c r="K106">
        <v>2</v>
      </c>
      <c r="L106">
        <v>0</v>
      </c>
      <c r="M106" s="5" t="str">
        <f>ContinuousStatsTable[[#This Row],[ProjectName]]&amp;ContinuousStatsTable[[#This Row],[Name]]&amp;ContinuousStatsTable[[#This Row],[Type]]&amp;ContinuousStatsTable[[#This Row],[Source]]</f>
        <v>Unnamed ProjectcutterNumber ScheduledResource</v>
      </c>
      <c r="N106" s="5">
        <f t="array" ref="N106">MAX(IF((ProjectInfoTable[ProjectName]=ContinuousStatsTable[[#This Row],[ProjectName]]),(ProjectInfoTable[ProjectName]=ContinuousStatsTable[[#This Row],[ProjectName]])*ProjectInfoTable[NumberOfReplications]))</f>
        <v>15</v>
      </c>
      <c r="O106" s="5">
        <f t="array" ref="O106">IFERROR(AVERAGE(IF((ContinuousStatsTable[GroupByKey]=ContinuousStatsTable[[#This Row],[GroupByKey]]),(ContinuousStatsTable[GroupByKey]=ContinuousStatsTable[[#This Row],[GroupByKey]])*ContinuousStatsTable[Average])),0)</f>
        <v>1.5332999999999999</v>
      </c>
      <c r="P106" s="5">
        <f t="array" ref="P106">IFERROR(_xlfn.STDEV.S(IF((ContinuousStatsTable[GroupByKey]=ContinuousStatsTable[[#This Row],[GroupByKey]]),(ContinuousStatsTable[GroupByKey]=ContinuousStatsTable[[#This Row],[GroupByKey]])*ContinuousStatsTable[Average])),0)</f>
        <v>0.24151556349584294</v>
      </c>
      <c r="Q106" s="5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0.1337468610646356</v>
      </c>
      <c r="S106" s="5">
        <f t="array" ref="S106">MIN(IF((ContinuousStatsTable[GroupByKey]=ContinuousStatsTable[[#This Row],[GroupByKey]]),(ContinuousStatsTable[GroupByKey]=ContinuousStatsTable[[#This Row],[GroupByKey]])*ContinuousStatsTable[Average]))</f>
        <v>1</v>
      </c>
      <c r="T106" s="5">
        <f t="array" ref="T106">MAX(IF((ContinuousStatsTable[GroupByKey]=ContinuousStatsTable[[#This Row],[GroupByKey]]),(ContinuousStatsTable[GroupByKey]=ContinuousStatsTable[[#This Row],[GroupByKey]])*ContinuousStatsTable[Average]))</f>
        <v>2</v>
      </c>
      <c r="U106" s="5">
        <f>IF((ContinuousStatsTable[[#This Row],[RepsRequested]]&gt;1),ContinuousStatsTable[[#This Row],[HalfWidth]],ContinuousStatsTable[[#This Row],[BatchMeansHalfWidth]])</f>
        <v>0.1337468610646356</v>
      </c>
    </row>
    <row r="107" spans="1:21" x14ac:dyDescent="0.25">
      <c r="A107" t="s">
        <v>67</v>
      </c>
      <c r="B107" t="s">
        <v>70</v>
      </c>
      <c r="C107">
        <v>3</v>
      </c>
      <c r="D107" t="s">
        <v>82</v>
      </c>
      <c r="E107" t="s">
        <v>72</v>
      </c>
      <c r="F107" t="s">
        <v>73</v>
      </c>
      <c r="G107">
        <v>0</v>
      </c>
      <c r="H107">
        <v>2E+20</v>
      </c>
      <c r="I107">
        <v>0</v>
      </c>
      <c r="J107">
        <v>0</v>
      </c>
      <c r="K107">
        <v>0</v>
      </c>
      <c r="L107">
        <v>0</v>
      </c>
      <c r="M107" s="5" t="str">
        <f>ContinuousStatsTable[[#This Row],[ProjectName]]&amp;ContinuousStatsTable[[#This Row],[Name]]&amp;ContinuousStatsTable[[#This Row],[Type]]&amp;ContinuousStatsTable[[#This Row],[Source]]</f>
        <v>Unnamed ProjectfinalqcmanInstantaneous UtilizationResource</v>
      </c>
      <c r="N107" s="5">
        <f t="array" ref="N107">MAX(IF((ProjectInfoTable[ProjectName]=ContinuousStatsTable[[#This Row],[ProjectName]]),(ProjectInfoTable[ProjectName]=ContinuousStatsTable[[#This Row],[ProjectName]])*ProjectInfoTable[NumberOfReplications]))</f>
        <v>15</v>
      </c>
      <c r="O107" s="5">
        <f t="array" ref="O107">IFERROR(AVERAGE(IF((ContinuousStatsTable[GroupByKey]=ContinuousStatsTable[[#This Row],[GroupByKey]]),(ContinuousStatsTable[GroupByKey]=ContinuousStatsTable[[#This Row],[GroupByKey]])*ContinuousStatsTable[Average])),0)</f>
        <v>0</v>
      </c>
      <c r="P107" s="5">
        <f t="array" ref="P107">IFERROR(_xlfn.STDEV.S(IF((ContinuousStatsTable[GroupByKey]=ContinuousStatsTable[[#This Row],[GroupByKey]]),(ContinuousStatsTable[GroupByKey]=ContinuousStatsTable[[#This Row],[GroupByKey]])*ContinuousStatsTable[Average])),0)</f>
        <v>0</v>
      </c>
      <c r="Q107" s="5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7" s="5">
        <f t="array" ref="S107">MIN(IF((ContinuousStatsTable[GroupByKey]=ContinuousStatsTable[[#This Row],[GroupByKey]]),(ContinuousStatsTable[GroupByKey]=ContinuousStatsTable[[#This Row],[GroupByKey]])*ContinuousStatsTable[Average]))</f>
        <v>0</v>
      </c>
      <c r="T107" s="5">
        <f t="array" ref="T107">MAX(IF((ContinuousStatsTable[GroupByKey]=ContinuousStatsTable[[#This Row],[GroupByKey]]),(ContinuousStatsTable[GroupByKey]=ContinuousStatsTable[[#This Row],[GroupByKey]])*ContinuousStatsTable[Average]))</f>
        <v>0</v>
      </c>
      <c r="U107" s="5">
        <f>IF((ContinuousStatsTable[[#This Row],[RepsRequested]]&gt;1),ContinuousStatsTable[[#This Row],[HalfWidth]],ContinuousStatsTable[[#This Row],[BatchMeansHalfWidth]])</f>
        <v>0</v>
      </c>
    </row>
    <row r="108" spans="1:21" x14ac:dyDescent="0.25">
      <c r="A108" t="s">
        <v>67</v>
      </c>
      <c r="B108" t="s">
        <v>70</v>
      </c>
      <c r="C108">
        <v>3</v>
      </c>
      <c r="D108" t="s">
        <v>82</v>
      </c>
      <c r="E108" t="s">
        <v>74</v>
      </c>
      <c r="F108" t="s">
        <v>73</v>
      </c>
      <c r="G108">
        <v>0</v>
      </c>
      <c r="H108">
        <v>2E+20</v>
      </c>
      <c r="I108">
        <v>0</v>
      </c>
      <c r="J108">
        <v>0</v>
      </c>
      <c r="K108">
        <v>0</v>
      </c>
      <c r="L108">
        <v>0</v>
      </c>
      <c r="M108" s="5" t="str">
        <f>ContinuousStatsTable[[#This Row],[ProjectName]]&amp;ContinuousStatsTable[[#This Row],[Name]]&amp;ContinuousStatsTable[[#This Row],[Type]]&amp;ContinuousStatsTable[[#This Row],[Source]]</f>
        <v>Unnamed ProjectfinalqcmanNumber BusyResource</v>
      </c>
      <c r="N108" s="5">
        <f t="array" ref="N108">MAX(IF((ProjectInfoTable[ProjectName]=ContinuousStatsTable[[#This Row],[ProjectName]]),(ProjectInfoTable[ProjectName]=ContinuousStatsTable[[#This Row],[ProjectName]])*ProjectInfoTable[NumberOfReplications]))</f>
        <v>15</v>
      </c>
      <c r="O108" s="5">
        <f t="array" ref="O108">IFERROR(AVERAGE(IF((ContinuousStatsTable[GroupByKey]=ContinuousStatsTable[[#This Row],[GroupByKey]]),(ContinuousStatsTable[GroupByKey]=ContinuousStatsTable[[#This Row],[GroupByKey]])*ContinuousStatsTable[Average])),0)</f>
        <v>0</v>
      </c>
      <c r="P108" s="5">
        <f t="array" ref="P108">IFERROR(_xlfn.STDEV.S(IF((ContinuousStatsTable[GroupByKey]=ContinuousStatsTable[[#This Row],[GroupByKey]]),(ContinuousStatsTable[GroupByKey]=ContinuousStatsTable[[#This Row],[GroupByKey]])*ContinuousStatsTable[Average])),0)</f>
        <v>0</v>
      </c>
      <c r="Q108" s="5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8" s="5">
        <f t="array" ref="S108">MIN(IF((ContinuousStatsTable[GroupByKey]=ContinuousStatsTable[[#This Row],[GroupByKey]]),(ContinuousStatsTable[GroupByKey]=ContinuousStatsTable[[#This Row],[GroupByKey]])*ContinuousStatsTable[Average]))</f>
        <v>0</v>
      </c>
      <c r="T108" s="5">
        <f t="array" ref="T108">MAX(IF((ContinuousStatsTable[GroupByKey]=ContinuousStatsTable[[#This Row],[GroupByKey]]),(ContinuousStatsTable[GroupByKey]=ContinuousStatsTable[[#This Row],[GroupByKey]])*ContinuousStatsTable[Average]))</f>
        <v>0</v>
      </c>
      <c r="U108" s="5">
        <f>IF((ContinuousStatsTable[[#This Row],[RepsRequested]]&gt;1),ContinuousStatsTable[[#This Row],[HalfWidth]],ContinuousStatsTable[[#This Row],[BatchMeansHalfWidth]])</f>
        <v>0</v>
      </c>
    </row>
    <row r="109" spans="1:21" x14ac:dyDescent="0.25">
      <c r="A109" t="s">
        <v>67</v>
      </c>
      <c r="B109" t="s">
        <v>70</v>
      </c>
      <c r="C109">
        <v>3</v>
      </c>
      <c r="D109" t="s">
        <v>82</v>
      </c>
      <c r="E109" t="s">
        <v>75</v>
      </c>
      <c r="F109" t="s">
        <v>73</v>
      </c>
      <c r="G109">
        <v>1.58342975055735</v>
      </c>
      <c r="H109">
        <v>3E+20</v>
      </c>
      <c r="I109">
        <v>1</v>
      </c>
      <c r="J109">
        <v>2</v>
      </c>
      <c r="K109">
        <v>2</v>
      </c>
      <c r="L109">
        <v>0</v>
      </c>
      <c r="M109" s="5" t="str">
        <f>ContinuousStatsTable[[#This Row],[ProjectName]]&amp;ContinuousStatsTable[[#This Row],[Name]]&amp;ContinuousStatsTable[[#This Row],[Type]]&amp;ContinuousStatsTable[[#This Row],[Source]]</f>
        <v>Unnamed ProjectfinalqcmanNumber ScheduledResource</v>
      </c>
      <c r="N109" s="5">
        <f t="array" ref="N109">MAX(IF((ProjectInfoTable[ProjectName]=ContinuousStatsTable[[#This Row],[ProjectName]]),(ProjectInfoTable[ProjectName]=ContinuousStatsTable[[#This Row],[ProjectName]])*ProjectInfoTable[NumberOfReplications]))</f>
        <v>15</v>
      </c>
      <c r="O109" s="5">
        <f t="array" ref="O109">IFERROR(AVERAGE(IF((ContinuousStatsTable[GroupByKey]=ContinuousStatsTable[[#This Row],[GroupByKey]]),(ContinuousStatsTable[GroupByKey]=ContinuousStatsTable[[#This Row],[GroupByKey]])*ContinuousStatsTable[Average])),0)</f>
        <v>1.5334510661643974</v>
      </c>
      <c r="P109" s="5">
        <f t="array" ref="P109">IFERROR(_xlfn.STDEV.S(IF((ContinuousStatsTable[GroupByKey]=ContinuousStatsTable[[#This Row],[GroupByKey]]),(ContinuousStatsTable[GroupByKey]=ContinuousStatsTable[[#This Row],[GroupByKey]])*ContinuousStatsTable[Average])),0)</f>
        <v>0.24154906725932371</v>
      </c>
      <c r="Q109" s="5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0.13376541483042423</v>
      </c>
      <c r="S109" s="5">
        <f t="array" ref="S109">MIN(IF((ContinuousStatsTable[GroupByKey]=ContinuousStatsTable[[#This Row],[GroupByKey]]),(ContinuousStatsTable[GroupByKey]=ContinuousStatsTable[[#This Row],[GroupByKey]])*ContinuousStatsTable[Average]))</f>
        <v>1</v>
      </c>
      <c r="T109" s="5">
        <f t="array" ref="T109">MAX(IF((ContinuousStatsTable[GroupByKey]=ContinuousStatsTable[[#This Row],[GroupByKey]]),(ContinuousStatsTable[GroupByKey]=ContinuousStatsTable[[#This Row],[GroupByKey]])*ContinuousStatsTable[Average]))</f>
        <v>2</v>
      </c>
      <c r="U109" s="5">
        <f>IF((ContinuousStatsTable[[#This Row],[RepsRequested]]&gt;1),ContinuousStatsTable[[#This Row],[HalfWidth]],ContinuousStatsTable[[#This Row],[BatchMeansHalfWidth]])</f>
        <v>0.13376541483042423</v>
      </c>
    </row>
    <row r="110" spans="1:21" x14ac:dyDescent="0.25">
      <c r="A110" t="s">
        <v>67</v>
      </c>
      <c r="B110" t="s">
        <v>70</v>
      </c>
      <c r="C110">
        <v>3</v>
      </c>
      <c r="D110" t="s">
        <v>83</v>
      </c>
      <c r="E110" t="s">
        <v>84</v>
      </c>
      <c r="F110" t="s">
        <v>85</v>
      </c>
      <c r="G110">
        <v>0</v>
      </c>
      <c r="H110">
        <v>2E+20</v>
      </c>
      <c r="I110">
        <v>0</v>
      </c>
      <c r="J110">
        <v>0</v>
      </c>
      <c r="K110">
        <v>0</v>
      </c>
      <c r="L110">
        <v>0</v>
      </c>
      <c r="M110" s="5" t="str">
        <f>ContinuousStatsTable[[#This Row],[ProjectName]]&amp;ContinuousStatsTable[[#This Row],[Name]]&amp;ContinuousStatsTable[[#This Row],[Type]]&amp;ContinuousStatsTable[[#This Row],[Source]]</f>
        <v>Unnamed Projectinspectorseize.QueueNumber WaitingQueue</v>
      </c>
      <c r="N110" s="5">
        <f t="array" ref="N110">MAX(IF((ProjectInfoTable[ProjectName]=ContinuousStatsTable[[#This Row],[ProjectName]]),(ProjectInfoTable[ProjectName]=ContinuousStatsTable[[#This Row],[ProjectName]])*ProjectInfoTable[NumberOfReplications]))</f>
        <v>15</v>
      </c>
      <c r="O110" s="5">
        <f t="array" ref="O110">IFERROR(AVERAGE(IF((ContinuousStatsTable[GroupByKey]=ContinuousStatsTable[[#This Row],[GroupByKey]]),(ContinuousStatsTable[GroupByKey]=ContinuousStatsTable[[#This Row],[GroupByKey]])*ContinuousStatsTable[Average])),0)</f>
        <v>0</v>
      </c>
      <c r="P110" s="5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s="5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s="5">
        <f t="array" ref="S110">MIN(IF((ContinuousStatsTable[GroupByKey]=ContinuousStatsTable[[#This Row],[GroupByKey]]),(ContinuousStatsTable[GroupByKey]=ContinuousStatsTable[[#This Row],[GroupByKey]])*ContinuousStatsTable[Average]))</f>
        <v>0</v>
      </c>
      <c r="T110" s="5">
        <f t="array" ref="T110">MAX(IF((ContinuousStatsTable[GroupByKey]=ContinuousStatsTable[[#This Row],[GroupByKey]]),(ContinuousStatsTable[GroupByKey]=ContinuousStatsTable[[#This Row],[GroupByKey]])*ContinuousStatsTable[Average]))</f>
        <v>0</v>
      </c>
      <c r="U110" s="5">
        <f>IF((ContinuousStatsTable[[#This Row],[RepsRequested]]&gt;1),ContinuousStatsTable[[#This Row],[HalfWidth]],ContinuousStatsTable[[#This Row],[BatchMeansHalfWidth]])</f>
        <v>0</v>
      </c>
    </row>
    <row r="111" spans="1:21" x14ac:dyDescent="0.25">
      <c r="A111" t="s">
        <v>67</v>
      </c>
      <c r="B111" t="s">
        <v>70</v>
      </c>
      <c r="C111">
        <v>3</v>
      </c>
      <c r="D111" t="s">
        <v>86</v>
      </c>
      <c r="E111" t="s">
        <v>84</v>
      </c>
      <c r="F111" t="s">
        <v>85</v>
      </c>
      <c r="G111">
        <v>12</v>
      </c>
      <c r="H111">
        <v>2E+20</v>
      </c>
      <c r="I111">
        <v>12</v>
      </c>
      <c r="J111">
        <v>12</v>
      </c>
      <c r="K111">
        <v>12</v>
      </c>
      <c r="L111">
        <v>0</v>
      </c>
      <c r="M111" s="5" t="str">
        <f>ContinuousStatsTable[[#This Row],[ProjectName]]&amp;ContinuousStatsTable[[#This Row],[Name]]&amp;ContinuousStatsTable[[#This Row],[Type]]&amp;ContinuousStatsTable[[#This Row],[Source]]</f>
        <v>Unnamed Projectmatch_truckcombo.Queue1Number WaitingQueue</v>
      </c>
      <c r="N111" s="5">
        <f t="array" ref="N111">MAX(IF((ProjectInfoTable[ProjectName]=ContinuousStatsTable[[#This Row],[ProjectName]]),(ProjectInfoTable[ProjectName]=ContinuousStatsTable[[#This Row],[ProjectName]])*ProjectInfoTable[NumberOfReplications]))</f>
        <v>15</v>
      </c>
      <c r="O111" s="5">
        <f t="array" ref="O111">IFERROR(AVERAGE(IF((ContinuousStatsTable[GroupByKey]=ContinuousStatsTable[[#This Row],[GroupByKey]]),(ContinuousStatsTable[GroupByKey]=ContinuousStatsTable[[#This Row],[GroupByKey]])*ContinuousStatsTable[Average])),0)</f>
        <v>3.3333333333333335</v>
      </c>
      <c r="P111" s="5">
        <f t="array" ref="P111">IFERROR(_xlfn.STDEV.S(IF((ContinuousStatsTable[GroupByKey]=ContinuousStatsTable[[#This Row],[GroupByKey]]),(ContinuousStatsTable[GroupByKey]=ContinuousStatsTable[[#This Row],[GroupByKey]])*ContinuousStatsTable[Average])),0)</f>
        <v>4.577377082170635</v>
      </c>
      <c r="Q111" s="5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2.5348669368881507</v>
      </c>
      <c r="S111" s="5">
        <f t="array" ref="S111">MIN(IF((ContinuousStatsTable[GroupByKey]=ContinuousStatsTable[[#This Row],[GroupByKey]]),(ContinuousStatsTable[GroupByKey]=ContinuousStatsTable[[#This Row],[GroupByKey]])*ContinuousStatsTable[Average]))</f>
        <v>0</v>
      </c>
      <c r="T111" s="5">
        <f t="array" ref="T111">MAX(IF((ContinuousStatsTable[GroupByKey]=ContinuousStatsTable[[#This Row],[GroupByKey]]),(ContinuousStatsTable[GroupByKey]=ContinuousStatsTable[[#This Row],[GroupByKey]])*ContinuousStatsTable[Average]))</f>
        <v>12</v>
      </c>
      <c r="U111" s="5">
        <f>IF((ContinuousStatsTable[[#This Row],[RepsRequested]]&gt;1),ContinuousStatsTable[[#This Row],[HalfWidth]],ContinuousStatsTable[[#This Row],[BatchMeansHalfWidth]])</f>
        <v>2.5348669368881507</v>
      </c>
    </row>
    <row r="112" spans="1:21" x14ac:dyDescent="0.25">
      <c r="A112" t="s">
        <v>67</v>
      </c>
      <c r="B112" t="s">
        <v>70</v>
      </c>
      <c r="C112">
        <v>3</v>
      </c>
      <c r="D112" t="s">
        <v>87</v>
      </c>
      <c r="E112" t="s">
        <v>84</v>
      </c>
      <c r="F112" t="s">
        <v>85</v>
      </c>
      <c r="G112">
        <v>0</v>
      </c>
      <c r="H112">
        <v>2E+20</v>
      </c>
      <c r="I112">
        <v>0</v>
      </c>
      <c r="J112">
        <v>0</v>
      </c>
      <c r="K112">
        <v>0</v>
      </c>
      <c r="L112">
        <v>0</v>
      </c>
      <c r="M112" s="5" t="str">
        <f>ContinuousStatsTable[[#This Row],[ProjectName]]&amp;ContinuousStatsTable[[#This Row],[Name]]&amp;ContinuousStatsTable[[#This Row],[Type]]&amp;ContinuousStatsTable[[#This Row],[Source]]</f>
        <v>Unnamed Projectmatch_truckcombo.Queue2Number WaitingQueue</v>
      </c>
      <c r="N112" s="5">
        <f t="array" ref="N112">MAX(IF((ProjectInfoTable[ProjectName]=ContinuousStatsTable[[#This Row],[ProjectName]]),(ProjectInfoTable[ProjectName]=ContinuousStatsTable[[#This Row],[ProjectName]])*ProjectInfoTable[NumberOfReplications]))</f>
        <v>15</v>
      </c>
      <c r="O112" s="5">
        <f t="array" ref="O112">IFERROR(AVERAGE(IF((ContinuousStatsTable[GroupByKey]=ContinuousStatsTable[[#This Row],[GroupByKey]]),(ContinuousStatsTable[GroupByKey]=ContinuousStatsTable[[#This Row],[GroupByKey]])*ContinuousStatsTable[Average])),0)</f>
        <v>2.8</v>
      </c>
      <c r="P112" s="5">
        <f t="array" ref="P112">IFERROR(_xlfn.STDEV.S(IF((ContinuousStatsTable[GroupByKey]=ContinuousStatsTable[[#This Row],[GroupByKey]]),(ContinuousStatsTable[GroupByKey]=ContinuousStatsTable[[#This Row],[GroupByKey]])*ContinuousStatsTable[Average])),0)</f>
        <v>5.226307081896902</v>
      </c>
      <c r="Q112" s="5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2.8942323925042523</v>
      </c>
      <c r="S112" s="5">
        <f t="array" ref="S112">MIN(IF((ContinuousStatsTable[GroupByKey]=ContinuousStatsTable[[#This Row],[GroupByKey]]),(ContinuousStatsTable[GroupByKey]=ContinuousStatsTable[[#This Row],[GroupByKey]])*ContinuousStatsTable[Average]))</f>
        <v>0</v>
      </c>
      <c r="T112" s="5">
        <f t="array" ref="T112">MAX(IF((ContinuousStatsTable[GroupByKey]=ContinuousStatsTable[[#This Row],[GroupByKey]]),(ContinuousStatsTable[GroupByKey]=ContinuousStatsTable[[#This Row],[GroupByKey]])*ContinuousStatsTable[Average]))</f>
        <v>16</v>
      </c>
      <c r="U112" s="5">
        <f>IF((ContinuousStatsTable[[#This Row],[RepsRequested]]&gt;1),ContinuousStatsTable[[#This Row],[HalfWidth]],ContinuousStatsTable[[#This Row],[BatchMeansHalfWidth]])</f>
        <v>2.8942323925042523</v>
      </c>
    </row>
    <row r="113" spans="1:21" x14ac:dyDescent="0.25">
      <c r="A113" t="s">
        <v>67</v>
      </c>
      <c r="B113" t="s">
        <v>70</v>
      </c>
      <c r="C113">
        <v>3</v>
      </c>
      <c r="D113" t="s">
        <v>88</v>
      </c>
      <c r="E113" t="s">
        <v>72</v>
      </c>
      <c r="F113" t="s">
        <v>73</v>
      </c>
      <c r="G113">
        <v>0</v>
      </c>
      <c r="H113">
        <v>2E+20</v>
      </c>
      <c r="I113">
        <v>0</v>
      </c>
      <c r="J113">
        <v>0</v>
      </c>
      <c r="K113">
        <v>0</v>
      </c>
      <c r="L113">
        <v>0</v>
      </c>
      <c r="M113" s="5" t="str">
        <f>ContinuousStatsTable[[#This Row],[ProjectName]]&amp;ContinuousStatsTable[[#This Row],[Name]]&amp;ContinuousStatsTable[[#This Row],[Type]]&amp;ContinuousStatsTable[[#This Row],[Source]]</f>
        <v>Unnamed ProjectpaintingmachineInstantaneous UtilizationResource</v>
      </c>
      <c r="N113" s="5">
        <f t="array" ref="N113">MAX(IF((ProjectInfoTable[ProjectName]=ContinuousStatsTable[[#This Row],[ProjectName]]),(ProjectInfoTable[ProjectName]=ContinuousStatsTable[[#This Row],[ProjectName]])*ProjectInfoTable[NumberOfReplications]))</f>
        <v>15</v>
      </c>
      <c r="O113" s="5">
        <f t="array" ref="O113">IFERROR(AVERAGE(IF((ContinuousStatsTable[GroupByKey]=ContinuousStatsTable[[#This Row],[GroupByKey]]),(ContinuousStatsTable[GroupByKey]=ContinuousStatsTable[[#This Row],[GroupByKey]])*ContinuousStatsTable[Average])),0)</f>
        <v>0</v>
      </c>
      <c r="P113" s="5">
        <f t="array" ref="P113">IFERROR(_xlfn.STDEV.S(IF((ContinuousStatsTable[GroupByKey]=ContinuousStatsTable[[#This Row],[GroupByKey]]),(ContinuousStatsTable[GroupByKey]=ContinuousStatsTable[[#This Row],[GroupByKey]])*ContinuousStatsTable[Average])),0)</f>
        <v>0</v>
      </c>
      <c r="Q113" s="5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3" s="5">
        <f t="array" ref="S113">MIN(IF((ContinuousStatsTable[GroupByKey]=ContinuousStatsTable[[#This Row],[GroupByKey]]),(ContinuousStatsTable[GroupByKey]=ContinuousStatsTable[[#This Row],[GroupByKey]])*ContinuousStatsTable[Average]))</f>
        <v>0</v>
      </c>
      <c r="T113" s="5">
        <f t="array" ref="T113">MAX(IF((ContinuousStatsTable[GroupByKey]=ContinuousStatsTable[[#This Row],[GroupByKey]]),(ContinuousStatsTable[GroupByKey]=ContinuousStatsTable[[#This Row],[GroupByKey]])*ContinuousStatsTable[Average]))</f>
        <v>0</v>
      </c>
      <c r="U113" s="5">
        <f>IF((ContinuousStatsTable[[#This Row],[RepsRequested]]&gt;1),ContinuousStatsTable[[#This Row],[HalfWidth]],ContinuousStatsTable[[#This Row],[BatchMeansHalfWidth]])</f>
        <v>0</v>
      </c>
    </row>
    <row r="114" spans="1:21" x14ac:dyDescent="0.25">
      <c r="A114" t="s">
        <v>67</v>
      </c>
      <c r="B114" t="s">
        <v>70</v>
      </c>
      <c r="C114">
        <v>3</v>
      </c>
      <c r="D114" t="s">
        <v>88</v>
      </c>
      <c r="E114" t="s">
        <v>74</v>
      </c>
      <c r="F114" t="s">
        <v>73</v>
      </c>
      <c r="G114">
        <v>0</v>
      </c>
      <c r="H114">
        <v>2E+20</v>
      </c>
      <c r="I114">
        <v>0</v>
      </c>
      <c r="J114">
        <v>0</v>
      </c>
      <c r="K114">
        <v>0</v>
      </c>
      <c r="L114">
        <v>0</v>
      </c>
      <c r="M114" s="5" t="str">
        <f>ContinuousStatsTable[[#This Row],[ProjectName]]&amp;ContinuousStatsTable[[#This Row],[Name]]&amp;ContinuousStatsTable[[#This Row],[Type]]&amp;ContinuousStatsTable[[#This Row],[Source]]</f>
        <v>Unnamed ProjectpaintingmachineNumber BusyResource</v>
      </c>
      <c r="N114" s="5">
        <f t="array" ref="N114">MAX(IF((ProjectInfoTable[ProjectName]=ContinuousStatsTable[[#This Row],[ProjectName]]),(ProjectInfoTable[ProjectName]=ContinuousStatsTable[[#This Row],[ProjectName]])*ProjectInfoTable[NumberOfReplications]))</f>
        <v>15</v>
      </c>
      <c r="O114" s="5">
        <f t="array" ref="O114">IFERROR(AVERAGE(IF((ContinuousStatsTable[GroupByKey]=ContinuousStatsTable[[#This Row],[GroupByKey]]),(ContinuousStatsTable[GroupByKey]=ContinuousStatsTable[[#This Row],[GroupByKey]])*ContinuousStatsTable[Average])),0)</f>
        <v>0</v>
      </c>
      <c r="P114" s="5">
        <f t="array" ref="P114">IFERROR(_xlfn.STDEV.S(IF((ContinuousStatsTable[GroupByKey]=ContinuousStatsTable[[#This Row],[GroupByKey]]),(ContinuousStatsTable[GroupByKey]=ContinuousStatsTable[[#This Row],[GroupByKey]])*ContinuousStatsTable[Average])),0)</f>
        <v>0</v>
      </c>
      <c r="Q114" s="5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4" s="5">
        <f t="array" ref="S114">MIN(IF((ContinuousStatsTable[GroupByKey]=ContinuousStatsTable[[#This Row],[GroupByKey]]),(ContinuousStatsTable[GroupByKey]=ContinuousStatsTable[[#This Row],[GroupByKey]])*ContinuousStatsTable[Average]))</f>
        <v>0</v>
      </c>
      <c r="T114" s="5">
        <f t="array" ref="T114">MAX(IF((ContinuousStatsTable[GroupByKey]=ContinuousStatsTable[[#This Row],[GroupByKey]]),(ContinuousStatsTable[GroupByKey]=ContinuousStatsTable[[#This Row],[GroupByKey]])*ContinuousStatsTable[Average]))</f>
        <v>0</v>
      </c>
      <c r="U114" s="5">
        <f>IF((ContinuousStatsTable[[#This Row],[RepsRequested]]&gt;1),ContinuousStatsTable[[#This Row],[HalfWidth]],ContinuousStatsTable[[#This Row],[BatchMeansHalfWidth]])</f>
        <v>0</v>
      </c>
    </row>
    <row r="115" spans="1:21" x14ac:dyDescent="0.25">
      <c r="A115" t="s">
        <v>67</v>
      </c>
      <c r="B115" t="s">
        <v>70</v>
      </c>
      <c r="C115">
        <v>3</v>
      </c>
      <c r="D115" t="s">
        <v>88</v>
      </c>
      <c r="E115" t="s">
        <v>75</v>
      </c>
      <c r="F115" t="s">
        <v>73</v>
      </c>
      <c r="G115">
        <v>1</v>
      </c>
      <c r="H115">
        <v>2E+20</v>
      </c>
      <c r="I115">
        <v>1</v>
      </c>
      <c r="J115">
        <v>1</v>
      </c>
      <c r="K115">
        <v>1</v>
      </c>
      <c r="L115">
        <v>0</v>
      </c>
      <c r="M115" s="5" t="str">
        <f>ContinuousStatsTable[[#This Row],[ProjectName]]&amp;ContinuousStatsTable[[#This Row],[Name]]&amp;ContinuousStatsTable[[#This Row],[Type]]&amp;ContinuousStatsTable[[#This Row],[Source]]</f>
        <v>Unnamed ProjectpaintingmachineNumber ScheduledResource</v>
      </c>
      <c r="N115" s="5">
        <f t="array" ref="N115">MAX(IF((ProjectInfoTable[ProjectName]=ContinuousStatsTable[[#This Row],[ProjectName]]),(ProjectInfoTable[ProjectName]=ContinuousStatsTable[[#This Row],[ProjectName]])*ProjectInfoTable[NumberOfReplications]))</f>
        <v>15</v>
      </c>
      <c r="O115" s="5">
        <f t="array" ref="O115">IFERROR(AVERAGE(IF((ContinuousStatsTable[GroupByKey]=ContinuousStatsTable[[#This Row],[GroupByKey]]),(ContinuousStatsTable[GroupByKey]=ContinuousStatsTable[[#This Row],[GroupByKey]])*ContinuousStatsTable[Average])),0)</f>
        <v>1</v>
      </c>
      <c r="P115" s="5">
        <f t="array" ref="P115">IFERROR(_xlfn.STDEV.S(IF((ContinuousStatsTable[GroupByKey]=ContinuousStatsTable[[#This Row],[GroupByKey]]),(ContinuousStatsTable[GroupByKey]=ContinuousStatsTable[[#This Row],[GroupByKey]])*ContinuousStatsTable[Average])),0)</f>
        <v>0</v>
      </c>
      <c r="Q115" s="5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" s="5">
        <f t="array" ref="S115">MIN(IF((ContinuousStatsTable[GroupByKey]=ContinuousStatsTable[[#This Row],[GroupByKey]]),(ContinuousStatsTable[GroupByKey]=ContinuousStatsTable[[#This Row],[GroupByKey]])*ContinuousStatsTable[Average]))</f>
        <v>1</v>
      </c>
      <c r="T115" s="5">
        <f t="array" ref="T115">MAX(IF((ContinuousStatsTable[GroupByKey]=ContinuousStatsTable[[#This Row],[GroupByKey]]),(ContinuousStatsTable[GroupByKey]=ContinuousStatsTable[[#This Row],[GroupByKey]])*ContinuousStatsTable[Average]))</f>
        <v>1</v>
      </c>
      <c r="U115" s="5">
        <f>IF((ContinuousStatsTable[[#This Row],[RepsRequested]]&gt;1),ContinuousStatsTable[[#This Row],[HalfWidth]],ContinuousStatsTable[[#This Row],[BatchMeansHalfWidth]])</f>
        <v>0</v>
      </c>
    </row>
    <row r="116" spans="1:21" x14ac:dyDescent="0.25">
      <c r="A116" t="s">
        <v>67</v>
      </c>
      <c r="B116" t="s">
        <v>70</v>
      </c>
      <c r="C116">
        <v>3</v>
      </c>
      <c r="D116" t="s">
        <v>89</v>
      </c>
      <c r="E116" t="s">
        <v>72</v>
      </c>
      <c r="F116" t="s">
        <v>73</v>
      </c>
      <c r="G116">
        <v>0</v>
      </c>
      <c r="H116">
        <v>2E+20</v>
      </c>
      <c r="I116">
        <v>0</v>
      </c>
      <c r="J116">
        <v>0</v>
      </c>
      <c r="K116">
        <v>0</v>
      </c>
      <c r="L116">
        <v>0</v>
      </c>
      <c r="M116" s="5" t="str">
        <f>ContinuousStatsTable[[#This Row],[ProjectName]]&amp;ContinuousStatsTable[[#This Row],[Name]]&amp;ContinuousStatsTable[[#This Row],[Type]]&amp;ContinuousStatsTable[[#This Row],[Source]]</f>
        <v>Unnamed ProjectpaintingoperatorInstantaneous UtilizationResource</v>
      </c>
      <c r="N116" s="5">
        <f t="array" ref="N116">MAX(IF((ProjectInfoTable[ProjectName]=ContinuousStatsTable[[#This Row],[ProjectName]]),(ProjectInfoTable[ProjectName]=ContinuousStatsTable[[#This Row],[ProjectName]])*ProjectInfoTable[NumberOfReplications]))</f>
        <v>15</v>
      </c>
      <c r="O116" s="5">
        <f t="array" ref="O116">IFERROR(AVERAGE(IF((ContinuousStatsTable[GroupByKey]=ContinuousStatsTable[[#This Row],[GroupByKey]]),(ContinuousStatsTable[GroupByKey]=ContinuousStatsTable[[#This Row],[GroupByKey]])*ContinuousStatsTable[Average])),0)</f>
        <v>0</v>
      </c>
      <c r="P116" s="5">
        <f t="array" ref="P116">IFERROR(_xlfn.STDEV.S(IF((ContinuousStatsTable[GroupByKey]=ContinuousStatsTable[[#This Row],[GroupByKey]]),(ContinuousStatsTable[GroupByKey]=ContinuousStatsTable[[#This Row],[GroupByKey]])*ContinuousStatsTable[Average])),0)</f>
        <v>0</v>
      </c>
      <c r="Q116" s="5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6" s="5">
        <f t="array" ref="S116">MIN(IF((ContinuousStatsTable[GroupByKey]=ContinuousStatsTable[[#This Row],[GroupByKey]]),(ContinuousStatsTable[GroupByKey]=ContinuousStatsTable[[#This Row],[GroupByKey]])*ContinuousStatsTable[Average]))</f>
        <v>0</v>
      </c>
      <c r="T116" s="5">
        <f t="array" ref="T116">MAX(IF((ContinuousStatsTable[GroupByKey]=ContinuousStatsTable[[#This Row],[GroupByKey]]),(ContinuousStatsTable[GroupByKey]=ContinuousStatsTable[[#This Row],[GroupByKey]])*ContinuousStatsTable[Average]))</f>
        <v>0</v>
      </c>
      <c r="U116" s="5">
        <f>IF((ContinuousStatsTable[[#This Row],[RepsRequested]]&gt;1),ContinuousStatsTable[[#This Row],[HalfWidth]],ContinuousStatsTable[[#This Row],[BatchMeansHalfWidth]])</f>
        <v>0</v>
      </c>
    </row>
    <row r="117" spans="1:21" x14ac:dyDescent="0.25">
      <c r="A117" t="s">
        <v>67</v>
      </c>
      <c r="B117" t="s">
        <v>70</v>
      </c>
      <c r="C117">
        <v>3</v>
      </c>
      <c r="D117" t="s">
        <v>89</v>
      </c>
      <c r="E117" t="s">
        <v>74</v>
      </c>
      <c r="F117" t="s">
        <v>73</v>
      </c>
      <c r="G117">
        <v>0</v>
      </c>
      <c r="H117">
        <v>2E+20</v>
      </c>
      <c r="I117">
        <v>0</v>
      </c>
      <c r="J117">
        <v>0</v>
      </c>
      <c r="K117">
        <v>0</v>
      </c>
      <c r="L117">
        <v>0</v>
      </c>
      <c r="M117" s="5" t="str">
        <f>ContinuousStatsTable[[#This Row],[ProjectName]]&amp;ContinuousStatsTable[[#This Row],[Name]]&amp;ContinuousStatsTable[[#This Row],[Type]]&amp;ContinuousStatsTable[[#This Row],[Source]]</f>
        <v>Unnamed ProjectpaintingoperatorNumber BusyResource</v>
      </c>
      <c r="N117" s="5">
        <f t="array" ref="N117">MAX(IF((ProjectInfoTable[ProjectName]=ContinuousStatsTable[[#This Row],[ProjectName]]),(ProjectInfoTable[ProjectName]=ContinuousStatsTable[[#This Row],[ProjectName]])*ProjectInfoTable[NumberOfReplications]))</f>
        <v>15</v>
      </c>
      <c r="O117" s="5">
        <f t="array" ref="O117">IFERROR(AVERAGE(IF((ContinuousStatsTable[GroupByKey]=ContinuousStatsTable[[#This Row],[GroupByKey]]),(ContinuousStatsTable[GroupByKey]=ContinuousStatsTable[[#This Row],[GroupByKey]])*ContinuousStatsTable[Average])),0)</f>
        <v>0</v>
      </c>
      <c r="P117" s="5">
        <f t="array" ref="P117">IFERROR(_xlfn.STDEV.S(IF((ContinuousStatsTable[GroupByKey]=ContinuousStatsTable[[#This Row],[GroupByKey]]),(ContinuousStatsTable[GroupByKey]=ContinuousStatsTable[[#This Row],[GroupByKey]])*ContinuousStatsTable[Average])),0)</f>
        <v>0</v>
      </c>
      <c r="Q117" s="5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7" s="5">
        <f t="array" ref="S117">MIN(IF((ContinuousStatsTable[GroupByKey]=ContinuousStatsTable[[#This Row],[GroupByKey]]),(ContinuousStatsTable[GroupByKey]=ContinuousStatsTable[[#This Row],[GroupByKey]])*ContinuousStatsTable[Average]))</f>
        <v>0</v>
      </c>
      <c r="T117" s="5">
        <f t="array" ref="T117">MAX(IF((ContinuousStatsTable[GroupByKey]=ContinuousStatsTable[[#This Row],[GroupByKey]]),(ContinuousStatsTable[GroupByKey]=ContinuousStatsTable[[#This Row],[GroupByKey]])*ContinuousStatsTable[Average]))</f>
        <v>0</v>
      </c>
      <c r="U117" s="5">
        <f>IF((ContinuousStatsTable[[#This Row],[RepsRequested]]&gt;1),ContinuousStatsTable[[#This Row],[HalfWidth]],ContinuousStatsTable[[#This Row],[BatchMeansHalfWidth]])</f>
        <v>0</v>
      </c>
    </row>
    <row r="118" spans="1:21" x14ac:dyDescent="0.25">
      <c r="A118" t="s">
        <v>67</v>
      </c>
      <c r="B118" t="s">
        <v>70</v>
      </c>
      <c r="C118">
        <v>3</v>
      </c>
      <c r="D118" t="s">
        <v>89</v>
      </c>
      <c r="E118" t="s">
        <v>75</v>
      </c>
      <c r="F118" t="s">
        <v>73</v>
      </c>
      <c r="G118">
        <v>1.5834999999999999</v>
      </c>
      <c r="H118">
        <v>3E+20</v>
      </c>
      <c r="I118">
        <v>1</v>
      </c>
      <c r="J118">
        <v>2</v>
      </c>
      <c r="K118">
        <v>2</v>
      </c>
      <c r="L118">
        <v>0</v>
      </c>
      <c r="M118" s="5" t="str">
        <f>ContinuousStatsTable[[#This Row],[ProjectName]]&amp;ContinuousStatsTable[[#This Row],[Name]]&amp;ContinuousStatsTable[[#This Row],[Type]]&amp;ContinuousStatsTable[[#This Row],[Source]]</f>
        <v>Unnamed ProjectpaintingoperatorNumber ScheduledResource</v>
      </c>
      <c r="N118" s="5">
        <f t="array" ref="N118">MAX(IF((ProjectInfoTable[ProjectName]=ContinuousStatsTable[[#This Row],[ProjectName]]),(ProjectInfoTable[ProjectName]=ContinuousStatsTable[[#This Row],[ProjectName]])*ProjectInfoTable[NumberOfReplications]))</f>
        <v>15</v>
      </c>
      <c r="O118" s="5">
        <f t="array" ref="O118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118" s="5">
        <f t="array" ref="P118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118" s="5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118" s="5">
        <f t="array" ref="S118">MIN(IF((ContinuousStatsTable[GroupByKey]=ContinuousStatsTable[[#This Row],[GroupByKey]]),(ContinuousStatsTable[GroupByKey]=ContinuousStatsTable[[#This Row],[GroupByKey]])*ContinuousStatsTable[Average]))</f>
        <v>1</v>
      </c>
      <c r="T118" s="5">
        <f t="array" ref="T118">MAX(IF((ContinuousStatsTable[GroupByKey]=ContinuousStatsTable[[#This Row],[GroupByKey]]),(ContinuousStatsTable[GroupByKey]=ContinuousStatsTable[[#This Row],[GroupByKey]])*ContinuousStatsTable[Average]))</f>
        <v>2</v>
      </c>
      <c r="U118" s="5">
        <f>IF((ContinuousStatsTable[[#This Row],[RepsRequested]]&gt;1),ContinuousStatsTable[[#This Row],[HalfWidth]],ContinuousStatsTable[[#This Row],[BatchMeansHalfWidth]])</f>
        <v>0.13376733135491528</v>
      </c>
    </row>
    <row r="119" spans="1:21" x14ac:dyDescent="0.25">
      <c r="A119" t="s">
        <v>67</v>
      </c>
      <c r="B119" t="s">
        <v>70</v>
      </c>
      <c r="C119">
        <v>3</v>
      </c>
      <c r="D119" t="s">
        <v>90</v>
      </c>
      <c r="E119" t="s">
        <v>72</v>
      </c>
      <c r="F119" t="s">
        <v>73</v>
      </c>
      <c r="G119">
        <v>0</v>
      </c>
      <c r="H119">
        <v>2E+20</v>
      </c>
      <c r="I119">
        <v>0</v>
      </c>
      <c r="J119">
        <v>0</v>
      </c>
      <c r="K119">
        <v>0</v>
      </c>
      <c r="L119">
        <v>0</v>
      </c>
      <c r="M119" s="5" t="str">
        <f>ContinuousStatsTable[[#This Row],[ProjectName]]&amp;ContinuousStatsTable[[#This Row],[Name]]&amp;ContinuousStatsTable[[#This Row],[Type]]&amp;ContinuousStatsTable[[#This Row],[Source]]</f>
        <v>Unnamed ProjectsandblastmachineInstantaneous UtilizationResource</v>
      </c>
      <c r="N119" s="5">
        <f t="array" ref="N119">MAX(IF((ProjectInfoTable[ProjectName]=ContinuousStatsTable[[#This Row],[ProjectName]]),(ProjectInfoTable[ProjectName]=ContinuousStatsTable[[#This Row],[ProjectName]])*ProjectInfoTable[NumberOfReplications]))</f>
        <v>15</v>
      </c>
      <c r="O119" s="5">
        <f t="array" ref="O119">IFERROR(AVERAGE(IF((ContinuousStatsTable[GroupByKey]=ContinuousStatsTable[[#This Row],[GroupByKey]]),(ContinuousStatsTable[GroupByKey]=ContinuousStatsTable[[#This Row],[GroupByKey]])*ContinuousStatsTable[Average])),0)</f>
        <v>0</v>
      </c>
      <c r="P119" s="5">
        <f t="array" ref="P119">IFERROR(_xlfn.STDEV.S(IF((ContinuousStatsTable[GroupByKey]=ContinuousStatsTable[[#This Row],[GroupByKey]]),(ContinuousStatsTable[GroupByKey]=ContinuousStatsTable[[#This Row],[GroupByKey]])*ContinuousStatsTable[Average])),0)</f>
        <v>0</v>
      </c>
      <c r="Q119" s="5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9" s="5">
        <f t="array" ref="S119">MIN(IF((ContinuousStatsTable[GroupByKey]=ContinuousStatsTable[[#This Row],[GroupByKey]]),(ContinuousStatsTable[GroupByKey]=ContinuousStatsTable[[#This Row],[GroupByKey]])*ContinuousStatsTable[Average]))</f>
        <v>0</v>
      </c>
      <c r="T119" s="5">
        <f t="array" ref="T119">MAX(IF((ContinuousStatsTable[GroupByKey]=ContinuousStatsTable[[#This Row],[GroupByKey]]),(ContinuousStatsTable[GroupByKey]=ContinuousStatsTable[[#This Row],[GroupByKey]])*ContinuousStatsTable[Average]))</f>
        <v>0</v>
      </c>
      <c r="U119" s="5">
        <f>IF((ContinuousStatsTable[[#This Row],[RepsRequested]]&gt;1),ContinuousStatsTable[[#This Row],[HalfWidth]],ContinuousStatsTable[[#This Row],[BatchMeansHalfWidth]])</f>
        <v>0</v>
      </c>
    </row>
    <row r="120" spans="1:21" x14ac:dyDescent="0.25">
      <c r="A120" t="s">
        <v>67</v>
      </c>
      <c r="B120" t="s">
        <v>70</v>
      </c>
      <c r="C120">
        <v>3</v>
      </c>
      <c r="D120" t="s">
        <v>90</v>
      </c>
      <c r="E120" t="s">
        <v>74</v>
      </c>
      <c r="F120" t="s">
        <v>73</v>
      </c>
      <c r="G120">
        <v>0</v>
      </c>
      <c r="H120">
        <v>2E+20</v>
      </c>
      <c r="I120">
        <v>0</v>
      </c>
      <c r="J120">
        <v>0</v>
      </c>
      <c r="K120">
        <v>0</v>
      </c>
      <c r="L120">
        <v>0</v>
      </c>
      <c r="M120" s="5" t="str">
        <f>ContinuousStatsTable[[#This Row],[ProjectName]]&amp;ContinuousStatsTable[[#This Row],[Name]]&amp;ContinuousStatsTable[[#This Row],[Type]]&amp;ContinuousStatsTable[[#This Row],[Source]]</f>
        <v>Unnamed ProjectsandblastmachineNumber BusyResource</v>
      </c>
      <c r="N120" s="5">
        <f t="array" ref="N120">MAX(IF((ProjectInfoTable[ProjectName]=ContinuousStatsTable[[#This Row],[ProjectName]]),(ProjectInfoTable[ProjectName]=ContinuousStatsTable[[#This Row],[ProjectName]])*ProjectInfoTable[NumberOfReplications]))</f>
        <v>15</v>
      </c>
      <c r="O120" s="5">
        <f t="array" ref="O120">IFERROR(AVERAGE(IF((ContinuousStatsTable[GroupByKey]=ContinuousStatsTable[[#This Row],[GroupByKey]]),(ContinuousStatsTable[GroupByKey]=ContinuousStatsTable[[#This Row],[GroupByKey]])*ContinuousStatsTable[Average])),0)</f>
        <v>0</v>
      </c>
      <c r="P120" s="5">
        <f t="array" ref="P120">IFERROR(_xlfn.STDEV.S(IF((ContinuousStatsTable[GroupByKey]=ContinuousStatsTable[[#This Row],[GroupByKey]]),(ContinuousStatsTable[GroupByKey]=ContinuousStatsTable[[#This Row],[GroupByKey]])*ContinuousStatsTable[Average])),0)</f>
        <v>0</v>
      </c>
      <c r="Q120" s="5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" s="5">
        <f t="array" ref="S120">MIN(IF((ContinuousStatsTable[GroupByKey]=ContinuousStatsTable[[#This Row],[GroupByKey]]),(ContinuousStatsTable[GroupByKey]=ContinuousStatsTable[[#This Row],[GroupByKey]])*ContinuousStatsTable[Average]))</f>
        <v>0</v>
      </c>
      <c r="T120" s="5">
        <f t="array" ref="T120">MAX(IF((ContinuousStatsTable[GroupByKey]=ContinuousStatsTable[[#This Row],[GroupByKey]]),(ContinuousStatsTable[GroupByKey]=ContinuousStatsTable[[#This Row],[GroupByKey]])*ContinuousStatsTable[Average]))</f>
        <v>0</v>
      </c>
      <c r="U120" s="5">
        <f>IF((ContinuousStatsTable[[#This Row],[RepsRequested]]&gt;1),ContinuousStatsTable[[#This Row],[HalfWidth]],ContinuousStatsTable[[#This Row],[BatchMeansHalfWidth]])</f>
        <v>0</v>
      </c>
    </row>
    <row r="121" spans="1:21" x14ac:dyDescent="0.25">
      <c r="A121" t="s">
        <v>67</v>
      </c>
      <c r="B121" t="s">
        <v>70</v>
      </c>
      <c r="C121">
        <v>3</v>
      </c>
      <c r="D121" t="s">
        <v>90</v>
      </c>
      <c r="E121" t="s">
        <v>75</v>
      </c>
      <c r="F121" t="s">
        <v>73</v>
      </c>
      <c r="G121">
        <v>1</v>
      </c>
      <c r="H121">
        <v>2E+20</v>
      </c>
      <c r="I121">
        <v>1</v>
      </c>
      <c r="J121">
        <v>1</v>
      </c>
      <c r="K121">
        <v>1</v>
      </c>
      <c r="L121">
        <v>0</v>
      </c>
      <c r="M121" s="5" t="str">
        <f>ContinuousStatsTable[[#This Row],[ProjectName]]&amp;ContinuousStatsTable[[#This Row],[Name]]&amp;ContinuousStatsTable[[#This Row],[Type]]&amp;ContinuousStatsTable[[#This Row],[Source]]</f>
        <v>Unnamed ProjectsandblastmachineNumber ScheduledResource</v>
      </c>
      <c r="N121" s="5">
        <f t="array" ref="N121">MAX(IF((ProjectInfoTable[ProjectName]=ContinuousStatsTable[[#This Row],[ProjectName]]),(ProjectInfoTable[ProjectName]=ContinuousStatsTable[[#This Row],[ProjectName]])*ProjectInfoTable[NumberOfReplications]))</f>
        <v>15</v>
      </c>
      <c r="O121" s="5">
        <f t="array" ref="O121">IFERROR(AVERAGE(IF((ContinuousStatsTable[GroupByKey]=ContinuousStatsTable[[#This Row],[GroupByKey]]),(ContinuousStatsTable[GroupByKey]=ContinuousStatsTable[[#This Row],[GroupByKey]])*ContinuousStatsTable[Average])),0)</f>
        <v>1</v>
      </c>
      <c r="P121" s="5">
        <f t="array" ref="P121">IFERROR(_xlfn.STDEV.S(IF((ContinuousStatsTable[GroupByKey]=ContinuousStatsTable[[#This Row],[GroupByKey]]),(ContinuousStatsTable[GroupByKey]=ContinuousStatsTable[[#This Row],[GroupByKey]])*ContinuousStatsTable[Average])),0)</f>
        <v>0</v>
      </c>
      <c r="Q121" s="5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1" s="5">
        <f t="array" ref="S121">MIN(IF((ContinuousStatsTable[GroupByKey]=ContinuousStatsTable[[#This Row],[GroupByKey]]),(ContinuousStatsTable[GroupByKey]=ContinuousStatsTable[[#This Row],[GroupByKey]])*ContinuousStatsTable[Average]))</f>
        <v>1</v>
      </c>
      <c r="T121" s="5">
        <f t="array" ref="T121">MAX(IF((ContinuousStatsTable[GroupByKey]=ContinuousStatsTable[[#This Row],[GroupByKey]]),(ContinuousStatsTable[GroupByKey]=ContinuousStatsTable[[#This Row],[GroupByKey]])*ContinuousStatsTable[Average]))</f>
        <v>1</v>
      </c>
      <c r="U121" s="5">
        <f>IF((ContinuousStatsTable[[#This Row],[RepsRequested]]&gt;1),ContinuousStatsTable[[#This Row],[HalfWidth]],ContinuousStatsTable[[#This Row],[BatchMeansHalfWidth]])</f>
        <v>0</v>
      </c>
    </row>
    <row r="122" spans="1:21" x14ac:dyDescent="0.25">
      <c r="A122" t="s">
        <v>67</v>
      </c>
      <c r="B122" t="s">
        <v>70</v>
      </c>
      <c r="C122">
        <v>3</v>
      </c>
      <c r="D122" t="s">
        <v>91</v>
      </c>
      <c r="E122" t="s">
        <v>72</v>
      </c>
      <c r="F122" t="s">
        <v>73</v>
      </c>
      <c r="G122">
        <v>0</v>
      </c>
      <c r="H122">
        <v>2E+20</v>
      </c>
      <c r="I122">
        <v>0</v>
      </c>
      <c r="J122">
        <v>0</v>
      </c>
      <c r="K122">
        <v>0</v>
      </c>
      <c r="L122">
        <v>0</v>
      </c>
      <c r="M122" s="5" t="str">
        <f>ContinuousStatsTable[[#This Row],[ProjectName]]&amp;ContinuousStatsTable[[#This Row],[Name]]&amp;ContinuousStatsTable[[#This Row],[Type]]&amp;ContinuousStatsTable[[#This Row],[Source]]</f>
        <v>Unnamed ProjectsandblastoperatorInstantaneous UtilizationResource</v>
      </c>
      <c r="N122" s="5">
        <f t="array" ref="N122">MAX(IF((ProjectInfoTable[ProjectName]=ContinuousStatsTable[[#This Row],[ProjectName]]),(ProjectInfoTable[ProjectName]=ContinuousStatsTable[[#This Row],[ProjectName]])*ProjectInfoTable[NumberOfReplications]))</f>
        <v>15</v>
      </c>
      <c r="O122" s="5">
        <f t="array" ref="O122">IFERROR(AVERAGE(IF((ContinuousStatsTable[GroupByKey]=ContinuousStatsTable[[#This Row],[GroupByKey]]),(ContinuousStatsTable[GroupByKey]=ContinuousStatsTable[[#This Row],[GroupByKey]])*ContinuousStatsTable[Average])),0)</f>
        <v>0</v>
      </c>
      <c r="P122" s="5">
        <f t="array" ref="P122">IFERROR(_xlfn.STDEV.S(IF((ContinuousStatsTable[GroupByKey]=ContinuousStatsTable[[#This Row],[GroupByKey]]),(ContinuousStatsTable[GroupByKey]=ContinuousStatsTable[[#This Row],[GroupByKey]])*ContinuousStatsTable[Average])),0)</f>
        <v>0</v>
      </c>
      <c r="Q122" s="5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2" s="5">
        <f t="array" ref="S122">MIN(IF((ContinuousStatsTable[GroupByKey]=ContinuousStatsTable[[#This Row],[GroupByKey]]),(ContinuousStatsTable[GroupByKey]=ContinuousStatsTable[[#This Row],[GroupByKey]])*ContinuousStatsTable[Average]))</f>
        <v>0</v>
      </c>
      <c r="T122" s="5">
        <f t="array" ref="T122">MAX(IF((ContinuousStatsTable[GroupByKey]=ContinuousStatsTable[[#This Row],[GroupByKey]]),(ContinuousStatsTable[GroupByKey]=ContinuousStatsTable[[#This Row],[GroupByKey]])*ContinuousStatsTable[Average]))</f>
        <v>0</v>
      </c>
      <c r="U122" s="5">
        <f>IF((ContinuousStatsTable[[#This Row],[RepsRequested]]&gt;1),ContinuousStatsTable[[#This Row],[HalfWidth]],ContinuousStatsTable[[#This Row],[BatchMeansHalfWidth]])</f>
        <v>0</v>
      </c>
    </row>
    <row r="123" spans="1:21" x14ac:dyDescent="0.25">
      <c r="A123" t="s">
        <v>67</v>
      </c>
      <c r="B123" t="s">
        <v>70</v>
      </c>
      <c r="C123">
        <v>3</v>
      </c>
      <c r="D123" t="s">
        <v>91</v>
      </c>
      <c r="E123" t="s">
        <v>74</v>
      </c>
      <c r="F123" t="s">
        <v>73</v>
      </c>
      <c r="G123">
        <v>0</v>
      </c>
      <c r="H123">
        <v>2E+20</v>
      </c>
      <c r="I123">
        <v>0</v>
      </c>
      <c r="J123">
        <v>0</v>
      </c>
      <c r="K123">
        <v>0</v>
      </c>
      <c r="L123">
        <v>0</v>
      </c>
      <c r="M123" s="5" t="str">
        <f>ContinuousStatsTable[[#This Row],[ProjectName]]&amp;ContinuousStatsTable[[#This Row],[Name]]&amp;ContinuousStatsTable[[#This Row],[Type]]&amp;ContinuousStatsTable[[#This Row],[Source]]</f>
        <v>Unnamed ProjectsandblastoperatorNumber BusyResource</v>
      </c>
      <c r="N123" s="5">
        <f t="array" ref="N123">MAX(IF((ProjectInfoTable[ProjectName]=ContinuousStatsTable[[#This Row],[ProjectName]]),(ProjectInfoTable[ProjectName]=ContinuousStatsTable[[#This Row],[ProjectName]])*ProjectInfoTable[NumberOfReplications]))</f>
        <v>15</v>
      </c>
      <c r="O123" s="5">
        <f t="array" ref="O123">IFERROR(AVERAGE(IF((ContinuousStatsTable[GroupByKey]=ContinuousStatsTable[[#This Row],[GroupByKey]]),(ContinuousStatsTable[GroupByKey]=ContinuousStatsTable[[#This Row],[GroupByKey]])*ContinuousStatsTable[Average])),0)</f>
        <v>0</v>
      </c>
      <c r="P123" s="5">
        <f t="array" ref="P123">IFERROR(_xlfn.STDEV.S(IF((ContinuousStatsTable[GroupByKey]=ContinuousStatsTable[[#This Row],[GroupByKey]]),(ContinuousStatsTable[GroupByKey]=ContinuousStatsTable[[#This Row],[GroupByKey]])*ContinuousStatsTable[Average])),0)</f>
        <v>0</v>
      </c>
      <c r="Q123" s="5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3" s="5">
        <f t="array" ref="S123">MIN(IF((ContinuousStatsTable[GroupByKey]=ContinuousStatsTable[[#This Row],[GroupByKey]]),(ContinuousStatsTable[GroupByKey]=ContinuousStatsTable[[#This Row],[GroupByKey]])*ContinuousStatsTable[Average]))</f>
        <v>0</v>
      </c>
      <c r="T123" s="5">
        <f t="array" ref="T123">MAX(IF((ContinuousStatsTable[GroupByKey]=ContinuousStatsTable[[#This Row],[GroupByKey]]),(ContinuousStatsTable[GroupByKey]=ContinuousStatsTable[[#This Row],[GroupByKey]])*ContinuousStatsTable[Average]))</f>
        <v>0</v>
      </c>
      <c r="U123" s="5">
        <f>IF((ContinuousStatsTable[[#This Row],[RepsRequested]]&gt;1),ContinuousStatsTable[[#This Row],[HalfWidth]],ContinuousStatsTable[[#This Row],[BatchMeansHalfWidth]])</f>
        <v>0</v>
      </c>
    </row>
    <row r="124" spans="1:21" x14ac:dyDescent="0.25">
      <c r="A124" t="s">
        <v>67</v>
      </c>
      <c r="B124" t="s">
        <v>70</v>
      </c>
      <c r="C124">
        <v>3</v>
      </c>
      <c r="D124" t="s">
        <v>91</v>
      </c>
      <c r="E124" t="s">
        <v>75</v>
      </c>
      <c r="F124" t="s">
        <v>73</v>
      </c>
      <c r="G124">
        <v>1.5834999999999999</v>
      </c>
      <c r="H124">
        <v>3E+20</v>
      </c>
      <c r="I124">
        <v>1</v>
      </c>
      <c r="J124">
        <v>2</v>
      </c>
      <c r="K124">
        <v>2</v>
      </c>
      <c r="L124">
        <v>0</v>
      </c>
      <c r="M124" s="5" t="str">
        <f>ContinuousStatsTable[[#This Row],[ProjectName]]&amp;ContinuousStatsTable[[#This Row],[Name]]&amp;ContinuousStatsTable[[#This Row],[Type]]&amp;ContinuousStatsTable[[#This Row],[Source]]</f>
        <v>Unnamed ProjectsandblastoperatorNumber ScheduledResource</v>
      </c>
      <c r="N124" s="5">
        <f t="array" ref="N124">MAX(IF((ProjectInfoTable[ProjectName]=ContinuousStatsTable[[#This Row],[ProjectName]]),(ProjectInfoTable[ProjectName]=ContinuousStatsTable[[#This Row],[ProjectName]])*ProjectInfoTable[NumberOfReplications]))</f>
        <v>15</v>
      </c>
      <c r="O124" s="5">
        <f t="array" ref="O124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124" s="5">
        <f t="array" ref="P124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124" s="5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124" s="5">
        <f t="array" ref="S124">MIN(IF((ContinuousStatsTable[GroupByKey]=ContinuousStatsTable[[#This Row],[GroupByKey]]),(ContinuousStatsTable[GroupByKey]=ContinuousStatsTable[[#This Row],[GroupByKey]])*ContinuousStatsTable[Average]))</f>
        <v>1</v>
      </c>
      <c r="T124" s="5">
        <f t="array" ref="T124">MAX(IF((ContinuousStatsTable[GroupByKey]=ContinuousStatsTable[[#This Row],[GroupByKey]]),(ContinuousStatsTable[GroupByKey]=ContinuousStatsTable[[#This Row],[GroupByKey]])*ContinuousStatsTable[Average]))</f>
        <v>2</v>
      </c>
      <c r="U124" s="5">
        <f>IF((ContinuousStatsTable[[#This Row],[RepsRequested]]&gt;1),ContinuousStatsTable[[#This Row],[HalfWidth]],ContinuousStatsTable[[#This Row],[BatchMeansHalfWidth]])</f>
        <v>0.13376733135491528</v>
      </c>
    </row>
    <row r="125" spans="1:21" x14ac:dyDescent="0.25">
      <c r="A125" t="s">
        <v>67</v>
      </c>
      <c r="B125" t="s">
        <v>70</v>
      </c>
      <c r="C125">
        <v>3</v>
      </c>
      <c r="D125" t="s">
        <v>92</v>
      </c>
      <c r="E125" t="s">
        <v>84</v>
      </c>
      <c r="F125" t="s">
        <v>85</v>
      </c>
      <c r="G125">
        <v>0</v>
      </c>
      <c r="H125">
        <v>2E+20</v>
      </c>
      <c r="I125">
        <v>0</v>
      </c>
      <c r="J125">
        <v>0</v>
      </c>
      <c r="K125">
        <v>0</v>
      </c>
      <c r="L125">
        <v>0</v>
      </c>
      <c r="M125" s="5" t="str">
        <f>ContinuousStatsTable[[#This Row],[ProjectName]]&amp;ContinuousStatsTable[[#This Row],[Name]]&amp;ContinuousStatsTable[[#This Row],[Type]]&amp;ContinuousStatsTable[[#This Row],[Source]]</f>
        <v>Unnamed Projectseize_assembler.QueueNumber WaitingQueue</v>
      </c>
      <c r="N125" s="5">
        <f t="array" ref="N125">MAX(IF((ProjectInfoTable[ProjectName]=ContinuousStatsTable[[#This Row],[ProjectName]]),(ProjectInfoTable[ProjectName]=ContinuousStatsTable[[#This Row],[ProjectName]])*ProjectInfoTable[NumberOfReplications]))</f>
        <v>15</v>
      </c>
      <c r="O125" s="5">
        <f t="array" ref="O125">IFERROR(AVERAGE(IF((ContinuousStatsTable[GroupByKey]=ContinuousStatsTable[[#This Row],[GroupByKey]]),(ContinuousStatsTable[GroupByKey]=ContinuousStatsTable[[#This Row],[GroupByKey]])*ContinuousStatsTable[Average])),0)</f>
        <v>0</v>
      </c>
      <c r="P125" s="5">
        <f t="array" ref="P125">IFERROR(_xlfn.STDEV.S(IF((ContinuousStatsTable[GroupByKey]=ContinuousStatsTable[[#This Row],[GroupByKey]]),(ContinuousStatsTable[GroupByKey]=ContinuousStatsTable[[#This Row],[GroupByKey]])*ContinuousStatsTable[Average])),0)</f>
        <v>0</v>
      </c>
      <c r="Q125" s="5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5" s="5">
        <f t="array" ref="S125">MIN(IF((ContinuousStatsTable[GroupByKey]=ContinuousStatsTable[[#This Row],[GroupByKey]]),(ContinuousStatsTable[GroupByKey]=ContinuousStatsTable[[#This Row],[GroupByKey]])*ContinuousStatsTable[Average]))</f>
        <v>0</v>
      </c>
      <c r="T125" s="5">
        <f t="array" ref="T125">MAX(IF((ContinuousStatsTable[GroupByKey]=ContinuousStatsTable[[#This Row],[GroupByKey]]),(ContinuousStatsTable[GroupByKey]=ContinuousStatsTable[[#This Row],[GroupByKey]])*ContinuousStatsTable[Average]))</f>
        <v>0</v>
      </c>
      <c r="U125" s="5">
        <f>IF((ContinuousStatsTable[[#This Row],[RepsRequested]]&gt;1),ContinuousStatsTable[[#This Row],[HalfWidth]],ContinuousStatsTable[[#This Row],[BatchMeansHalfWidth]])</f>
        <v>0</v>
      </c>
    </row>
    <row r="126" spans="1:21" x14ac:dyDescent="0.25">
      <c r="A126" t="s">
        <v>67</v>
      </c>
      <c r="B126" t="s">
        <v>70</v>
      </c>
      <c r="C126">
        <v>3</v>
      </c>
      <c r="D126" t="s">
        <v>93</v>
      </c>
      <c r="E126" t="s">
        <v>84</v>
      </c>
      <c r="F126" t="s">
        <v>85</v>
      </c>
      <c r="G126">
        <v>0</v>
      </c>
      <c r="H126">
        <v>2E+20</v>
      </c>
      <c r="I126">
        <v>0</v>
      </c>
      <c r="J126">
        <v>0</v>
      </c>
      <c r="K126">
        <v>0</v>
      </c>
      <c r="L126">
        <v>0</v>
      </c>
      <c r="M126" s="5" t="str">
        <f>ContinuousStatsTable[[#This Row],[ProjectName]]&amp;ContinuousStatsTable[[#This Row],[Name]]&amp;ContinuousStatsTable[[#This Row],[Type]]&amp;ContinuousStatsTable[[#This Row],[Source]]</f>
        <v>Unnamed Projectseize_cutter.QueueNumber WaitingQueue</v>
      </c>
      <c r="N126" s="5">
        <f t="array" ref="N126">MAX(IF((ProjectInfoTable[ProjectName]=ContinuousStatsTable[[#This Row],[ProjectName]]),(ProjectInfoTable[ProjectName]=ContinuousStatsTable[[#This Row],[ProjectName]])*ProjectInfoTable[NumberOfReplications]))</f>
        <v>15</v>
      </c>
      <c r="O126" s="5">
        <f t="array" ref="O126">IFERROR(AVERAGE(IF((ContinuousStatsTable[GroupByKey]=ContinuousStatsTable[[#This Row],[GroupByKey]]),(ContinuousStatsTable[GroupByKey]=ContinuousStatsTable[[#This Row],[GroupByKey]])*ContinuousStatsTable[Average])),0)</f>
        <v>0</v>
      </c>
      <c r="P126" s="5">
        <f t="array" ref="P126">IFERROR(_xlfn.STDEV.S(IF((ContinuousStatsTable[GroupByKey]=ContinuousStatsTable[[#This Row],[GroupByKey]]),(ContinuousStatsTable[GroupByKey]=ContinuousStatsTable[[#This Row],[GroupByKey]])*ContinuousStatsTable[Average])),0)</f>
        <v>0</v>
      </c>
      <c r="Q126" s="5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6" s="5">
        <f t="array" ref="S126">MIN(IF((ContinuousStatsTable[GroupByKey]=ContinuousStatsTable[[#This Row],[GroupByKey]]),(ContinuousStatsTable[GroupByKey]=ContinuousStatsTable[[#This Row],[GroupByKey]])*ContinuousStatsTable[Average]))</f>
        <v>0</v>
      </c>
      <c r="T126" s="5">
        <f t="array" ref="T126">MAX(IF((ContinuousStatsTable[GroupByKey]=ContinuousStatsTable[[#This Row],[GroupByKey]]),(ContinuousStatsTable[GroupByKey]=ContinuousStatsTable[[#This Row],[GroupByKey]])*ContinuousStatsTable[Average]))</f>
        <v>0</v>
      </c>
      <c r="U126" s="5">
        <f>IF((ContinuousStatsTable[[#This Row],[RepsRequested]]&gt;1),ContinuousStatsTable[[#This Row],[HalfWidth]],ContinuousStatsTable[[#This Row],[BatchMeansHalfWidth]])</f>
        <v>0</v>
      </c>
    </row>
    <row r="127" spans="1:21" x14ac:dyDescent="0.25">
      <c r="A127" t="s">
        <v>67</v>
      </c>
      <c r="B127" t="s">
        <v>70</v>
      </c>
      <c r="C127">
        <v>3</v>
      </c>
      <c r="D127" t="s">
        <v>94</v>
      </c>
      <c r="E127" t="s">
        <v>84</v>
      </c>
      <c r="F127" t="s">
        <v>85</v>
      </c>
      <c r="G127">
        <v>0</v>
      </c>
      <c r="H127">
        <v>2E+20</v>
      </c>
      <c r="I127">
        <v>0</v>
      </c>
      <c r="J127">
        <v>0</v>
      </c>
      <c r="K127">
        <v>0</v>
      </c>
      <c r="L127">
        <v>0</v>
      </c>
      <c r="M127" s="5" t="str">
        <f>ContinuousStatsTable[[#This Row],[ProjectName]]&amp;ContinuousStatsTable[[#This Row],[Name]]&amp;ContinuousStatsTable[[#This Row],[Type]]&amp;ContinuousStatsTable[[#This Row],[Source]]</f>
        <v>Unnamed Projectseizeassemblyqcman.QueueNumber WaitingQueue</v>
      </c>
      <c r="N127" s="5">
        <f t="array" ref="N127">MAX(IF((ProjectInfoTable[ProjectName]=ContinuousStatsTable[[#This Row],[ProjectName]]),(ProjectInfoTable[ProjectName]=ContinuousStatsTable[[#This Row],[ProjectName]])*ProjectInfoTable[NumberOfReplications]))</f>
        <v>15</v>
      </c>
      <c r="O127" s="5">
        <f t="array" ref="O127">IFERROR(AVERAGE(IF((ContinuousStatsTable[GroupByKey]=ContinuousStatsTable[[#This Row],[GroupByKey]]),(ContinuousStatsTable[GroupByKey]=ContinuousStatsTable[[#This Row],[GroupByKey]])*ContinuousStatsTable[Average])),0)</f>
        <v>0</v>
      </c>
      <c r="P127" s="5">
        <f t="array" ref="P127">IFERROR(_xlfn.STDEV.S(IF((ContinuousStatsTable[GroupByKey]=ContinuousStatsTable[[#This Row],[GroupByKey]]),(ContinuousStatsTable[GroupByKey]=ContinuousStatsTable[[#This Row],[GroupByKey]])*ContinuousStatsTable[Average])),0)</f>
        <v>0</v>
      </c>
      <c r="Q127" s="5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7" s="5">
        <f t="array" ref="S127">MIN(IF((ContinuousStatsTable[GroupByKey]=ContinuousStatsTable[[#This Row],[GroupByKey]]),(ContinuousStatsTable[GroupByKey]=ContinuousStatsTable[[#This Row],[GroupByKey]])*ContinuousStatsTable[Average]))</f>
        <v>0</v>
      </c>
      <c r="T127" s="5">
        <f t="array" ref="T127">MAX(IF((ContinuousStatsTable[GroupByKey]=ContinuousStatsTable[[#This Row],[GroupByKey]]),(ContinuousStatsTable[GroupByKey]=ContinuousStatsTable[[#This Row],[GroupByKey]])*ContinuousStatsTable[Average]))</f>
        <v>0</v>
      </c>
      <c r="U127" s="5">
        <f>IF((ContinuousStatsTable[[#This Row],[RepsRequested]]&gt;1),ContinuousStatsTable[[#This Row],[HalfWidth]],ContinuousStatsTable[[#This Row],[BatchMeansHalfWidth]])</f>
        <v>0</v>
      </c>
    </row>
    <row r="128" spans="1:21" x14ac:dyDescent="0.25">
      <c r="A128" t="s">
        <v>67</v>
      </c>
      <c r="B128" t="s">
        <v>70</v>
      </c>
      <c r="C128">
        <v>3</v>
      </c>
      <c r="D128" t="s">
        <v>95</v>
      </c>
      <c r="E128" t="s">
        <v>84</v>
      </c>
      <c r="F128" t="s">
        <v>85</v>
      </c>
      <c r="G128">
        <v>0</v>
      </c>
      <c r="H128">
        <v>2E+20</v>
      </c>
      <c r="I128">
        <v>0</v>
      </c>
      <c r="J128">
        <v>0</v>
      </c>
      <c r="K128">
        <v>0</v>
      </c>
      <c r="L128">
        <v>0</v>
      </c>
      <c r="M128" s="5" t="str">
        <f>ContinuousStatsTable[[#This Row],[ProjectName]]&amp;ContinuousStatsTable[[#This Row],[Name]]&amp;ContinuousStatsTable[[#This Row],[Type]]&amp;ContinuousStatsTable[[#This Row],[Source]]</f>
        <v>Unnamed Projectseizecleaner.QueueNumber WaitingQueue</v>
      </c>
      <c r="N128" s="5">
        <f t="array" ref="N128">MAX(IF((ProjectInfoTable[ProjectName]=ContinuousStatsTable[[#This Row],[ProjectName]]),(ProjectInfoTable[ProjectName]=ContinuousStatsTable[[#This Row],[ProjectName]])*ProjectInfoTable[NumberOfReplications]))</f>
        <v>15</v>
      </c>
      <c r="O128" s="5">
        <f t="array" ref="O128">IFERROR(AVERAGE(IF((ContinuousStatsTable[GroupByKey]=ContinuousStatsTable[[#This Row],[GroupByKey]]),(ContinuousStatsTable[GroupByKey]=ContinuousStatsTable[[#This Row],[GroupByKey]])*ContinuousStatsTable[Average])),0)</f>
        <v>0</v>
      </c>
      <c r="P128" s="5">
        <f t="array" ref="P128">IFERROR(_xlfn.STDEV.S(IF((ContinuousStatsTable[GroupByKey]=ContinuousStatsTable[[#This Row],[GroupByKey]]),(ContinuousStatsTable[GroupByKey]=ContinuousStatsTable[[#This Row],[GroupByKey]])*ContinuousStatsTable[Average])),0)</f>
        <v>0</v>
      </c>
      <c r="Q128" s="5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8" s="5">
        <f t="array" ref="S128">MIN(IF((ContinuousStatsTable[GroupByKey]=ContinuousStatsTable[[#This Row],[GroupByKey]]),(ContinuousStatsTable[GroupByKey]=ContinuousStatsTable[[#This Row],[GroupByKey]])*ContinuousStatsTable[Average]))</f>
        <v>0</v>
      </c>
      <c r="T128" s="5">
        <f t="array" ref="T128">MAX(IF((ContinuousStatsTable[GroupByKey]=ContinuousStatsTable[[#This Row],[GroupByKey]]),(ContinuousStatsTable[GroupByKey]=ContinuousStatsTable[[#This Row],[GroupByKey]])*ContinuousStatsTable[Average]))</f>
        <v>0</v>
      </c>
      <c r="U128" s="5">
        <f>IF((ContinuousStatsTable[[#This Row],[RepsRequested]]&gt;1),ContinuousStatsTable[[#This Row],[HalfWidth]],ContinuousStatsTable[[#This Row],[BatchMeansHalfWidth]])</f>
        <v>0</v>
      </c>
    </row>
    <row r="129" spans="1:21" x14ac:dyDescent="0.25">
      <c r="A129" t="s">
        <v>67</v>
      </c>
      <c r="B129" t="s">
        <v>70</v>
      </c>
      <c r="C129">
        <v>3</v>
      </c>
      <c r="D129" t="s">
        <v>96</v>
      </c>
      <c r="E129" t="s">
        <v>84</v>
      </c>
      <c r="F129" t="s">
        <v>85</v>
      </c>
      <c r="G129">
        <v>0</v>
      </c>
      <c r="H129">
        <v>2E+20</v>
      </c>
      <c r="I129">
        <v>0</v>
      </c>
      <c r="J129">
        <v>0</v>
      </c>
      <c r="K129">
        <v>0</v>
      </c>
      <c r="L129">
        <v>0</v>
      </c>
      <c r="M129" s="5" t="str">
        <f>ContinuousStatsTable[[#This Row],[ProjectName]]&amp;ContinuousStatsTable[[#This Row],[Name]]&amp;ContinuousStatsTable[[#This Row],[Type]]&amp;ContinuousStatsTable[[#This Row],[Source]]</f>
        <v>Unnamed Projectseizepainter.QueueNumber WaitingQueue</v>
      </c>
      <c r="N129" s="5">
        <f t="array" ref="N129">MAX(IF((ProjectInfoTable[ProjectName]=ContinuousStatsTable[[#This Row],[ProjectName]]),(ProjectInfoTable[ProjectName]=ContinuousStatsTable[[#This Row],[ProjectName]])*ProjectInfoTable[NumberOfReplications]))</f>
        <v>15</v>
      </c>
      <c r="O129" s="5">
        <f t="array" ref="O129">IFERROR(AVERAGE(IF((ContinuousStatsTable[GroupByKey]=ContinuousStatsTable[[#This Row],[GroupByKey]]),(ContinuousStatsTable[GroupByKey]=ContinuousStatsTable[[#This Row],[GroupByKey]])*ContinuousStatsTable[Average])),0)</f>
        <v>0</v>
      </c>
      <c r="P129" s="5">
        <f t="array" ref="P129">IFERROR(_xlfn.STDEV.S(IF((ContinuousStatsTable[GroupByKey]=ContinuousStatsTable[[#This Row],[GroupByKey]]),(ContinuousStatsTable[GroupByKey]=ContinuousStatsTable[[#This Row],[GroupByKey]])*ContinuousStatsTable[Average])),0)</f>
        <v>0</v>
      </c>
      <c r="Q129" s="5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9" s="5">
        <f t="array" ref="S129">MIN(IF((ContinuousStatsTable[GroupByKey]=ContinuousStatsTable[[#This Row],[GroupByKey]]),(ContinuousStatsTable[GroupByKey]=ContinuousStatsTable[[#This Row],[GroupByKey]])*ContinuousStatsTable[Average]))</f>
        <v>0</v>
      </c>
      <c r="T129" s="5">
        <f t="array" ref="T129">MAX(IF((ContinuousStatsTable[GroupByKey]=ContinuousStatsTable[[#This Row],[GroupByKey]]),(ContinuousStatsTable[GroupByKey]=ContinuousStatsTable[[#This Row],[GroupByKey]])*ContinuousStatsTable[Average]))</f>
        <v>0</v>
      </c>
      <c r="U129" s="5">
        <f>IF((ContinuousStatsTable[[#This Row],[RepsRequested]]&gt;1),ContinuousStatsTable[[#This Row],[HalfWidth]],ContinuousStatsTable[[#This Row],[BatchMeansHalfWidth]])</f>
        <v>0</v>
      </c>
    </row>
    <row r="130" spans="1:21" x14ac:dyDescent="0.25">
      <c r="A130" t="s">
        <v>67</v>
      </c>
      <c r="B130" t="s">
        <v>70</v>
      </c>
      <c r="C130">
        <v>3</v>
      </c>
      <c r="D130" t="s">
        <v>97</v>
      </c>
      <c r="E130" t="s">
        <v>84</v>
      </c>
      <c r="F130" t="s">
        <v>85</v>
      </c>
      <c r="G130">
        <v>0</v>
      </c>
      <c r="H130">
        <v>2E+20</v>
      </c>
      <c r="I130">
        <v>0</v>
      </c>
      <c r="J130">
        <v>0</v>
      </c>
      <c r="K130">
        <v>0</v>
      </c>
      <c r="L130">
        <v>0</v>
      </c>
      <c r="M130" s="5" t="str">
        <f>ContinuousStatsTable[[#This Row],[ProjectName]]&amp;ContinuousStatsTable[[#This Row],[Name]]&amp;ContinuousStatsTable[[#This Row],[Type]]&amp;ContinuousStatsTable[[#This Row],[Source]]</f>
        <v>Unnamed Projectseizeqcman.QueueNumber WaitingQueue</v>
      </c>
      <c r="N130" s="5">
        <f t="array" ref="N130">MAX(IF((ProjectInfoTable[ProjectName]=ContinuousStatsTable[[#This Row],[ProjectName]]),(ProjectInfoTable[ProjectName]=ContinuousStatsTable[[#This Row],[ProjectName]])*ProjectInfoTable[NumberOfReplications]))</f>
        <v>15</v>
      </c>
      <c r="O130" s="5">
        <f t="array" ref="O130">IFERROR(AVERAGE(IF((ContinuousStatsTable[GroupByKey]=ContinuousStatsTable[[#This Row],[GroupByKey]]),(ContinuousStatsTable[GroupByKey]=ContinuousStatsTable[[#This Row],[GroupByKey]])*ContinuousStatsTable[Average])),0)</f>
        <v>0</v>
      </c>
      <c r="P130" s="5">
        <f t="array" ref="P130">IFERROR(_xlfn.STDEV.S(IF((ContinuousStatsTable[GroupByKey]=ContinuousStatsTable[[#This Row],[GroupByKey]]),(ContinuousStatsTable[GroupByKey]=ContinuousStatsTable[[#This Row],[GroupByKey]])*ContinuousStatsTable[Average])),0)</f>
        <v>0</v>
      </c>
      <c r="Q130" s="5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0" s="5">
        <f t="array" ref="S130">MIN(IF((ContinuousStatsTable[GroupByKey]=ContinuousStatsTable[[#This Row],[GroupByKey]]),(ContinuousStatsTable[GroupByKey]=ContinuousStatsTable[[#This Row],[GroupByKey]])*ContinuousStatsTable[Average]))</f>
        <v>0</v>
      </c>
      <c r="T130" s="5">
        <f t="array" ref="T130">MAX(IF((ContinuousStatsTable[GroupByKey]=ContinuousStatsTable[[#This Row],[GroupByKey]]),(ContinuousStatsTable[GroupByKey]=ContinuousStatsTable[[#This Row],[GroupByKey]])*ContinuousStatsTable[Average]))</f>
        <v>0</v>
      </c>
      <c r="U130" s="5">
        <f>IF((ContinuousStatsTable[[#This Row],[RepsRequested]]&gt;1),ContinuousStatsTable[[#This Row],[HalfWidth]],ContinuousStatsTable[[#This Row],[BatchMeansHalfWidth]])</f>
        <v>0</v>
      </c>
    </row>
    <row r="131" spans="1:21" x14ac:dyDescent="0.25">
      <c r="A131" t="s">
        <v>67</v>
      </c>
      <c r="B131" t="s">
        <v>70</v>
      </c>
      <c r="C131">
        <v>3</v>
      </c>
      <c r="D131" t="s">
        <v>98</v>
      </c>
      <c r="E131" t="s">
        <v>84</v>
      </c>
      <c r="F131" t="s">
        <v>85</v>
      </c>
      <c r="G131">
        <v>0</v>
      </c>
      <c r="H131">
        <v>2E+20</v>
      </c>
      <c r="I131">
        <v>0</v>
      </c>
      <c r="J131">
        <v>0</v>
      </c>
      <c r="K131">
        <v>0</v>
      </c>
      <c r="L131">
        <v>0</v>
      </c>
      <c r="M131" s="5" t="str">
        <f>ContinuousStatsTable[[#This Row],[ProjectName]]&amp;ContinuousStatsTable[[#This Row],[Name]]&amp;ContinuousStatsTable[[#This Row],[Type]]&amp;ContinuousStatsTable[[#This Row],[Source]]</f>
        <v>Unnamed Projectseizesandblaster.QueueNumber WaitingQueue</v>
      </c>
      <c r="N131" s="5">
        <f t="array" ref="N131">MAX(IF((ProjectInfoTable[ProjectName]=ContinuousStatsTable[[#This Row],[ProjectName]]),(ProjectInfoTable[ProjectName]=ContinuousStatsTable[[#This Row],[ProjectName]])*ProjectInfoTable[NumberOfReplications]))</f>
        <v>15</v>
      </c>
      <c r="O131" s="5">
        <f t="array" ref="O131">IFERROR(AVERAGE(IF((ContinuousStatsTable[GroupByKey]=ContinuousStatsTable[[#This Row],[GroupByKey]]),(ContinuousStatsTable[GroupByKey]=ContinuousStatsTable[[#This Row],[GroupByKey]])*ContinuousStatsTable[Average])),0)</f>
        <v>0</v>
      </c>
      <c r="P131" s="5">
        <f t="array" ref="P131">IFERROR(_xlfn.STDEV.S(IF((ContinuousStatsTable[GroupByKey]=ContinuousStatsTable[[#This Row],[GroupByKey]]),(ContinuousStatsTable[GroupByKey]=ContinuousStatsTable[[#This Row],[GroupByKey]])*ContinuousStatsTable[Average])),0)</f>
        <v>0</v>
      </c>
      <c r="Q131" s="5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1" s="5">
        <f t="array" ref="S131">MIN(IF((ContinuousStatsTable[GroupByKey]=ContinuousStatsTable[[#This Row],[GroupByKey]]),(ContinuousStatsTable[GroupByKey]=ContinuousStatsTable[[#This Row],[GroupByKey]])*ContinuousStatsTable[Average]))</f>
        <v>0</v>
      </c>
      <c r="T131" s="5">
        <f t="array" ref="T131">MAX(IF((ContinuousStatsTable[GroupByKey]=ContinuousStatsTable[[#This Row],[GroupByKey]]),(ContinuousStatsTable[GroupByKey]=ContinuousStatsTable[[#This Row],[GroupByKey]])*ContinuousStatsTable[Average]))</f>
        <v>0</v>
      </c>
      <c r="U131" s="5">
        <f>IF((ContinuousStatsTable[[#This Row],[RepsRequested]]&gt;1),ContinuousStatsTable[[#This Row],[HalfWidth]],ContinuousStatsTable[[#This Row],[BatchMeansHalfWidth]])</f>
        <v>0</v>
      </c>
    </row>
    <row r="132" spans="1:21" x14ac:dyDescent="0.25">
      <c r="A132" t="s">
        <v>67</v>
      </c>
      <c r="B132" t="s">
        <v>70</v>
      </c>
      <c r="C132">
        <v>3</v>
      </c>
      <c r="D132" t="s">
        <v>99</v>
      </c>
      <c r="E132" t="s">
        <v>84</v>
      </c>
      <c r="F132" t="s">
        <v>85</v>
      </c>
      <c r="G132">
        <v>0</v>
      </c>
      <c r="H132">
        <v>2E+20</v>
      </c>
      <c r="I132">
        <v>0</v>
      </c>
      <c r="J132">
        <v>0</v>
      </c>
      <c r="K132">
        <v>0</v>
      </c>
      <c r="L132">
        <v>0</v>
      </c>
      <c r="M132" s="5" t="str">
        <f>ContinuousStatsTable[[#This Row],[ProjectName]]&amp;ContinuousStatsTable[[#This Row],[Name]]&amp;ContinuousStatsTable[[#This Row],[Type]]&amp;ContinuousStatsTable[[#This Row],[Source]]</f>
        <v>Unnamed Projectseizewelder.QueueNumber WaitingQueue</v>
      </c>
      <c r="N132" s="5">
        <f t="array" ref="N132">MAX(IF((ProjectInfoTable[ProjectName]=ContinuousStatsTable[[#This Row],[ProjectName]]),(ProjectInfoTable[ProjectName]=ContinuousStatsTable[[#This Row],[ProjectName]])*ProjectInfoTable[NumberOfReplications]))</f>
        <v>15</v>
      </c>
      <c r="O132" s="5">
        <f t="array" ref="O132">IFERROR(AVERAGE(IF((ContinuousStatsTable[GroupByKey]=ContinuousStatsTable[[#This Row],[GroupByKey]]),(ContinuousStatsTable[GroupByKey]=ContinuousStatsTable[[#This Row],[GroupByKey]])*ContinuousStatsTable[Average])),0)</f>
        <v>0</v>
      </c>
      <c r="P132" s="5">
        <f t="array" ref="P132">IFERROR(_xlfn.STDEV.S(IF((ContinuousStatsTable[GroupByKey]=ContinuousStatsTable[[#This Row],[GroupByKey]]),(ContinuousStatsTable[GroupByKey]=ContinuousStatsTable[[#This Row],[GroupByKey]])*ContinuousStatsTable[Average])),0)</f>
        <v>0</v>
      </c>
      <c r="Q132" s="5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2" s="5">
        <f t="array" ref="S132">MIN(IF((ContinuousStatsTable[GroupByKey]=ContinuousStatsTable[[#This Row],[GroupByKey]]),(ContinuousStatsTable[GroupByKey]=ContinuousStatsTable[[#This Row],[GroupByKey]])*ContinuousStatsTable[Average]))</f>
        <v>0</v>
      </c>
      <c r="T132" s="5">
        <f t="array" ref="T132">MAX(IF((ContinuousStatsTable[GroupByKey]=ContinuousStatsTable[[#This Row],[GroupByKey]]),(ContinuousStatsTable[GroupByKey]=ContinuousStatsTable[[#This Row],[GroupByKey]])*ContinuousStatsTable[Average]))</f>
        <v>0</v>
      </c>
      <c r="U132" s="5">
        <f>IF((ContinuousStatsTable[[#This Row],[RepsRequested]]&gt;1),ContinuousStatsTable[[#This Row],[HalfWidth]],ContinuousStatsTable[[#This Row],[BatchMeansHalfWidth]])</f>
        <v>0</v>
      </c>
    </row>
    <row r="133" spans="1:21" x14ac:dyDescent="0.25">
      <c r="A133" t="s">
        <v>67</v>
      </c>
      <c r="B133" t="s">
        <v>70</v>
      </c>
      <c r="C133">
        <v>3</v>
      </c>
      <c r="D133" t="s">
        <v>100</v>
      </c>
      <c r="E133" t="s">
        <v>78</v>
      </c>
      <c r="F133" t="s">
        <v>79</v>
      </c>
      <c r="G133">
        <v>12</v>
      </c>
      <c r="H133">
        <v>2E+20</v>
      </c>
      <c r="I133">
        <v>12</v>
      </c>
      <c r="J133">
        <v>12</v>
      </c>
      <c r="K133">
        <v>12</v>
      </c>
      <c r="L133">
        <v>0</v>
      </c>
      <c r="M133" s="5" t="str">
        <f>ContinuousStatsTable[[#This Row],[ProjectName]]&amp;ContinuousStatsTable[[#This Row],[Name]]&amp;ContinuousStatsTable[[#This Row],[Type]]&amp;ContinuousStatsTable[[#This Row],[Source]]</f>
        <v>Unnamed ProjectsteelsheetWIPEntity</v>
      </c>
      <c r="N133" s="5">
        <f t="array" ref="N133">MAX(IF((ProjectInfoTable[ProjectName]=ContinuousStatsTable[[#This Row],[ProjectName]]),(ProjectInfoTable[ProjectName]=ContinuousStatsTable[[#This Row],[ProjectName]])*ProjectInfoTable[NumberOfReplications]))</f>
        <v>15</v>
      </c>
      <c r="O133" s="5">
        <f t="array" ref="O133">IFERROR(AVERAGE(IF((ContinuousStatsTable[GroupByKey]=ContinuousStatsTable[[#This Row],[GroupByKey]]),(ContinuousStatsTable[GroupByKey]=ContinuousStatsTable[[#This Row],[GroupByKey]])*ContinuousStatsTable[Average])),0)</f>
        <v>6.1333333333333337</v>
      </c>
      <c r="P133" s="5">
        <f t="array" ref="P133">IFERROR(_xlfn.STDEV.S(IF((ContinuousStatsTable[GroupByKey]=ContinuousStatsTable[[#This Row],[GroupByKey]]),(ContinuousStatsTable[GroupByKey]=ContinuousStatsTable[[#This Row],[GroupByKey]])*ContinuousStatsTable[Average])),0)</f>
        <v>5.3166405433005028</v>
      </c>
      <c r="Q133" s="5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2.944257396015229</v>
      </c>
      <c r="S133" s="5">
        <f t="array" ref="S133">MIN(IF((ContinuousStatsTable[GroupByKey]=ContinuousStatsTable[[#This Row],[GroupByKey]]),(ContinuousStatsTable[GroupByKey]=ContinuousStatsTable[[#This Row],[GroupByKey]])*ContinuousStatsTable[Average]))</f>
        <v>0</v>
      </c>
      <c r="T133" s="5">
        <f t="array" ref="T133">MAX(IF((ContinuousStatsTable[GroupByKey]=ContinuousStatsTable[[#This Row],[GroupByKey]]),(ContinuousStatsTable[GroupByKey]=ContinuousStatsTable[[#This Row],[GroupByKey]])*ContinuousStatsTable[Average]))</f>
        <v>16</v>
      </c>
      <c r="U133" s="5">
        <f>IF((ContinuousStatsTable[[#This Row],[RepsRequested]]&gt;1),ContinuousStatsTable[[#This Row],[HalfWidth]],ContinuousStatsTable[[#This Row],[BatchMeansHalfWidth]])</f>
        <v>2.944257396015229</v>
      </c>
    </row>
    <row r="134" spans="1:21" x14ac:dyDescent="0.25">
      <c r="A134" t="s">
        <v>67</v>
      </c>
      <c r="B134" t="s">
        <v>70</v>
      </c>
      <c r="C134">
        <v>3</v>
      </c>
      <c r="D134" t="s">
        <v>101</v>
      </c>
      <c r="E134" t="s">
        <v>72</v>
      </c>
      <c r="F134" t="s">
        <v>73</v>
      </c>
      <c r="G134">
        <v>0</v>
      </c>
      <c r="H134">
        <v>2E+20</v>
      </c>
      <c r="I134">
        <v>0</v>
      </c>
      <c r="J134">
        <v>0</v>
      </c>
      <c r="K134">
        <v>0</v>
      </c>
      <c r="L134">
        <v>0</v>
      </c>
      <c r="M134" s="5" t="str">
        <f>ContinuousStatsTable[[#This Row],[ProjectName]]&amp;ContinuousStatsTable[[#This Row],[Name]]&amp;ContinuousStatsTable[[#This Row],[Type]]&amp;ContinuousStatsTable[[#This Row],[Source]]</f>
        <v>Unnamed ProjectwelderInstantaneous UtilizationResource</v>
      </c>
      <c r="N134" s="5">
        <f t="array" ref="N134">MAX(IF((ProjectInfoTable[ProjectName]=ContinuousStatsTable[[#This Row],[ProjectName]]),(ProjectInfoTable[ProjectName]=ContinuousStatsTable[[#This Row],[ProjectName]])*ProjectInfoTable[NumberOfReplications]))</f>
        <v>15</v>
      </c>
      <c r="O134" s="5">
        <f t="array" ref="O134">IFERROR(AVERAGE(IF((ContinuousStatsTable[GroupByKey]=ContinuousStatsTable[[#This Row],[GroupByKey]]),(ContinuousStatsTable[GroupByKey]=ContinuousStatsTable[[#This Row],[GroupByKey]])*ContinuousStatsTable[Average])),0)</f>
        <v>0</v>
      </c>
      <c r="P134" s="5">
        <f t="array" ref="P134">IFERROR(_xlfn.STDEV.S(IF((ContinuousStatsTable[GroupByKey]=ContinuousStatsTable[[#This Row],[GroupByKey]]),(ContinuousStatsTable[GroupByKey]=ContinuousStatsTable[[#This Row],[GroupByKey]])*ContinuousStatsTable[Average])),0)</f>
        <v>0</v>
      </c>
      <c r="Q134" s="5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4" s="5">
        <f t="array" ref="S134">MIN(IF((ContinuousStatsTable[GroupByKey]=ContinuousStatsTable[[#This Row],[GroupByKey]]),(ContinuousStatsTable[GroupByKey]=ContinuousStatsTable[[#This Row],[GroupByKey]])*ContinuousStatsTable[Average]))</f>
        <v>0</v>
      </c>
      <c r="T134" s="5">
        <f t="array" ref="T134">MAX(IF((ContinuousStatsTable[GroupByKey]=ContinuousStatsTable[[#This Row],[GroupByKey]]),(ContinuousStatsTable[GroupByKey]=ContinuousStatsTable[[#This Row],[GroupByKey]])*ContinuousStatsTable[Average]))</f>
        <v>0</v>
      </c>
      <c r="U134" s="5">
        <f>IF((ContinuousStatsTable[[#This Row],[RepsRequested]]&gt;1),ContinuousStatsTable[[#This Row],[HalfWidth]],ContinuousStatsTable[[#This Row],[BatchMeansHalfWidth]])</f>
        <v>0</v>
      </c>
    </row>
    <row r="135" spans="1:21" x14ac:dyDescent="0.25">
      <c r="A135" t="s">
        <v>67</v>
      </c>
      <c r="B135" t="s">
        <v>70</v>
      </c>
      <c r="C135">
        <v>3</v>
      </c>
      <c r="D135" t="s">
        <v>101</v>
      </c>
      <c r="E135" t="s">
        <v>74</v>
      </c>
      <c r="F135" t="s">
        <v>73</v>
      </c>
      <c r="G135">
        <v>0</v>
      </c>
      <c r="H135">
        <v>2E+20</v>
      </c>
      <c r="I135">
        <v>0</v>
      </c>
      <c r="J135">
        <v>0</v>
      </c>
      <c r="K135">
        <v>0</v>
      </c>
      <c r="L135">
        <v>0</v>
      </c>
      <c r="M135" s="5" t="str">
        <f>ContinuousStatsTable[[#This Row],[ProjectName]]&amp;ContinuousStatsTable[[#This Row],[Name]]&amp;ContinuousStatsTable[[#This Row],[Type]]&amp;ContinuousStatsTable[[#This Row],[Source]]</f>
        <v>Unnamed ProjectwelderNumber BusyResource</v>
      </c>
      <c r="N135" s="5">
        <f t="array" ref="N135">MAX(IF((ProjectInfoTable[ProjectName]=ContinuousStatsTable[[#This Row],[ProjectName]]),(ProjectInfoTable[ProjectName]=ContinuousStatsTable[[#This Row],[ProjectName]])*ProjectInfoTable[NumberOfReplications]))</f>
        <v>15</v>
      </c>
      <c r="O135" s="5">
        <f t="array" ref="O135">IFERROR(AVERAGE(IF((ContinuousStatsTable[GroupByKey]=ContinuousStatsTable[[#This Row],[GroupByKey]]),(ContinuousStatsTable[GroupByKey]=ContinuousStatsTable[[#This Row],[GroupByKey]])*ContinuousStatsTable[Average])),0)</f>
        <v>0</v>
      </c>
      <c r="P135" s="5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s="5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s="5">
        <f t="array" ref="S135">MIN(IF((ContinuousStatsTable[GroupByKey]=ContinuousStatsTable[[#This Row],[GroupByKey]]),(ContinuousStatsTable[GroupByKey]=ContinuousStatsTable[[#This Row],[GroupByKey]])*ContinuousStatsTable[Average]))</f>
        <v>0</v>
      </c>
      <c r="T135" s="5">
        <f t="array" ref="T135">MAX(IF((ContinuousStatsTable[GroupByKey]=ContinuousStatsTable[[#This Row],[GroupByKey]]),(ContinuousStatsTable[GroupByKey]=ContinuousStatsTable[[#This Row],[GroupByKey]])*ContinuousStatsTable[Average]))</f>
        <v>0</v>
      </c>
      <c r="U135" s="5">
        <f>IF((ContinuousStatsTable[[#This Row],[RepsRequested]]&gt;1),ContinuousStatsTable[[#This Row],[HalfWidth]],ContinuousStatsTable[[#This Row],[BatchMeansHalfWidth]])</f>
        <v>0</v>
      </c>
    </row>
    <row r="136" spans="1:21" x14ac:dyDescent="0.25">
      <c r="A136" t="s">
        <v>67</v>
      </c>
      <c r="B136" t="s">
        <v>70</v>
      </c>
      <c r="C136">
        <v>3</v>
      </c>
      <c r="D136" t="s">
        <v>101</v>
      </c>
      <c r="E136" t="s">
        <v>75</v>
      </c>
      <c r="F136" t="s">
        <v>73</v>
      </c>
      <c r="G136">
        <v>1.5834999999999999</v>
      </c>
      <c r="H136">
        <v>3E+20</v>
      </c>
      <c r="I136">
        <v>1</v>
      </c>
      <c r="J136">
        <v>2</v>
      </c>
      <c r="K136">
        <v>2</v>
      </c>
      <c r="L136">
        <v>0</v>
      </c>
      <c r="M136" s="5" t="str">
        <f>ContinuousStatsTable[[#This Row],[ProjectName]]&amp;ContinuousStatsTable[[#This Row],[Name]]&amp;ContinuousStatsTable[[#This Row],[Type]]&amp;ContinuousStatsTable[[#This Row],[Source]]</f>
        <v>Unnamed ProjectwelderNumber ScheduledResource</v>
      </c>
      <c r="N136" s="5">
        <f t="array" ref="N136">MAX(IF((ProjectInfoTable[ProjectName]=ContinuousStatsTable[[#This Row],[ProjectName]]),(ProjectInfoTable[ProjectName]=ContinuousStatsTable[[#This Row],[ProjectName]])*ProjectInfoTable[NumberOfReplications]))</f>
        <v>15</v>
      </c>
      <c r="O136" s="5">
        <f t="array" ref="O136">IFERROR(AVERAGE(IF((ContinuousStatsTable[GroupByKey]=ContinuousStatsTable[[#This Row],[GroupByKey]]),(ContinuousStatsTable[GroupByKey]=ContinuousStatsTable[[#This Row],[GroupByKey]])*ContinuousStatsTable[Average])),0)</f>
        <v>1.5334531146777051</v>
      </c>
      <c r="P136" s="5">
        <f t="array" ref="P136">IFERROR(_xlfn.STDEV.S(IF((ContinuousStatsTable[GroupByKey]=ContinuousStatsTable[[#This Row],[GroupByKey]]),(ContinuousStatsTable[GroupByKey]=ContinuousStatsTable[[#This Row],[GroupByKey]])*ContinuousStatsTable[Average])),0)</f>
        <v>0.24154952363702747</v>
      </c>
      <c r="Q136" s="5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0.13376566756397254</v>
      </c>
      <c r="S136" s="5">
        <f t="array" ref="S136">MIN(IF((ContinuousStatsTable[GroupByKey]=ContinuousStatsTable[[#This Row],[GroupByKey]]),(ContinuousStatsTable[GroupByKey]=ContinuousStatsTable[[#This Row],[GroupByKey]])*ContinuousStatsTable[Average]))</f>
        <v>1</v>
      </c>
      <c r="T136" s="5">
        <f t="array" ref="T136">MAX(IF((ContinuousStatsTable[GroupByKey]=ContinuousStatsTable[[#This Row],[GroupByKey]]),(ContinuousStatsTable[GroupByKey]=ContinuousStatsTable[[#This Row],[GroupByKey]])*ContinuousStatsTable[Average]))</f>
        <v>2</v>
      </c>
      <c r="U136" s="5">
        <f>IF((ContinuousStatsTable[[#This Row],[RepsRequested]]&gt;1),ContinuousStatsTable[[#This Row],[HalfWidth]],ContinuousStatsTable[[#This Row],[BatchMeansHalfWidth]])</f>
        <v>0.13376566756397254</v>
      </c>
    </row>
    <row r="137" spans="1:21" x14ac:dyDescent="0.25">
      <c r="A137" t="s">
        <v>67</v>
      </c>
      <c r="B137" t="s">
        <v>70</v>
      </c>
      <c r="C137">
        <v>3</v>
      </c>
      <c r="D137" t="s">
        <v>102</v>
      </c>
      <c r="E137" t="s">
        <v>72</v>
      </c>
      <c r="F137" t="s">
        <v>73</v>
      </c>
      <c r="G137">
        <v>0</v>
      </c>
      <c r="H137">
        <v>2E+20</v>
      </c>
      <c r="I137">
        <v>0</v>
      </c>
      <c r="J137">
        <v>0</v>
      </c>
      <c r="K137">
        <v>0</v>
      </c>
      <c r="L137">
        <v>0</v>
      </c>
      <c r="M137" s="5" t="str">
        <f>ContinuousStatsTable[[#This Row],[ProjectName]]&amp;ContinuousStatsTable[[#This Row],[Name]]&amp;ContinuousStatsTable[[#This Row],[Type]]&amp;ContinuousStatsTable[[#This Row],[Source]]</f>
        <v>Unnamed ProjectweldingqcworkerInstantaneous UtilizationResource</v>
      </c>
      <c r="N137" s="5">
        <f t="array" ref="N137">MAX(IF((ProjectInfoTable[ProjectName]=ContinuousStatsTable[[#This Row],[ProjectName]]),(ProjectInfoTable[ProjectName]=ContinuousStatsTable[[#This Row],[ProjectName]])*ProjectInfoTable[NumberOfReplications]))</f>
        <v>15</v>
      </c>
      <c r="O137" s="5">
        <f t="array" ref="O137">IFERROR(AVERAGE(IF((ContinuousStatsTable[GroupByKey]=ContinuousStatsTable[[#This Row],[GroupByKey]]),(ContinuousStatsTable[GroupByKey]=ContinuousStatsTable[[#This Row],[GroupByKey]])*ContinuousStatsTable[Average])),0)</f>
        <v>0</v>
      </c>
      <c r="P137" s="5">
        <f t="array" ref="P137">IFERROR(_xlfn.STDEV.S(IF((ContinuousStatsTable[GroupByKey]=ContinuousStatsTable[[#This Row],[GroupByKey]]),(ContinuousStatsTable[GroupByKey]=ContinuousStatsTable[[#This Row],[GroupByKey]])*ContinuousStatsTable[Average])),0)</f>
        <v>0</v>
      </c>
      <c r="Q137" s="5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7" s="5">
        <f t="array" ref="S137">MIN(IF((ContinuousStatsTable[GroupByKey]=ContinuousStatsTable[[#This Row],[GroupByKey]]),(ContinuousStatsTable[GroupByKey]=ContinuousStatsTable[[#This Row],[GroupByKey]])*ContinuousStatsTable[Average]))</f>
        <v>0</v>
      </c>
      <c r="T137" s="5">
        <f t="array" ref="T137">MAX(IF((ContinuousStatsTable[GroupByKey]=ContinuousStatsTable[[#This Row],[GroupByKey]]),(ContinuousStatsTable[GroupByKey]=ContinuousStatsTable[[#This Row],[GroupByKey]])*ContinuousStatsTable[Average]))</f>
        <v>0</v>
      </c>
      <c r="U137" s="5">
        <f>IF((ContinuousStatsTable[[#This Row],[RepsRequested]]&gt;1),ContinuousStatsTable[[#This Row],[HalfWidth]],ContinuousStatsTable[[#This Row],[BatchMeansHalfWidth]])</f>
        <v>0</v>
      </c>
    </row>
    <row r="138" spans="1:21" x14ac:dyDescent="0.25">
      <c r="A138" t="s">
        <v>67</v>
      </c>
      <c r="B138" t="s">
        <v>70</v>
      </c>
      <c r="C138">
        <v>3</v>
      </c>
      <c r="D138" t="s">
        <v>102</v>
      </c>
      <c r="E138" t="s">
        <v>74</v>
      </c>
      <c r="F138" t="s">
        <v>73</v>
      </c>
      <c r="G138">
        <v>0</v>
      </c>
      <c r="H138">
        <v>2E+20</v>
      </c>
      <c r="I138">
        <v>0</v>
      </c>
      <c r="J138">
        <v>0</v>
      </c>
      <c r="K138">
        <v>0</v>
      </c>
      <c r="L138">
        <v>0</v>
      </c>
      <c r="M138" s="5" t="str">
        <f>ContinuousStatsTable[[#This Row],[ProjectName]]&amp;ContinuousStatsTable[[#This Row],[Name]]&amp;ContinuousStatsTable[[#This Row],[Type]]&amp;ContinuousStatsTable[[#This Row],[Source]]</f>
        <v>Unnamed ProjectweldingqcworkerNumber BusyResource</v>
      </c>
      <c r="N138" s="5">
        <f t="array" ref="N138">MAX(IF((ProjectInfoTable[ProjectName]=ContinuousStatsTable[[#This Row],[ProjectName]]),(ProjectInfoTable[ProjectName]=ContinuousStatsTable[[#This Row],[ProjectName]])*ProjectInfoTable[NumberOfReplications]))</f>
        <v>15</v>
      </c>
      <c r="O138" s="5">
        <f t="array" ref="O138">IFERROR(AVERAGE(IF((ContinuousStatsTable[GroupByKey]=ContinuousStatsTable[[#This Row],[GroupByKey]]),(ContinuousStatsTable[GroupByKey]=ContinuousStatsTable[[#This Row],[GroupByKey]])*ContinuousStatsTable[Average])),0)</f>
        <v>0</v>
      </c>
      <c r="P138" s="5">
        <f t="array" ref="P138">IFERROR(_xlfn.STDEV.S(IF((ContinuousStatsTable[GroupByKey]=ContinuousStatsTable[[#This Row],[GroupByKey]]),(ContinuousStatsTable[GroupByKey]=ContinuousStatsTable[[#This Row],[GroupByKey]])*ContinuousStatsTable[Average])),0)</f>
        <v>0</v>
      </c>
      <c r="Q138" s="5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8" s="5">
        <f t="array" ref="S138">MIN(IF((ContinuousStatsTable[GroupByKey]=ContinuousStatsTable[[#This Row],[GroupByKey]]),(ContinuousStatsTable[GroupByKey]=ContinuousStatsTable[[#This Row],[GroupByKey]])*ContinuousStatsTable[Average]))</f>
        <v>0</v>
      </c>
      <c r="T138" s="5">
        <f t="array" ref="T138">MAX(IF((ContinuousStatsTable[GroupByKey]=ContinuousStatsTable[[#This Row],[GroupByKey]]),(ContinuousStatsTable[GroupByKey]=ContinuousStatsTable[[#This Row],[GroupByKey]])*ContinuousStatsTable[Average]))</f>
        <v>0</v>
      </c>
      <c r="U138" s="5">
        <f>IF((ContinuousStatsTable[[#This Row],[RepsRequested]]&gt;1),ContinuousStatsTable[[#This Row],[HalfWidth]],ContinuousStatsTable[[#This Row],[BatchMeansHalfWidth]])</f>
        <v>0</v>
      </c>
    </row>
    <row r="139" spans="1:21" x14ac:dyDescent="0.25">
      <c r="A139" t="s">
        <v>67</v>
      </c>
      <c r="B139" t="s">
        <v>70</v>
      </c>
      <c r="C139">
        <v>3</v>
      </c>
      <c r="D139" t="s">
        <v>102</v>
      </c>
      <c r="E139" t="s">
        <v>75</v>
      </c>
      <c r="F139" t="s">
        <v>73</v>
      </c>
      <c r="G139">
        <v>1.5834999999999999</v>
      </c>
      <c r="H139">
        <v>3E+20</v>
      </c>
      <c r="I139">
        <v>1</v>
      </c>
      <c r="J139">
        <v>2</v>
      </c>
      <c r="K139">
        <v>2</v>
      </c>
      <c r="L139">
        <v>0</v>
      </c>
      <c r="M139" s="5" t="str">
        <f>ContinuousStatsTable[[#This Row],[ProjectName]]&amp;ContinuousStatsTable[[#This Row],[Name]]&amp;ContinuousStatsTable[[#This Row],[Type]]&amp;ContinuousStatsTable[[#This Row],[Source]]</f>
        <v>Unnamed ProjectweldingqcworkerNumber ScheduledResource</v>
      </c>
      <c r="N139" s="5">
        <f t="array" ref="N139">MAX(IF((ProjectInfoTable[ProjectName]=ContinuousStatsTable[[#This Row],[ProjectName]]),(ProjectInfoTable[ProjectName]=ContinuousStatsTable[[#This Row],[ProjectName]])*ProjectInfoTable[NumberOfReplications]))</f>
        <v>15</v>
      </c>
      <c r="O139" s="5">
        <f t="array" ref="O139">IFERROR(AVERAGE(IF((ContinuousStatsTable[GroupByKey]=ContinuousStatsTable[[#This Row],[GroupByKey]]),(ContinuousStatsTable[GroupByKey]=ContinuousStatsTable[[#This Row],[GroupByKey]])*ContinuousStatsTable[Average])),0)</f>
        <v>1.5334635492504263</v>
      </c>
      <c r="P139" s="5">
        <f t="array" ref="P139">IFERROR(_xlfn.STDEV.S(IF((ContinuousStatsTable[GroupByKey]=ContinuousStatsTable[[#This Row],[GroupByKey]]),(ContinuousStatsTable[GroupByKey]=ContinuousStatsTable[[#This Row],[GroupByKey]])*ContinuousStatsTable[Average])),0)</f>
        <v>0.24155183649982462</v>
      </c>
      <c r="Q139" s="5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0.1337669483846978</v>
      </c>
      <c r="S139" s="5">
        <f t="array" ref="S139">MIN(IF((ContinuousStatsTable[GroupByKey]=ContinuousStatsTable[[#This Row],[GroupByKey]]),(ContinuousStatsTable[GroupByKey]=ContinuousStatsTable[[#This Row],[GroupByKey]])*ContinuousStatsTable[Average]))</f>
        <v>1</v>
      </c>
      <c r="T139" s="5">
        <f t="array" ref="T139">MAX(IF((ContinuousStatsTable[GroupByKey]=ContinuousStatsTable[[#This Row],[GroupByKey]]),(ContinuousStatsTable[GroupByKey]=ContinuousStatsTable[[#This Row],[GroupByKey]])*ContinuousStatsTable[Average]))</f>
        <v>2</v>
      </c>
      <c r="U139" s="5">
        <f>IF((ContinuousStatsTable[[#This Row],[RepsRequested]]&gt;1),ContinuousStatsTable[[#This Row],[HalfWidth]],ContinuousStatsTable[[#This Row],[BatchMeansHalfWidth]])</f>
        <v>0.1337669483846978</v>
      </c>
    </row>
    <row r="140" spans="1:21" x14ac:dyDescent="0.25">
      <c r="A140" t="s">
        <v>67</v>
      </c>
      <c r="B140" t="s">
        <v>70</v>
      </c>
      <c r="C140">
        <v>4</v>
      </c>
      <c r="D140" t="s">
        <v>71</v>
      </c>
      <c r="E140" t="s">
        <v>72</v>
      </c>
      <c r="F140" t="s">
        <v>73</v>
      </c>
      <c r="G140">
        <v>0</v>
      </c>
      <c r="H140">
        <v>2E+20</v>
      </c>
      <c r="I140">
        <v>0</v>
      </c>
      <c r="J140">
        <v>0</v>
      </c>
      <c r="K140">
        <v>0</v>
      </c>
      <c r="L140">
        <v>0</v>
      </c>
      <c r="M140" s="5" t="str">
        <f>ContinuousStatsTable[[#This Row],[ProjectName]]&amp;ContinuousStatsTable[[#This Row],[Name]]&amp;ContinuousStatsTable[[#This Row],[Type]]&amp;ContinuousStatsTable[[#This Row],[Source]]</f>
        <v>Unnamed ProjectassemblerInstantaneous UtilizationResource</v>
      </c>
      <c r="N140" s="5">
        <f t="array" ref="N140">MAX(IF((ProjectInfoTable[ProjectName]=ContinuousStatsTable[[#This Row],[ProjectName]]),(ProjectInfoTable[ProjectName]=ContinuousStatsTable[[#This Row],[ProjectName]])*ProjectInfoTable[NumberOfReplications]))</f>
        <v>15</v>
      </c>
      <c r="O140" s="5">
        <f t="array" ref="O140">IFERROR(AVERAGE(IF((ContinuousStatsTable[GroupByKey]=ContinuousStatsTable[[#This Row],[GroupByKey]]),(ContinuousStatsTable[GroupByKey]=ContinuousStatsTable[[#This Row],[GroupByKey]])*ContinuousStatsTable[Average])),0)</f>
        <v>0</v>
      </c>
      <c r="P140" s="5">
        <f t="array" ref="P140">IFERROR(_xlfn.STDEV.S(IF((ContinuousStatsTable[GroupByKey]=ContinuousStatsTable[[#This Row],[GroupByKey]]),(ContinuousStatsTable[GroupByKey]=ContinuousStatsTable[[#This Row],[GroupByKey]])*ContinuousStatsTable[Average])),0)</f>
        <v>0</v>
      </c>
      <c r="Q140" s="5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" s="5">
        <f t="array" ref="S140">MIN(IF((ContinuousStatsTable[GroupByKey]=ContinuousStatsTable[[#This Row],[GroupByKey]]),(ContinuousStatsTable[GroupByKey]=ContinuousStatsTable[[#This Row],[GroupByKey]])*ContinuousStatsTable[Average]))</f>
        <v>0</v>
      </c>
      <c r="T140" s="5">
        <f t="array" ref="T140">MAX(IF((ContinuousStatsTable[GroupByKey]=ContinuousStatsTable[[#This Row],[GroupByKey]]),(ContinuousStatsTable[GroupByKey]=ContinuousStatsTable[[#This Row],[GroupByKey]])*ContinuousStatsTable[Average]))</f>
        <v>0</v>
      </c>
      <c r="U140" s="5">
        <f>IF((ContinuousStatsTable[[#This Row],[RepsRequested]]&gt;1),ContinuousStatsTable[[#This Row],[HalfWidth]],ContinuousStatsTable[[#This Row],[BatchMeansHalfWidth]])</f>
        <v>0</v>
      </c>
    </row>
    <row r="141" spans="1:21" x14ac:dyDescent="0.25">
      <c r="A141" t="s">
        <v>67</v>
      </c>
      <c r="B141" t="s">
        <v>70</v>
      </c>
      <c r="C141">
        <v>4</v>
      </c>
      <c r="D141" t="s">
        <v>71</v>
      </c>
      <c r="E141" t="s">
        <v>74</v>
      </c>
      <c r="F141" t="s">
        <v>73</v>
      </c>
      <c r="G141">
        <v>0</v>
      </c>
      <c r="H141">
        <v>2E+20</v>
      </c>
      <c r="I141">
        <v>0</v>
      </c>
      <c r="J141">
        <v>0</v>
      </c>
      <c r="K141">
        <v>0</v>
      </c>
      <c r="L141">
        <v>0</v>
      </c>
      <c r="M141" s="5" t="str">
        <f>ContinuousStatsTable[[#This Row],[ProjectName]]&amp;ContinuousStatsTable[[#This Row],[Name]]&amp;ContinuousStatsTable[[#This Row],[Type]]&amp;ContinuousStatsTable[[#This Row],[Source]]</f>
        <v>Unnamed ProjectassemblerNumber BusyResource</v>
      </c>
      <c r="N141" s="5">
        <f t="array" ref="N141">MAX(IF((ProjectInfoTable[ProjectName]=ContinuousStatsTable[[#This Row],[ProjectName]]),(ProjectInfoTable[ProjectName]=ContinuousStatsTable[[#This Row],[ProjectName]])*ProjectInfoTable[NumberOfReplications]))</f>
        <v>15</v>
      </c>
      <c r="O141" s="5">
        <f t="array" ref="O141">IFERROR(AVERAGE(IF((ContinuousStatsTable[GroupByKey]=ContinuousStatsTable[[#This Row],[GroupByKey]]),(ContinuousStatsTable[GroupByKey]=ContinuousStatsTable[[#This Row],[GroupByKey]])*ContinuousStatsTable[Average])),0)</f>
        <v>0</v>
      </c>
      <c r="P141" s="5">
        <f t="array" ref="P141">IFERROR(_xlfn.STDEV.S(IF((ContinuousStatsTable[GroupByKey]=ContinuousStatsTable[[#This Row],[GroupByKey]]),(ContinuousStatsTable[GroupByKey]=ContinuousStatsTable[[#This Row],[GroupByKey]])*ContinuousStatsTable[Average])),0)</f>
        <v>0</v>
      </c>
      <c r="Q141" s="5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1" s="5">
        <f t="array" ref="S141">MIN(IF((ContinuousStatsTable[GroupByKey]=ContinuousStatsTable[[#This Row],[GroupByKey]]),(ContinuousStatsTable[GroupByKey]=ContinuousStatsTable[[#This Row],[GroupByKey]])*ContinuousStatsTable[Average]))</f>
        <v>0</v>
      </c>
      <c r="T141" s="5">
        <f t="array" ref="T141">MAX(IF((ContinuousStatsTable[GroupByKey]=ContinuousStatsTable[[#This Row],[GroupByKey]]),(ContinuousStatsTable[GroupByKey]=ContinuousStatsTable[[#This Row],[GroupByKey]])*ContinuousStatsTable[Average]))</f>
        <v>0</v>
      </c>
      <c r="U141" s="5">
        <f>IF((ContinuousStatsTable[[#This Row],[RepsRequested]]&gt;1),ContinuousStatsTable[[#This Row],[HalfWidth]],ContinuousStatsTable[[#This Row],[BatchMeansHalfWidth]])</f>
        <v>0</v>
      </c>
    </row>
    <row r="142" spans="1:21" x14ac:dyDescent="0.25">
      <c r="A142" t="s">
        <v>67</v>
      </c>
      <c r="B142" t="s">
        <v>70</v>
      </c>
      <c r="C142">
        <v>4</v>
      </c>
      <c r="D142" t="s">
        <v>71</v>
      </c>
      <c r="E142" t="s">
        <v>75</v>
      </c>
      <c r="F142" t="s">
        <v>73</v>
      </c>
      <c r="G142">
        <v>1.58341855297856</v>
      </c>
      <c r="H142">
        <v>3E+20</v>
      </c>
      <c r="I142">
        <v>1</v>
      </c>
      <c r="J142">
        <v>2</v>
      </c>
      <c r="K142">
        <v>1</v>
      </c>
      <c r="L142">
        <v>0</v>
      </c>
      <c r="M142" s="5" t="str">
        <f>ContinuousStatsTable[[#This Row],[ProjectName]]&amp;ContinuousStatsTable[[#This Row],[Name]]&amp;ContinuousStatsTable[[#This Row],[Type]]&amp;ContinuousStatsTable[[#This Row],[Source]]</f>
        <v>Unnamed ProjectassemblerNumber ScheduledResource</v>
      </c>
      <c r="N142" s="5">
        <f t="array" ref="N142">MAX(IF((ProjectInfoTable[ProjectName]=ContinuousStatsTable[[#This Row],[ProjectName]]),(ProjectInfoTable[ProjectName]=ContinuousStatsTable[[#This Row],[ProjectName]])*ProjectInfoTable[NumberOfReplications]))</f>
        <v>15</v>
      </c>
      <c r="O142" s="5">
        <f t="array" ref="O142">IFERROR(AVERAGE(IF((ContinuousStatsTable[GroupByKey]=ContinuousStatsTable[[#This Row],[GroupByKey]]),(ContinuousStatsTable[GroupByKey]=ContinuousStatsTable[[#This Row],[GroupByKey]])*ContinuousStatsTable[Average])),0)</f>
        <v>1.5333142680768803</v>
      </c>
      <c r="P142" s="5">
        <f t="array" ref="P142">IFERROR(_xlfn.STDEV.S(IF((ContinuousStatsTable[GroupByKey]=ContinuousStatsTable[[#This Row],[GroupByKey]]),(ContinuousStatsTable[GroupByKey]=ContinuousStatsTable[[#This Row],[GroupByKey]])*ContinuousStatsTable[Average])),0)</f>
        <v>0.24151891999367611</v>
      </c>
      <c r="Q142" s="5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0.13374871983117992</v>
      </c>
      <c r="S142" s="5">
        <f t="array" ref="S142">MIN(IF((ContinuousStatsTable[GroupByKey]=ContinuousStatsTable[[#This Row],[GroupByKey]]),(ContinuousStatsTable[GroupByKey]=ContinuousStatsTable[[#This Row],[GroupByKey]])*ContinuousStatsTable[Average]))</f>
        <v>1</v>
      </c>
      <c r="T142" s="5">
        <f t="array" ref="T142">MAX(IF((ContinuousStatsTable[GroupByKey]=ContinuousStatsTable[[#This Row],[GroupByKey]]),(ContinuousStatsTable[GroupByKey]=ContinuousStatsTable[[#This Row],[GroupByKey]])*ContinuousStatsTable[Average]))</f>
        <v>2</v>
      </c>
      <c r="U142" s="5">
        <f>IF((ContinuousStatsTable[[#This Row],[RepsRequested]]&gt;1),ContinuousStatsTable[[#This Row],[HalfWidth]],ContinuousStatsTable[[#This Row],[BatchMeansHalfWidth]])</f>
        <v>0.13374871983117992</v>
      </c>
    </row>
    <row r="143" spans="1:21" x14ac:dyDescent="0.25">
      <c r="A143" t="s">
        <v>67</v>
      </c>
      <c r="B143" t="s">
        <v>70</v>
      </c>
      <c r="C143">
        <v>4</v>
      </c>
      <c r="D143" t="s">
        <v>76</v>
      </c>
      <c r="E143" t="s">
        <v>72</v>
      </c>
      <c r="F143" t="s">
        <v>73</v>
      </c>
      <c r="G143">
        <v>0</v>
      </c>
      <c r="H143">
        <v>2E+20</v>
      </c>
      <c r="I143">
        <v>0</v>
      </c>
      <c r="J143">
        <v>0</v>
      </c>
      <c r="K143">
        <v>0</v>
      </c>
      <c r="L143">
        <v>0</v>
      </c>
      <c r="M143" s="5" t="str">
        <f>ContinuousStatsTable[[#This Row],[ProjectName]]&amp;ContinuousStatsTable[[#This Row],[Name]]&amp;ContinuousStatsTable[[#This Row],[Type]]&amp;ContinuousStatsTable[[#This Row],[Source]]</f>
        <v>Unnamed ProjectassemblyqcworkerInstantaneous UtilizationResource</v>
      </c>
      <c r="N143" s="5">
        <f t="array" ref="N143">MAX(IF((ProjectInfoTable[ProjectName]=ContinuousStatsTable[[#This Row],[ProjectName]]),(ProjectInfoTable[ProjectName]=ContinuousStatsTable[[#This Row],[ProjectName]])*ProjectInfoTable[NumberOfReplications]))</f>
        <v>15</v>
      </c>
      <c r="O143" s="5">
        <f t="array" ref="O143">IFERROR(AVERAGE(IF((ContinuousStatsTable[GroupByKey]=ContinuousStatsTable[[#This Row],[GroupByKey]]),(ContinuousStatsTable[GroupByKey]=ContinuousStatsTable[[#This Row],[GroupByKey]])*ContinuousStatsTable[Average])),0)</f>
        <v>0</v>
      </c>
      <c r="P143" s="5">
        <f t="array" ref="P143">IFERROR(_xlfn.STDEV.S(IF((ContinuousStatsTable[GroupByKey]=ContinuousStatsTable[[#This Row],[GroupByKey]]),(ContinuousStatsTable[GroupByKey]=ContinuousStatsTable[[#This Row],[GroupByKey]])*ContinuousStatsTable[Average])),0)</f>
        <v>0</v>
      </c>
      <c r="Q143" s="5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3" s="5">
        <f t="array" ref="S143">MIN(IF((ContinuousStatsTable[GroupByKey]=ContinuousStatsTable[[#This Row],[GroupByKey]]),(ContinuousStatsTable[GroupByKey]=ContinuousStatsTable[[#This Row],[GroupByKey]])*ContinuousStatsTable[Average]))</f>
        <v>0</v>
      </c>
      <c r="T143" s="5">
        <f t="array" ref="T143">MAX(IF((ContinuousStatsTable[GroupByKey]=ContinuousStatsTable[[#This Row],[GroupByKey]]),(ContinuousStatsTable[GroupByKey]=ContinuousStatsTable[[#This Row],[GroupByKey]])*ContinuousStatsTable[Average]))</f>
        <v>0</v>
      </c>
      <c r="U143" s="5">
        <f>IF((ContinuousStatsTable[[#This Row],[RepsRequested]]&gt;1),ContinuousStatsTable[[#This Row],[HalfWidth]],ContinuousStatsTable[[#This Row],[BatchMeansHalfWidth]])</f>
        <v>0</v>
      </c>
    </row>
    <row r="144" spans="1:21" x14ac:dyDescent="0.25">
      <c r="A144" t="s">
        <v>67</v>
      </c>
      <c r="B144" t="s">
        <v>70</v>
      </c>
      <c r="C144">
        <v>4</v>
      </c>
      <c r="D144" t="s">
        <v>76</v>
      </c>
      <c r="E144" t="s">
        <v>74</v>
      </c>
      <c r="F144" t="s">
        <v>73</v>
      </c>
      <c r="G144">
        <v>0</v>
      </c>
      <c r="H144">
        <v>2E+20</v>
      </c>
      <c r="I144">
        <v>0</v>
      </c>
      <c r="J144">
        <v>0</v>
      </c>
      <c r="K144">
        <v>0</v>
      </c>
      <c r="L144">
        <v>0</v>
      </c>
      <c r="M144" s="5" t="str">
        <f>ContinuousStatsTable[[#This Row],[ProjectName]]&amp;ContinuousStatsTable[[#This Row],[Name]]&amp;ContinuousStatsTable[[#This Row],[Type]]&amp;ContinuousStatsTable[[#This Row],[Source]]</f>
        <v>Unnamed ProjectassemblyqcworkerNumber BusyResource</v>
      </c>
      <c r="N144" s="5">
        <f t="array" ref="N144">MAX(IF((ProjectInfoTable[ProjectName]=ContinuousStatsTable[[#This Row],[ProjectName]]),(ProjectInfoTable[ProjectName]=ContinuousStatsTable[[#This Row],[ProjectName]])*ProjectInfoTable[NumberOfReplications]))</f>
        <v>15</v>
      </c>
      <c r="O144" s="5">
        <f t="array" ref="O144">IFERROR(AVERAGE(IF((ContinuousStatsTable[GroupByKey]=ContinuousStatsTable[[#This Row],[GroupByKey]]),(ContinuousStatsTable[GroupByKey]=ContinuousStatsTable[[#This Row],[GroupByKey]])*ContinuousStatsTable[Average])),0)</f>
        <v>0</v>
      </c>
      <c r="P144" s="5">
        <f t="array" ref="P144">IFERROR(_xlfn.STDEV.S(IF((ContinuousStatsTable[GroupByKey]=ContinuousStatsTable[[#This Row],[GroupByKey]]),(ContinuousStatsTable[GroupByKey]=ContinuousStatsTable[[#This Row],[GroupByKey]])*ContinuousStatsTable[Average])),0)</f>
        <v>0</v>
      </c>
      <c r="Q144" s="5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4" s="5">
        <f t="array" ref="S144">MIN(IF((ContinuousStatsTable[GroupByKey]=ContinuousStatsTable[[#This Row],[GroupByKey]]),(ContinuousStatsTable[GroupByKey]=ContinuousStatsTable[[#This Row],[GroupByKey]])*ContinuousStatsTable[Average]))</f>
        <v>0</v>
      </c>
      <c r="T144" s="5">
        <f t="array" ref="T144">MAX(IF((ContinuousStatsTable[GroupByKey]=ContinuousStatsTable[[#This Row],[GroupByKey]]),(ContinuousStatsTable[GroupByKey]=ContinuousStatsTable[[#This Row],[GroupByKey]])*ContinuousStatsTable[Average]))</f>
        <v>0</v>
      </c>
      <c r="U144" s="5">
        <f>IF((ContinuousStatsTable[[#This Row],[RepsRequested]]&gt;1),ContinuousStatsTable[[#This Row],[HalfWidth]],ContinuousStatsTable[[#This Row],[BatchMeansHalfWidth]])</f>
        <v>0</v>
      </c>
    </row>
    <row r="145" spans="1:21" x14ac:dyDescent="0.25">
      <c r="A145" t="s">
        <v>67</v>
      </c>
      <c r="B145" t="s">
        <v>70</v>
      </c>
      <c r="C145">
        <v>4</v>
      </c>
      <c r="D145" t="s">
        <v>76</v>
      </c>
      <c r="E145" t="s">
        <v>75</v>
      </c>
      <c r="F145" t="s">
        <v>73</v>
      </c>
      <c r="G145">
        <v>1.5834999999999999</v>
      </c>
      <c r="H145">
        <v>3E+20</v>
      </c>
      <c r="I145">
        <v>1</v>
      </c>
      <c r="J145">
        <v>2</v>
      </c>
      <c r="K145">
        <v>2</v>
      </c>
      <c r="L145">
        <v>0</v>
      </c>
      <c r="M145" s="5" t="str">
        <f>ContinuousStatsTable[[#This Row],[ProjectName]]&amp;ContinuousStatsTable[[#This Row],[Name]]&amp;ContinuousStatsTable[[#This Row],[Type]]&amp;ContinuousStatsTable[[#This Row],[Source]]</f>
        <v>Unnamed ProjectassemblyqcworkerNumber ScheduledResource</v>
      </c>
      <c r="N145" s="5">
        <f t="array" ref="N145">MAX(IF((ProjectInfoTable[ProjectName]=ContinuousStatsTable[[#This Row],[ProjectName]]),(ProjectInfoTable[ProjectName]=ContinuousStatsTable[[#This Row],[ProjectName]])*ProjectInfoTable[NumberOfReplications]))</f>
        <v>15</v>
      </c>
      <c r="O145" s="5">
        <f t="array" ref="O145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145" s="5">
        <f t="array" ref="P145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145" s="5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145" s="5">
        <f t="array" ref="S145">MIN(IF((ContinuousStatsTable[GroupByKey]=ContinuousStatsTable[[#This Row],[GroupByKey]]),(ContinuousStatsTable[GroupByKey]=ContinuousStatsTable[[#This Row],[GroupByKey]])*ContinuousStatsTable[Average]))</f>
        <v>1</v>
      </c>
      <c r="T145" s="5">
        <f t="array" ref="T145">MAX(IF((ContinuousStatsTable[GroupByKey]=ContinuousStatsTable[[#This Row],[GroupByKey]]),(ContinuousStatsTable[GroupByKey]=ContinuousStatsTable[[#This Row],[GroupByKey]])*ContinuousStatsTable[Average]))</f>
        <v>2</v>
      </c>
      <c r="U145" s="5">
        <f>IF((ContinuousStatsTable[[#This Row],[RepsRequested]]&gt;1),ContinuousStatsTable[[#This Row],[HalfWidth]],ContinuousStatsTable[[#This Row],[BatchMeansHalfWidth]])</f>
        <v>0.13376733135491528</v>
      </c>
    </row>
    <row r="146" spans="1:21" x14ac:dyDescent="0.25">
      <c r="A146" t="s">
        <v>67</v>
      </c>
      <c r="B146" t="s">
        <v>70</v>
      </c>
      <c r="C146">
        <v>4</v>
      </c>
      <c r="D146" t="s">
        <v>77</v>
      </c>
      <c r="E146" t="s">
        <v>78</v>
      </c>
      <c r="F146" t="s">
        <v>79</v>
      </c>
      <c r="G146">
        <v>0</v>
      </c>
      <c r="H146">
        <v>2E+20</v>
      </c>
      <c r="I146">
        <v>0</v>
      </c>
      <c r="J146">
        <v>0</v>
      </c>
      <c r="K146">
        <v>0</v>
      </c>
      <c r="L146">
        <v>0</v>
      </c>
      <c r="M146" s="5" t="str">
        <f>ContinuousStatsTable[[#This Row],[ProjectName]]&amp;ContinuousStatsTable[[#This Row],[Name]]&amp;ContinuousStatsTable[[#This Row],[Type]]&amp;ContinuousStatsTable[[#This Row],[Source]]</f>
        <v>Unnamed Projectbatched_partsWIPEntity</v>
      </c>
      <c r="N146" s="5">
        <f t="array" ref="N146">MAX(IF((ProjectInfoTable[ProjectName]=ContinuousStatsTable[[#This Row],[ProjectName]]),(ProjectInfoTable[ProjectName]=ContinuousStatsTable[[#This Row],[ProjectName]])*ProjectInfoTable[NumberOfReplications]))</f>
        <v>15</v>
      </c>
      <c r="O146" s="5">
        <f t="array" ref="O146">IFERROR(AVERAGE(IF((ContinuousStatsTable[GroupByKey]=ContinuousStatsTable[[#This Row],[GroupByKey]]),(ContinuousStatsTable[GroupByKey]=ContinuousStatsTable[[#This Row],[GroupByKey]])*ContinuousStatsTable[Average])),0)</f>
        <v>0</v>
      </c>
      <c r="P146" s="5">
        <f t="array" ref="P146">IFERROR(_xlfn.STDEV.S(IF((ContinuousStatsTable[GroupByKey]=ContinuousStatsTable[[#This Row],[GroupByKey]]),(ContinuousStatsTable[GroupByKey]=ContinuousStatsTable[[#This Row],[GroupByKey]])*ContinuousStatsTable[Average])),0)</f>
        <v>0</v>
      </c>
      <c r="Q146" s="5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6" s="5">
        <f t="array" ref="S146">MIN(IF((ContinuousStatsTable[GroupByKey]=ContinuousStatsTable[[#This Row],[GroupByKey]]),(ContinuousStatsTable[GroupByKey]=ContinuousStatsTable[[#This Row],[GroupByKey]])*ContinuousStatsTable[Average]))</f>
        <v>0</v>
      </c>
      <c r="T146" s="5">
        <f t="array" ref="T146">MAX(IF((ContinuousStatsTable[GroupByKey]=ContinuousStatsTable[[#This Row],[GroupByKey]]),(ContinuousStatsTable[GroupByKey]=ContinuousStatsTable[[#This Row],[GroupByKey]])*ContinuousStatsTable[Average]))</f>
        <v>0</v>
      </c>
      <c r="U146" s="5">
        <f>IF((ContinuousStatsTable[[#This Row],[RepsRequested]]&gt;1),ContinuousStatsTable[[#This Row],[HalfWidth]],ContinuousStatsTable[[#This Row],[BatchMeansHalfWidth]])</f>
        <v>0</v>
      </c>
    </row>
    <row r="147" spans="1:21" x14ac:dyDescent="0.25">
      <c r="A147" t="s">
        <v>67</v>
      </c>
      <c r="B147" t="s">
        <v>70</v>
      </c>
      <c r="C147">
        <v>4</v>
      </c>
      <c r="D147" t="s">
        <v>80</v>
      </c>
      <c r="E147" t="s">
        <v>72</v>
      </c>
      <c r="F147" t="s">
        <v>73</v>
      </c>
      <c r="G147">
        <v>0</v>
      </c>
      <c r="H147">
        <v>2E+20</v>
      </c>
      <c r="I147">
        <v>0</v>
      </c>
      <c r="J147">
        <v>0</v>
      </c>
      <c r="K147">
        <v>0</v>
      </c>
      <c r="L147">
        <v>0</v>
      </c>
      <c r="M147" s="5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147" s="5">
        <f t="array" ref="N147">MAX(IF((ProjectInfoTable[ProjectName]=ContinuousStatsTable[[#This Row],[ProjectName]]),(ProjectInfoTable[ProjectName]=ContinuousStatsTable[[#This Row],[ProjectName]])*ProjectInfoTable[NumberOfReplications]))</f>
        <v>15</v>
      </c>
      <c r="O147" s="5">
        <f t="array" ref="O147">IFERROR(AVERAGE(IF((ContinuousStatsTable[GroupByKey]=ContinuousStatsTable[[#This Row],[GroupByKey]]),(ContinuousStatsTable[GroupByKey]=ContinuousStatsTable[[#This Row],[GroupByKey]])*ContinuousStatsTable[Average])),0)</f>
        <v>0</v>
      </c>
      <c r="P147" s="5">
        <f t="array" ref="P147">IFERROR(_xlfn.STDEV.S(IF((ContinuousStatsTable[GroupByKey]=ContinuousStatsTable[[#This Row],[GroupByKey]]),(ContinuousStatsTable[GroupByKey]=ContinuousStatsTable[[#This Row],[GroupByKey]])*ContinuousStatsTable[Average])),0)</f>
        <v>0</v>
      </c>
      <c r="Q147" s="5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7" s="5">
        <f t="array" ref="S147">MIN(IF((ContinuousStatsTable[GroupByKey]=ContinuousStatsTable[[#This Row],[GroupByKey]]),(ContinuousStatsTable[GroupByKey]=ContinuousStatsTable[[#This Row],[GroupByKey]])*ContinuousStatsTable[Average]))</f>
        <v>0</v>
      </c>
      <c r="T147" s="5">
        <f t="array" ref="T147">MAX(IF((ContinuousStatsTable[GroupByKey]=ContinuousStatsTable[[#This Row],[GroupByKey]]),(ContinuousStatsTable[GroupByKey]=ContinuousStatsTable[[#This Row],[GroupByKey]])*ContinuousStatsTable[Average]))</f>
        <v>0</v>
      </c>
      <c r="U147" s="5">
        <f>IF((ContinuousStatsTable[[#This Row],[RepsRequested]]&gt;1),ContinuousStatsTable[[#This Row],[HalfWidth]],ContinuousStatsTable[[#This Row],[BatchMeansHalfWidth]])</f>
        <v>0</v>
      </c>
    </row>
    <row r="148" spans="1:21" x14ac:dyDescent="0.25">
      <c r="A148" t="s">
        <v>67</v>
      </c>
      <c r="B148" t="s">
        <v>70</v>
      </c>
      <c r="C148">
        <v>4</v>
      </c>
      <c r="D148" t="s">
        <v>80</v>
      </c>
      <c r="E148" t="s">
        <v>74</v>
      </c>
      <c r="F148" t="s">
        <v>73</v>
      </c>
      <c r="G148">
        <v>0</v>
      </c>
      <c r="H148">
        <v>2E+20</v>
      </c>
      <c r="I148">
        <v>0</v>
      </c>
      <c r="J148">
        <v>0</v>
      </c>
      <c r="K148">
        <v>0</v>
      </c>
      <c r="L148">
        <v>0</v>
      </c>
      <c r="M148" s="5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148" s="5">
        <f t="array" ref="N148">MAX(IF((ProjectInfoTable[ProjectName]=ContinuousStatsTable[[#This Row],[ProjectName]]),(ProjectInfoTable[ProjectName]=ContinuousStatsTable[[#This Row],[ProjectName]])*ProjectInfoTable[NumberOfReplications]))</f>
        <v>15</v>
      </c>
      <c r="O148" s="5">
        <f t="array" ref="O148">IFERROR(AVERAGE(IF((ContinuousStatsTable[GroupByKey]=ContinuousStatsTable[[#This Row],[GroupByKey]]),(ContinuousStatsTable[GroupByKey]=ContinuousStatsTable[[#This Row],[GroupByKey]])*ContinuousStatsTable[Average])),0)</f>
        <v>0</v>
      </c>
      <c r="P148" s="5">
        <f t="array" ref="P148">IFERROR(_xlfn.STDEV.S(IF((ContinuousStatsTable[GroupByKey]=ContinuousStatsTable[[#This Row],[GroupByKey]]),(ContinuousStatsTable[GroupByKey]=ContinuousStatsTable[[#This Row],[GroupByKey]])*ContinuousStatsTable[Average])),0)</f>
        <v>0</v>
      </c>
      <c r="Q148" s="5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8" s="5">
        <f t="array" ref="S148">MIN(IF((ContinuousStatsTable[GroupByKey]=ContinuousStatsTable[[#This Row],[GroupByKey]]),(ContinuousStatsTable[GroupByKey]=ContinuousStatsTable[[#This Row],[GroupByKey]])*ContinuousStatsTable[Average]))</f>
        <v>0</v>
      </c>
      <c r="T148" s="5">
        <f t="array" ref="T148">MAX(IF((ContinuousStatsTable[GroupByKey]=ContinuousStatsTable[[#This Row],[GroupByKey]]),(ContinuousStatsTable[GroupByKey]=ContinuousStatsTable[[#This Row],[GroupByKey]])*ContinuousStatsTable[Average]))</f>
        <v>0</v>
      </c>
      <c r="U148" s="5">
        <f>IF((ContinuousStatsTable[[#This Row],[RepsRequested]]&gt;1),ContinuousStatsTable[[#This Row],[HalfWidth]],ContinuousStatsTable[[#This Row],[BatchMeansHalfWidth]])</f>
        <v>0</v>
      </c>
    </row>
    <row r="149" spans="1:21" x14ac:dyDescent="0.25">
      <c r="A149" t="s">
        <v>67</v>
      </c>
      <c r="B149" t="s">
        <v>70</v>
      </c>
      <c r="C149">
        <v>4</v>
      </c>
      <c r="D149" t="s">
        <v>80</v>
      </c>
      <c r="E149" t="s">
        <v>75</v>
      </c>
      <c r="F149" t="s">
        <v>73</v>
      </c>
      <c r="G149">
        <v>1.58347112525611</v>
      </c>
      <c r="H149">
        <v>3E+20</v>
      </c>
      <c r="I149">
        <v>1</v>
      </c>
      <c r="J149">
        <v>2</v>
      </c>
      <c r="K149">
        <v>2</v>
      </c>
      <c r="L149">
        <v>0</v>
      </c>
      <c r="M149" s="5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149" s="5">
        <f t="array" ref="N149">MAX(IF((ProjectInfoTable[ProjectName]=ContinuousStatsTable[[#This Row],[ProjectName]]),(ProjectInfoTable[ProjectName]=ContinuousStatsTable[[#This Row],[ProjectName]])*ProjectInfoTable[NumberOfReplications]))</f>
        <v>15</v>
      </c>
      <c r="O149" s="5">
        <f t="array" ref="O149">IFERROR(AVERAGE(IF((ContinuousStatsTable[GroupByKey]=ContinuousStatsTable[[#This Row],[GroupByKey]]),(ContinuousStatsTable[GroupByKey]=ContinuousStatsTable[[#This Row],[GroupByKey]])*ContinuousStatsTable[Average])),0)</f>
        <v>1.5334471868881776</v>
      </c>
      <c r="P149" s="5">
        <f t="array" ref="P149">IFERROR(_xlfn.STDEV.S(IF((ContinuousStatsTable[GroupByKey]=ContinuousStatsTable[[#This Row],[GroupByKey]]),(ContinuousStatsTable[GroupByKey]=ContinuousStatsTable[[#This Row],[GroupByKey]])*ContinuousStatsTable[Average])),0)</f>
        <v>0.24154821158553658</v>
      </c>
      <c r="Q149" s="5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0.13376494097407529</v>
      </c>
      <c r="S149" s="5">
        <f t="array" ref="S149">MIN(IF((ContinuousStatsTable[GroupByKey]=ContinuousStatsTable[[#This Row],[GroupByKey]]),(ContinuousStatsTable[GroupByKey]=ContinuousStatsTable[[#This Row],[GroupByKey]])*ContinuousStatsTable[Average]))</f>
        <v>1</v>
      </c>
      <c r="T149" s="5">
        <f t="array" ref="T149">MAX(IF((ContinuousStatsTable[GroupByKey]=ContinuousStatsTable[[#This Row],[GroupByKey]]),(ContinuousStatsTable[GroupByKey]=ContinuousStatsTable[[#This Row],[GroupByKey]])*ContinuousStatsTable[Average]))</f>
        <v>2</v>
      </c>
      <c r="U149" s="5">
        <f>IF((ContinuousStatsTable[[#This Row],[RepsRequested]]&gt;1),ContinuousStatsTable[[#This Row],[HalfWidth]],ContinuousStatsTable[[#This Row],[BatchMeansHalfWidth]])</f>
        <v>0.13376494097407529</v>
      </c>
    </row>
    <row r="150" spans="1:21" x14ac:dyDescent="0.25">
      <c r="A150" t="s">
        <v>67</v>
      </c>
      <c r="B150" t="s">
        <v>70</v>
      </c>
      <c r="C150">
        <v>4</v>
      </c>
      <c r="D150" t="s">
        <v>81</v>
      </c>
      <c r="E150" t="s">
        <v>72</v>
      </c>
      <c r="F150" t="s">
        <v>73</v>
      </c>
      <c r="G150">
        <v>0</v>
      </c>
      <c r="H150">
        <v>2E+20</v>
      </c>
      <c r="I150">
        <v>0</v>
      </c>
      <c r="J150">
        <v>0</v>
      </c>
      <c r="K150">
        <v>0</v>
      </c>
      <c r="L150">
        <v>0</v>
      </c>
      <c r="M150" s="5" t="str">
        <f>ContinuousStatsTable[[#This Row],[ProjectName]]&amp;ContinuousStatsTable[[#This Row],[Name]]&amp;ContinuousStatsTable[[#This Row],[Type]]&amp;ContinuousStatsTable[[#This Row],[Source]]</f>
        <v>Unnamed ProjectcutterInstantaneous UtilizationResource</v>
      </c>
      <c r="N150" s="5">
        <f t="array" ref="N150">MAX(IF((ProjectInfoTable[ProjectName]=ContinuousStatsTable[[#This Row],[ProjectName]]),(ProjectInfoTable[ProjectName]=ContinuousStatsTable[[#This Row],[ProjectName]])*ProjectInfoTable[NumberOfReplications]))</f>
        <v>15</v>
      </c>
      <c r="O150" s="5">
        <f t="array" ref="O150">IFERROR(AVERAGE(IF((ContinuousStatsTable[GroupByKey]=ContinuousStatsTable[[#This Row],[GroupByKey]]),(ContinuousStatsTable[GroupByKey]=ContinuousStatsTable[[#This Row],[GroupByKey]])*ContinuousStatsTable[Average])),0)</f>
        <v>0</v>
      </c>
      <c r="P150" s="5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s="5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s="5">
        <f t="array" ref="S150">MIN(IF((ContinuousStatsTable[GroupByKey]=ContinuousStatsTable[[#This Row],[GroupByKey]]),(ContinuousStatsTable[GroupByKey]=ContinuousStatsTable[[#This Row],[GroupByKey]])*ContinuousStatsTable[Average]))</f>
        <v>0</v>
      </c>
      <c r="T150" s="5">
        <f t="array" ref="T150">MAX(IF((ContinuousStatsTable[GroupByKey]=ContinuousStatsTable[[#This Row],[GroupByKey]]),(ContinuousStatsTable[GroupByKey]=ContinuousStatsTable[[#This Row],[GroupByKey]])*ContinuousStatsTable[Average]))</f>
        <v>0</v>
      </c>
      <c r="U150" s="5">
        <f>IF((ContinuousStatsTable[[#This Row],[RepsRequested]]&gt;1),ContinuousStatsTable[[#This Row],[HalfWidth]],ContinuousStatsTable[[#This Row],[BatchMeansHalfWidth]])</f>
        <v>0</v>
      </c>
    </row>
    <row r="151" spans="1:21" x14ac:dyDescent="0.25">
      <c r="A151" t="s">
        <v>67</v>
      </c>
      <c r="B151" t="s">
        <v>70</v>
      </c>
      <c r="C151">
        <v>4</v>
      </c>
      <c r="D151" t="s">
        <v>81</v>
      </c>
      <c r="E151" t="s">
        <v>74</v>
      </c>
      <c r="F151" t="s">
        <v>73</v>
      </c>
      <c r="G151">
        <v>0</v>
      </c>
      <c r="H151">
        <v>2E+20</v>
      </c>
      <c r="I151">
        <v>0</v>
      </c>
      <c r="J151">
        <v>0</v>
      </c>
      <c r="K151">
        <v>0</v>
      </c>
      <c r="L151">
        <v>0</v>
      </c>
      <c r="M151" s="5" t="str">
        <f>ContinuousStatsTable[[#This Row],[ProjectName]]&amp;ContinuousStatsTable[[#This Row],[Name]]&amp;ContinuousStatsTable[[#This Row],[Type]]&amp;ContinuousStatsTable[[#This Row],[Source]]</f>
        <v>Unnamed ProjectcutterNumber BusyResource</v>
      </c>
      <c r="N151" s="5">
        <f t="array" ref="N151">MAX(IF((ProjectInfoTable[ProjectName]=ContinuousStatsTable[[#This Row],[ProjectName]]),(ProjectInfoTable[ProjectName]=ContinuousStatsTable[[#This Row],[ProjectName]])*ProjectInfoTable[NumberOfReplications]))</f>
        <v>15</v>
      </c>
      <c r="O151" s="5">
        <f t="array" ref="O151">IFERROR(AVERAGE(IF((ContinuousStatsTable[GroupByKey]=ContinuousStatsTable[[#This Row],[GroupByKey]]),(ContinuousStatsTable[GroupByKey]=ContinuousStatsTable[[#This Row],[GroupByKey]])*ContinuousStatsTable[Average])),0)</f>
        <v>0</v>
      </c>
      <c r="P151" s="5">
        <f t="array" ref="P151">IFERROR(_xlfn.STDEV.S(IF((ContinuousStatsTable[GroupByKey]=ContinuousStatsTable[[#This Row],[GroupByKey]]),(ContinuousStatsTable[GroupByKey]=ContinuousStatsTable[[#This Row],[GroupByKey]])*ContinuousStatsTable[Average])),0)</f>
        <v>0</v>
      </c>
      <c r="Q151" s="5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1" s="5">
        <f t="array" ref="S151">MIN(IF((ContinuousStatsTable[GroupByKey]=ContinuousStatsTable[[#This Row],[GroupByKey]]),(ContinuousStatsTable[GroupByKey]=ContinuousStatsTable[[#This Row],[GroupByKey]])*ContinuousStatsTable[Average]))</f>
        <v>0</v>
      </c>
      <c r="T151" s="5">
        <f t="array" ref="T151">MAX(IF((ContinuousStatsTable[GroupByKey]=ContinuousStatsTable[[#This Row],[GroupByKey]]),(ContinuousStatsTable[GroupByKey]=ContinuousStatsTable[[#This Row],[GroupByKey]])*ContinuousStatsTable[Average]))</f>
        <v>0</v>
      </c>
      <c r="U151" s="5">
        <f>IF((ContinuousStatsTable[[#This Row],[RepsRequested]]&gt;1),ContinuousStatsTable[[#This Row],[HalfWidth]],ContinuousStatsTable[[#This Row],[BatchMeansHalfWidth]])</f>
        <v>0</v>
      </c>
    </row>
    <row r="152" spans="1:21" x14ac:dyDescent="0.25">
      <c r="A152" t="s">
        <v>67</v>
      </c>
      <c r="B152" t="s">
        <v>70</v>
      </c>
      <c r="C152">
        <v>4</v>
      </c>
      <c r="D152" t="s">
        <v>81</v>
      </c>
      <c r="E152" t="s">
        <v>75</v>
      </c>
      <c r="F152" t="s">
        <v>73</v>
      </c>
      <c r="G152">
        <v>1.583375</v>
      </c>
      <c r="H152">
        <v>3E+20</v>
      </c>
      <c r="I152">
        <v>1</v>
      </c>
      <c r="J152">
        <v>2</v>
      </c>
      <c r="K152">
        <v>2</v>
      </c>
      <c r="L152">
        <v>0</v>
      </c>
      <c r="M152" s="5" t="str">
        <f>ContinuousStatsTable[[#This Row],[ProjectName]]&amp;ContinuousStatsTable[[#This Row],[Name]]&amp;ContinuousStatsTable[[#This Row],[Type]]&amp;ContinuousStatsTable[[#This Row],[Source]]</f>
        <v>Unnamed ProjectcutterNumber ScheduledResource</v>
      </c>
      <c r="N152" s="5">
        <f t="array" ref="N152">MAX(IF((ProjectInfoTable[ProjectName]=ContinuousStatsTable[[#This Row],[ProjectName]]),(ProjectInfoTable[ProjectName]=ContinuousStatsTable[[#This Row],[ProjectName]])*ProjectInfoTable[NumberOfReplications]))</f>
        <v>15</v>
      </c>
      <c r="O152" s="5">
        <f t="array" ref="O152">IFERROR(AVERAGE(IF((ContinuousStatsTable[GroupByKey]=ContinuousStatsTable[[#This Row],[GroupByKey]]),(ContinuousStatsTable[GroupByKey]=ContinuousStatsTable[[#This Row],[GroupByKey]])*ContinuousStatsTable[Average])),0)</f>
        <v>1.5332999999999999</v>
      </c>
      <c r="P152" s="5">
        <f t="array" ref="P152">IFERROR(_xlfn.STDEV.S(IF((ContinuousStatsTable[GroupByKey]=ContinuousStatsTable[[#This Row],[GroupByKey]]),(ContinuousStatsTable[GroupByKey]=ContinuousStatsTable[[#This Row],[GroupByKey]])*ContinuousStatsTable[Average])),0)</f>
        <v>0.24151556349584294</v>
      </c>
      <c r="Q152" s="5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0.1337468610646356</v>
      </c>
      <c r="S152" s="5">
        <f t="array" ref="S152">MIN(IF((ContinuousStatsTable[GroupByKey]=ContinuousStatsTable[[#This Row],[GroupByKey]]),(ContinuousStatsTable[GroupByKey]=ContinuousStatsTable[[#This Row],[GroupByKey]])*ContinuousStatsTable[Average]))</f>
        <v>1</v>
      </c>
      <c r="T152" s="5">
        <f t="array" ref="T152">MAX(IF((ContinuousStatsTable[GroupByKey]=ContinuousStatsTable[[#This Row],[GroupByKey]]),(ContinuousStatsTable[GroupByKey]=ContinuousStatsTable[[#This Row],[GroupByKey]])*ContinuousStatsTable[Average]))</f>
        <v>2</v>
      </c>
      <c r="U152" s="5">
        <f>IF((ContinuousStatsTable[[#This Row],[RepsRequested]]&gt;1),ContinuousStatsTable[[#This Row],[HalfWidth]],ContinuousStatsTable[[#This Row],[BatchMeansHalfWidth]])</f>
        <v>0.1337468610646356</v>
      </c>
    </row>
    <row r="153" spans="1:21" x14ac:dyDescent="0.25">
      <c r="A153" t="s">
        <v>67</v>
      </c>
      <c r="B153" t="s">
        <v>70</v>
      </c>
      <c r="C153">
        <v>4</v>
      </c>
      <c r="D153" t="s">
        <v>82</v>
      </c>
      <c r="E153" t="s">
        <v>72</v>
      </c>
      <c r="F153" t="s">
        <v>73</v>
      </c>
      <c r="G153">
        <v>0</v>
      </c>
      <c r="H153">
        <v>2E+20</v>
      </c>
      <c r="I153">
        <v>0</v>
      </c>
      <c r="J153">
        <v>0</v>
      </c>
      <c r="K153">
        <v>0</v>
      </c>
      <c r="L153">
        <v>0</v>
      </c>
      <c r="M153" s="5" t="str">
        <f>ContinuousStatsTable[[#This Row],[ProjectName]]&amp;ContinuousStatsTable[[#This Row],[Name]]&amp;ContinuousStatsTable[[#This Row],[Type]]&amp;ContinuousStatsTable[[#This Row],[Source]]</f>
        <v>Unnamed ProjectfinalqcmanInstantaneous UtilizationResource</v>
      </c>
      <c r="N153" s="5">
        <f t="array" ref="N153">MAX(IF((ProjectInfoTable[ProjectName]=ContinuousStatsTable[[#This Row],[ProjectName]]),(ProjectInfoTable[ProjectName]=ContinuousStatsTable[[#This Row],[ProjectName]])*ProjectInfoTable[NumberOfReplications]))</f>
        <v>15</v>
      </c>
      <c r="O153" s="5">
        <f t="array" ref="O153">IFERROR(AVERAGE(IF((ContinuousStatsTable[GroupByKey]=ContinuousStatsTable[[#This Row],[GroupByKey]]),(ContinuousStatsTable[GroupByKey]=ContinuousStatsTable[[#This Row],[GroupByKey]])*ContinuousStatsTable[Average])),0)</f>
        <v>0</v>
      </c>
      <c r="P153" s="5">
        <f t="array" ref="P153">IFERROR(_xlfn.STDEV.S(IF((ContinuousStatsTable[GroupByKey]=ContinuousStatsTable[[#This Row],[GroupByKey]]),(ContinuousStatsTable[GroupByKey]=ContinuousStatsTable[[#This Row],[GroupByKey]])*ContinuousStatsTable[Average])),0)</f>
        <v>0</v>
      </c>
      <c r="Q153" s="5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3" s="5">
        <f t="array" ref="S153">MIN(IF((ContinuousStatsTable[GroupByKey]=ContinuousStatsTable[[#This Row],[GroupByKey]]),(ContinuousStatsTable[GroupByKey]=ContinuousStatsTable[[#This Row],[GroupByKey]])*ContinuousStatsTable[Average]))</f>
        <v>0</v>
      </c>
      <c r="T153" s="5">
        <f t="array" ref="T153">MAX(IF((ContinuousStatsTable[GroupByKey]=ContinuousStatsTable[[#This Row],[GroupByKey]]),(ContinuousStatsTable[GroupByKey]=ContinuousStatsTable[[#This Row],[GroupByKey]])*ContinuousStatsTable[Average]))</f>
        <v>0</v>
      </c>
      <c r="U153" s="5">
        <f>IF((ContinuousStatsTable[[#This Row],[RepsRequested]]&gt;1),ContinuousStatsTable[[#This Row],[HalfWidth]],ContinuousStatsTable[[#This Row],[BatchMeansHalfWidth]])</f>
        <v>0</v>
      </c>
    </row>
    <row r="154" spans="1:21" x14ac:dyDescent="0.25">
      <c r="A154" t="s">
        <v>67</v>
      </c>
      <c r="B154" t="s">
        <v>70</v>
      </c>
      <c r="C154">
        <v>4</v>
      </c>
      <c r="D154" t="s">
        <v>82</v>
      </c>
      <c r="E154" t="s">
        <v>74</v>
      </c>
      <c r="F154" t="s">
        <v>73</v>
      </c>
      <c r="G154">
        <v>0</v>
      </c>
      <c r="H154">
        <v>2E+20</v>
      </c>
      <c r="I154">
        <v>0</v>
      </c>
      <c r="J154">
        <v>0</v>
      </c>
      <c r="K154">
        <v>0</v>
      </c>
      <c r="L154">
        <v>0</v>
      </c>
      <c r="M154" s="5" t="str">
        <f>ContinuousStatsTable[[#This Row],[ProjectName]]&amp;ContinuousStatsTable[[#This Row],[Name]]&amp;ContinuousStatsTable[[#This Row],[Type]]&amp;ContinuousStatsTable[[#This Row],[Source]]</f>
        <v>Unnamed ProjectfinalqcmanNumber BusyResource</v>
      </c>
      <c r="N154" s="5">
        <f t="array" ref="N154">MAX(IF((ProjectInfoTable[ProjectName]=ContinuousStatsTable[[#This Row],[ProjectName]]),(ProjectInfoTable[ProjectName]=ContinuousStatsTable[[#This Row],[ProjectName]])*ProjectInfoTable[NumberOfReplications]))</f>
        <v>15</v>
      </c>
      <c r="O154" s="5">
        <f t="array" ref="O154">IFERROR(AVERAGE(IF((ContinuousStatsTable[GroupByKey]=ContinuousStatsTable[[#This Row],[GroupByKey]]),(ContinuousStatsTable[GroupByKey]=ContinuousStatsTable[[#This Row],[GroupByKey]])*ContinuousStatsTable[Average])),0)</f>
        <v>0</v>
      </c>
      <c r="P154" s="5">
        <f t="array" ref="P154">IFERROR(_xlfn.STDEV.S(IF((ContinuousStatsTable[GroupByKey]=ContinuousStatsTable[[#This Row],[GroupByKey]]),(ContinuousStatsTable[GroupByKey]=ContinuousStatsTable[[#This Row],[GroupByKey]])*ContinuousStatsTable[Average])),0)</f>
        <v>0</v>
      </c>
      <c r="Q154" s="5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4" s="5">
        <f t="array" ref="S154">MIN(IF((ContinuousStatsTable[GroupByKey]=ContinuousStatsTable[[#This Row],[GroupByKey]]),(ContinuousStatsTable[GroupByKey]=ContinuousStatsTable[[#This Row],[GroupByKey]])*ContinuousStatsTable[Average]))</f>
        <v>0</v>
      </c>
      <c r="T154" s="5">
        <f t="array" ref="T154">MAX(IF((ContinuousStatsTable[GroupByKey]=ContinuousStatsTable[[#This Row],[GroupByKey]]),(ContinuousStatsTable[GroupByKey]=ContinuousStatsTable[[#This Row],[GroupByKey]])*ContinuousStatsTable[Average]))</f>
        <v>0</v>
      </c>
      <c r="U154" s="5">
        <f>IF((ContinuousStatsTable[[#This Row],[RepsRequested]]&gt;1),ContinuousStatsTable[[#This Row],[HalfWidth]],ContinuousStatsTable[[#This Row],[BatchMeansHalfWidth]])</f>
        <v>0</v>
      </c>
    </row>
    <row r="155" spans="1:21" x14ac:dyDescent="0.25">
      <c r="A155" t="s">
        <v>67</v>
      </c>
      <c r="B155" t="s">
        <v>70</v>
      </c>
      <c r="C155">
        <v>4</v>
      </c>
      <c r="D155" t="s">
        <v>82</v>
      </c>
      <c r="E155" t="s">
        <v>75</v>
      </c>
      <c r="F155" t="s">
        <v>73</v>
      </c>
      <c r="G155">
        <v>1.5834999999999999</v>
      </c>
      <c r="H155">
        <v>3E+20</v>
      </c>
      <c r="I155">
        <v>1</v>
      </c>
      <c r="J155">
        <v>2</v>
      </c>
      <c r="K155">
        <v>2</v>
      </c>
      <c r="L155">
        <v>0</v>
      </c>
      <c r="M155" s="5" t="str">
        <f>ContinuousStatsTable[[#This Row],[ProjectName]]&amp;ContinuousStatsTable[[#This Row],[Name]]&amp;ContinuousStatsTable[[#This Row],[Type]]&amp;ContinuousStatsTable[[#This Row],[Source]]</f>
        <v>Unnamed ProjectfinalqcmanNumber ScheduledResource</v>
      </c>
      <c r="N155" s="5">
        <f t="array" ref="N155">MAX(IF((ProjectInfoTable[ProjectName]=ContinuousStatsTable[[#This Row],[ProjectName]]),(ProjectInfoTable[ProjectName]=ContinuousStatsTable[[#This Row],[ProjectName]])*ProjectInfoTable[NumberOfReplications]))</f>
        <v>15</v>
      </c>
      <c r="O155" s="5">
        <f t="array" ref="O155">IFERROR(AVERAGE(IF((ContinuousStatsTable[GroupByKey]=ContinuousStatsTable[[#This Row],[GroupByKey]]),(ContinuousStatsTable[GroupByKey]=ContinuousStatsTable[[#This Row],[GroupByKey]])*ContinuousStatsTable[Average])),0)</f>
        <v>1.5334510661643974</v>
      </c>
      <c r="P155" s="5">
        <f t="array" ref="P155">IFERROR(_xlfn.STDEV.S(IF((ContinuousStatsTable[GroupByKey]=ContinuousStatsTable[[#This Row],[GroupByKey]]),(ContinuousStatsTable[GroupByKey]=ContinuousStatsTable[[#This Row],[GroupByKey]])*ContinuousStatsTable[Average])),0)</f>
        <v>0.24154906725932371</v>
      </c>
      <c r="Q155" s="5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0.13376541483042423</v>
      </c>
      <c r="S155" s="5">
        <f t="array" ref="S155">MIN(IF((ContinuousStatsTable[GroupByKey]=ContinuousStatsTable[[#This Row],[GroupByKey]]),(ContinuousStatsTable[GroupByKey]=ContinuousStatsTable[[#This Row],[GroupByKey]])*ContinuousStatsTable[Average]))</f>
        <v>1</v>
      </c>
      <c r="T155" s="5">
        <f t="array" ref="T155">MAX(IF((ContinuousStatsTable[GroupByKey]=ContinuousStatsTable[[#This Row],[GroupByKey]]),(ContinuousStatsTable[GroupByKey]=ContinuousStatsTable[[#This Row],[GroupByKey]])*ContinuousStatsTable[Average]))</f>
        <v>2</v>
      </c>
      <c r="U155" s="5">
        <f>IF((ContinuousStatsTable[[#This Row],[RepsRequested]]&gt;1),ContinuousStatsTable[[#This Row],[HalfWidth]],ContinuousStatsTable[[#This Row],[BatchMeansHalfWidth]])</f>
        <v>0.13376541483042423</v>
      </c>
    </row>
    <row r="156" spans="1:21" x14ac:dyDescent="0.25">
      <c r="A156" t="s">
        <v>67</v>
      </c>
      <c r="B156" t="s">
        <v>70</v>
      </c>
      <c r="C156">
        <v>4</v>
      </c>
      <c r="D156" t="s">
        <v>83</v>
      </c>
      <c r="E156" t="s">
        <v>84</v>
      </c>
      <c r="F156" t="s">
        <v>85</v>
      </c>
      <c r="G156">
        <v>0</v>
      </c>
      <c r="H156">
        <v>2E+20</v>
      </c>
      <c r="I156">
        <v>0</v>
      </c>
      <c r="J156">
        <v>0</v>
      </c>
      <c r="K156">
        <v>0</v>
      </c>
      <c r="L156">
        <v>0</v>
      </c>
      <c r="M156" s="5" t="str">
        <f>ContinuousStatsTable[[#This Row],[ProjectName]]&amp;ContinuousStatsTable[[#This Row],[Name]]&amp;ContinuousStatsTable[[#This Row],[Type]]&amp;ContinuousStatsTable[[#This Row],[Source]]</f>
        <v>Unnamed Projectinspectorseize.QueueNumber WaitingQueue</v>
      </c>
      <c r="N156" s="5">
        <f t="array" ref="N156">MAX(IF((ProjectInfoTable[ProjectName]=ContinuousStatsTable[[#This Row],[ProjectName]]),(ProjectInfoTable[ProjectName]=ContinuousStatsTable[[#This Row],[ProjectName]])*ProjectInfoTable[NumberOfReplications]))</f>
        <v>15</v>
      </c>
      <c r="O156" s="5">
        <f t="array" ref="O156">IFERROR(AVERAGE(IF((ContinuousStatsTable[GroupByKey]=ContinuousStatsTable[[#This Row],[GroupByKey]]),(ContinuousStatsTable[GroupByKey]=ContinuousStatsTable[[#This Row],[GroupByKey]])*ContinuousStatsTable[Average])),0)</f>
        <v>0</v>
      </c>
      <c r="P156" s="5">
        <f t="array" ref="P156">IFERROR(_xlfn.STDEV.S(IF((ContinuousStatsTable[GroupByKey]=ContinuousStatsTable[[#This Row],[GroupByKey]]),(ContinuousStatsTable[GroupByKey]=ContinuousStatsTable[[#This Row],[GroupByKey]])*ContinuousStatsTable[Average])),0)</f>
        <v>0</v>
      </c>
      <c r="Q156" s="5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6" s="5">
        <f t="array" ref="S156">MIN(IF((ContinuousStatsTable[GroupByKey]=ContinuousStatsTable[[#This Row],[GroupByKey]]),(ContinuousStatsTable[GroupByKey]=ContinuousStatsTable[[#This Row],[GroupByKey]])*ContinuousStatsTable[Average]))</f>
        <v>0</v>
      </c>
      <c r="T156" s="5">
        <f t="array" ref="T156">MAX(IF((ContinuousStatsTable[GroupByKey]=ContinuousStatsTable[[#This Row],[GroupByKey]]),(ContinuousStatsTable[GroupByKey]=ContinuousStatsTable[[#This Row],[GroupByKey]])*ContinuousStatsTable[Average]))</f>
        <v>0</v>
      </c>
      <c r="U156" s="5">
        <f>IF((ContinuousStatsTable[[#This Row],[RepsRequested]]&gt;1),ContinuousStatsTable[[#This Row],[HalfWidth]],ContinuousStatsTable[[#This Row],[BatchMeansHalfWidth]])</f>
        <v>0</v>
      </c>
    </row>
    <row r="157" spans="1:21" x14ac:dyDescent="0.25">
      <c r="A157" t="s">
        <v>67</v>
      </c>
      <c r="B157" t="s">
        <v>70</v>
      </c>
      <c r="C157">
        <v>4</v>
      </c>
      <c r="D157" t="s">
        <v>86</v>
      </c>
      <c r="E157" t="s">
        <v>84</v>
      </c>
      <c r="F157" t="s">
        <v>85</v>
      </c>
      <c r="G157">
        <v>10</v>
      </c>
      <c r="H157">
        <v>2E+20</v>
      </c>
      <c r="I157">
        <v>10</v>
      </c>
      <c r="J157">
        <v>10</v>
      </c>
      <c r="K157">
        <v>10</v>
      </c>
      <c r="L157">
        <v>0</v>
      </c>
      <c r="M157" s="5" t="str">
        <f>ContinuousStatsTable[[#This Row],[ProjectName]]&amp;ContinuousStatsTable[[#This Row],[Name]]&amp;ContinuousStatsTable[[#This Row],[Type]]&amp;ContinuousStatsTable[[#This Row],[Source]]</f>
        <v>Unnamed Projectmatch_truckcombo.Queue1Number WaitingQueue</v>
      </c>
      <c r="N157" s="5">
        <f t="array" ref="N157">MAX(IF((ProjectInfoTable[ProjectName]=ContinuousStatsTable[[#This Row],[ProjectName]]),(ProjectInfoTable[ProjectName]=ContinuousStatsTable[[#This Row],[ProjectName]])*ProjectInfoTable[NumberOfReplications]))</f>
        <v>15</v>
      </c>
      <c r="O157" s="5">
        <f t="array" ref="O157">IFERROR(AVERAGE(IF((ContinuousStatsTable[GroupByKey]=ContinuousStatsTable[[#This Row],[GroupByKey]]),(ContinuousStatsTable[GroupByKey]=ContinuousStatsTable[[#This Row],[GroupByKey]])*ContinuousStatsTable[Average])),0)</f>
        <v>3.3333333333333335</v>
      </c>
      <c r="P157" s="5">
        <f t="array" ref="P157">IFERROR(_xlfn.STDEV.S(IF((ContinuousStatsTable[GroupByKey]=ContinuousStatsTable[[#This Row],[GroupByKey]]),(ContinuousStatsTable[GroupByKey]=ContinuousStatsTable[[#This Row],[GroupByKey]])*ContinuousStatsTable[Average])),0)</f>
        <v>4.577377082170635</v>
      </c>
      <c r="Q157" s="5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2.5348669368881507</v>
      </c>
      <c r="S157" s="5">
        <f t="array" ref="S157">MIN(IF((ContinuousStatsTable[GroupByKey]=ContinuousStatsTable[[#This Row],[GroupByKey]]),(ContinuousStatsTable[GroupByKey]=ContinuousStatsTable[[#This Row],[GroupByKey]])*ContinuousStatsTable[Average]))</f>
        <v>0</v>
      </c>
      <c r="T157" s="5">
        <f t="array" ref="T157">MAX(IF((ContinuousStatsTable[GroupByKey]=ContinuousStatsTable[[#This Row],[GroupByKey]]),(ContinuousStatsTable[GroupByKey]=ContinuousStatsTable[[#This Row],[GroupByKey]])*ContinuousStatsTable[Average]))</f>
        <v>12</v>
      </c>
      <c r="U157" s="5">
        <f>IF((ContinuousStatsTable[[#This Row],[RepsRequested]]&gt;1),ContinuousStatsTable[[#This Row],[HalfWidth]],ContinuousStatsTable[[#This Row],[BatchMeansHalfWidth]])</f>
        <v>2.5348669368881507</v>
      </c>
    </row>
    <row r="158" spans="1:21" x14ac:dyDescent="0.25">
      <c r="A158" t="s">
        <v>67</v>
      </c>
      <c r="B158" t="s">
        <v>70</v>
      </c>
      <c r="C158">
        <v>4</v>
      </c>
      <c r="D158" t="s">
        <v>87</v>
      </c>
      <c r="E158" t="s">
        <v>84</v>
      </c>
      <c r="F158" t="s">
        <v>85</v>
      </c>
      <c r="G158">
        <v>0</v>
      </c>
      <c r="H158">
        <v>2E+20</v>
      </c>
      <c r="I158">
        <v>0</v>
      </c>
      <c r="J158">
        <v>0</v>
      </c>
      <c r="K158">
        <v>0</v>
      </c>
      <c r="L158">
        <v>0</v>
      </c>
      <c r="M158" s="5" t="str">
        <f>ContinuousStatsTable[[#This Row],[ProjectName]]&amp;ContinuousStatsTable[[#This Row],[Name]]&amp;ContinuousStatsTable[[#This Row],[Type]]&amp;ContinuousStatsTable[[#This Row],[Source]]</f>
        <v>Unnamed Projectmatch_truckcombo.Queue2Number WaitingQueue</v>
      </c>
      <c r="N158" s="5">
        <f t="array" ref="N158">MAX(IF((ProjectInfoTable[ProjectName]=ContinuousStatsTable[[#This Row],[ProjectName]]),(ProjectInfoTable[ProjectName]=ContinuousStatsTable[[#This Row],[ProjectName]])*ProjectInfoTable[NumberOfReplications]))</f>
        <v>15</v>
      </c>
      <c r="O158" s="5">
        <f t="array" ref="O158">IFERROR(AVERAGE(IF((ContinuousStatsTable[GroupByKey]=ContinuousStatsTable[[#This Row],[GroupByKey]]),(ContinuousStatsTable[GroupByKey]=ContinuousStatsTable[[#This Row],[GroupByKey]])*ContinuousStatsTable[Average])),0)</f>
        <v>2.8</v>
      </c>
      <c r="P158" s="5">
        <f t="array" ref="P158">IFERROR(_xlfn.STDEV.S(IF((ContinuousStatsTable[GroupByKey]=ContinuousStatsTable[[#This Row],[GroupByKey]]),(ContinuousStatsTable[GroupByKey]=ContinuousStatsTable[[#This Row],[GroupByKey]])*ContinuousStatsTable[Average])),0)</f>
        <v>5.226307081896902</v>
      </c>
      <c r="Q158" s="5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2.8942323925042523</v>
      </c>
      <c r="S158" s="5">
        <f t="array" ref="S158">MIN(IF((ContinuousStatsTable[GroupByKey]=ContinuousStatsTable[[#This Row],[GroupByKey]]),(ContinuousStatsTable[GroupByKey]=ContinuousStatsTable[[#This Row],[GroupByKey]])*ContinuousStatsTable[Average]))</f>
        <v>0</v>
      </c>
      <c r="T158" s="5">
        <f t="array" ref="T158">MAX(IF((ContinuousStatsTable[GroupByKey]=ContinuousStatsTable[[#This Row],[GroupByKey]]),(ContinuousStatsTable[GroupByKey]=ContinuousStatsTable[[#This Row],[GroupByKey]])*ContinuousStatsTable[Average]))</f>
        <v>16</v>
      </c>
      <c r="U158" s="5">
        <f>IF((ContinuousStatsTable[[#This Row],[RepsRequested]]&gt;1),ContinuousStatsTable[[#This Row],[HalfWidth]],ContinuousStatsTable[[#This Row],[BatchMeansHalfWidth]])</f>
        <v>2.8942323925042523</v>
      </c>
    </row>
    <row r="159" spans="1:21" x14ac:dyDescent="0.25">
      <c r="A159" t="s">
        <v>67</v>
      </c>
      <c r="B159" t="s">
        <v>70</v>
      </c>
      <c r="C159">
        <v>4</v>
      </c>
      <c r="D159" t="s">
        <v>88</v>
      </c>
      <c r="E159" t="s">
        <v>72</v>
      </c>
      <c r="F159" t="s">
        <v>73</v>
      </c>
      <c r="G159">
        <v>0</v>
      </c>
      <c r="H159">
        <v>2E+20</v>
      </c>
      <c r="I159">
        <v>0</v>
      </c>
      <c r="J159">
        <v>0</v>
      </c>
      <c r="K159">
        <v>0</v>
      </c>
      <c r="L159">
        <v>0</v>
      </c>
      <c r="M159" s="5" t="str">
        <f>ContinuousStatsTable[[#This Row],[ProjectName]]&amp;ContinuousStatsTable[[#This Row],[Name]]&amp;ContinuousStatsTable[[#This Row],[Type]]&amp;ContinuousStatsTable[[#This Row],[Source]]</f>
        <v>Unnamed ProjectpaintingmachineInstantaneous UtilizationResource</v>
      </c>
      <c r="N159" s="5">
        <f t="array" ref="N159">MAX(IF((ProjectInfoTable[ProjectName]=ContinuousStatsTable[[#This Row],[ProjectName]]),(ProjectInfoTable[ProjectName]=ContinuousStatsTable[[#This Row],[ProjectName]])*ProjectInfoTable[NumberOfReplications]))</f>
        <v>15</v>
      </c>
      <c r="O159" s="5">
        <f t="array" ref="O159">IFERROR(AVERAGE(IF((ContinuousStatsTable[GroupByKey]=ContinuousStatsTable[[#This Row],[GroupByKey]]),(ContinuousStatsTable[GroupByKey]=ContinuousStatsTable[[#This Row],[GroupByKey]])*ContinuousStatsTable[Average])),0)</f>
        <v>0</v>
      </c>
      <c r="P159" s="5">
        <f t="array" ref="P159">IFERROR(_xlfn.STDEV.S(IF((ContinuousStatsTable[GroupByKey]=ContinuousStatsTable[[#This Row],[GroupByKey]]),(ContinuousStatsTable[GroupByKey]=ContinuousStatsTable[[#This Row],[GroupByKey]])*ContinuousStatsTable[Average])),0)</f>
        <v>0</v>
      </c>
      <c r="Q159" s="5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9" s="5">
        <f t="array" ref="S159">MIN(IF((ContinuousStatsTable[GroupByKey]=ContinuousStatsTable[[#This Row],[GroupByKey]]),(ContinuousStatsTable[GroupByKey]=ContinuousStatsTable[[#This Row],[GroupByKey]])*ContinuousStatsTable[Average]))</f>
        <v>0</v>
      </c>
      <c r="T159" s="5">
        <f t="array" ref="T159">MAX(IF((ContinuousStatsTable[GroupByKey]=ContinuousStatsTable[[#This Row],[GroupByKey]]),(ContinuousStatsTable[GroupByKey]=ContinuousStatsTable[[#This Row],[GroupByKey]])*ContinuousStatsTable[Average]))</f>
        <v>0</v>
      </c>
      <c r="U159" s="5">
        <f>IF((ContinuousStatsTable[[#This Row],[RepsRequested]]&gt;1),ContinuousStatsTable[[#This Row],[HalfWidth]],ContinuousStatsTable[[#This Row],[BatchMeansHalfWidth]])</f>
        <v>0</v>
      </c>
    </row>
    <row r="160" spans="1:21" x14ac:dyDescent="0.25">
      <c r="A160" t="s">
        <v>67</v>
      </c>
      <c r="B160" t="s">
        <v>70</v>
      </c>
      <c r="C160">
        <v>4</v>
      </c>
      <c r="D160" t="s">
        <v>88</v>
      </c>
      <c r="E160" t="s">
        <v>74</v>
      </c>
      <c r="F160" t="s">
        <v>73</v>
      </c>
      <c r="G160">
        <v>0</v>
      </c>
      <c r="H160">
        <v>2E+20</v>
      </c>
      <c r="I160">
        <v>0</v>
      </c>
      <c r="J160">
        <v>0</v>
      </c>
      <c r="K160">
        <v>0</v>
      </c>
      <c r="L160">
        <v>0</v>
      </c>
      <c r="M160" s="5" t="str">
        <f>ContinuousStatsTable[[#This Row],[ProjectName]]&amp;ContinuousStatsTable[[#This Row],[Name]]&amp;ContinuousStatsTable[[#This Row],[Type]]&amp;ContinuousStatsTable[[#This Row],[Source]]</f>
        <v>Unnamed ProjectpaintingmachineNumber BusyResource</v>
      </c>
      <c r="N160" s="5">
        <f t="array" ref="N160">MAX(IF((ProjectInfoTable[ProjectName]=ContinuousStatsTable[[#This Row],[ProjectName]]),(ProjectInfoTable[ProjectName]=ContinuousStatsTable[[#This Row],[ProjectName]])*ProjectInfoTable[NumberOfReplications]))</f>
        <v>15</v>
      </c>
      <c r="O160" s="5">
        <f t="array" ref="O160">IFERROR(AVERAGE(IF((ContinuousStatsTable[GroupByKey]=ContinuousStatsTable[[#This Row],[GroupByKey]]),(ContinuousStatsTable[GroupByKey]=ContinuousStatsTable[[#This Row],[GroupByKey]])*ContinuousStatsTable[Average])),0)</f>
        <v>0</v>
      </c>
      <c r="P160" s="5">
        <f t="array" ref="P160">IFERROR(_xlfn.STDEV.S(IF((ContinuousStatsTable[GroupByKey]=ContinuousStatsTable[[#This Row],[GroupByKey]]),(ContinuousStatsTable[GroupByKey]=ContinuousStatsTable[[#This Row],[GroupByKey]])*ContinuousStatsTable[Average])),0)</f>
        <v>0</v>
      </c>
      <c r="Q160" s="5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0" s="5">
        <f t="array" ref="S160">MIN(IF((ContinuousStatsTable[GroupByKey]=ContinuousStatsTable[[#This Row],[GroupByKey]]),(ContinuousStatsTable[GroupByKey]=ContinuousStatsTable[[#This Row],[GroupByKey]])*ContinuousStatsTable[Average]))</f>
        <v>0</v>
      </c>
      <c r="T160" s="5">
        <f t="array" ref="T160">MAX(IF((ContinuousStatsTable[GroupByKey]=ContinuousStatsTable[[#This Row],[GroupByKey]]),(ContinuousStatsTable[GroupByKey]=ContinuousStatsTable[[#This Row],[GroupByKey]])*ContinuousStatsTable[Average]))</f>
        <v>0</v>
      </c>
      <c r="U160" s="5">
        <f>IF((ContinuousStatsTable[[#This Row],[RepsRequested]]&gt;1),ContinuousStatsTable[[#This Row],[HalfWidth]],ContinuousStatsTable[[#This Row],[BatchMeansHalfWidth]])</f>
        <v>0</v>
      </c>
    </row>
    <row r="161" spans="1:21" x14ac:dyDescent="0.25">
      <c r="A161" t="s">
        <v>67</v>
      </c>
      <c r="B161" t="s">
        <v>70</v>
      </c>
      <c r="C161">
        <v>4</v>
      </c>
      <c r="D161" t="s">
        <v>88</v>
      </c>
      <c r="E161" t="s">
        <v>75</v>
      </c>
      <c r="F161" t="s">
        <v>73</v>
      </c>
      <c r="G161">
        <v>1</v>
      </c>
      <c r="H161">
        <v>2E+20</v>
      </c>
      <c r="I161">
        <v>1</v>
      </c>
      <c r="J161">
        <v>1</v>
      </c>
      <c r="K161">
        <v>1</v>
      </c>
      <c r="L161">
        <v>0</v>
      </c>
      <c r="M161" s="5" t="str">
        <f>ContinuousStatsTable[[#This Row],[ProjectName]]&amp;ContinuousStatsTable[[#This Row],[Name]]&amp;ContinuousStatsTable[[#This Row],[Type]]&amp;ContinuousStatsTable[[#This Row],[Source]]</f>
        <v>Unnamed ProjectpaintingmachineNumber ScheduledResource</v>
      </c>
      <c r="N161" s="5">
        <f t="array" ref="N161">MAX(IF((ProjectInfoTable[ProjectName]=ContinuousStatsTable[[#This Row],[ProjectName]]),(ProjectInfoTable[ProjectName]=ContinuousStatsTable[[#This Row],[ProjectName]])*ProjectInfoTable[NumberOfReplications]))</f>
        <v>15</v>
      </c>
      <c r="O161" s="5">
        <f t="array" ref="O161">IFERROR(AVERAGE(IF((ContinuousStatsTable[GroupByKey]=ContinuousStatsTable[[#This Row],[GroupByKey]]),(ContinuousStatsTable[GroupByKey]=ContinuousStatsTable[[#This Row],[GroupByKey]])*ContinuousStatsTable[Average])),0)</f>
        <v>1</v>
      </c>
      <c r="P161" s="5">
        <f t="array" ref="P161">IFERROR(_xlfn.STDEV.S(IF((ContinuousStatsTable[GroupByKey]=ContinuousStatsTable[[#This Row],[GroupByKey]]),(ContinuousStatsTable[GroupByKey]=ContinuousStatsTable[[#This Row],[GroupByKey]])*ContinuousStatsTable[Average])),0)</f>
        <v>0</v>
      </c>
      <c r="Q161" s="5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1" s="5">
        <f t="array" ref="S161">MIN(IF((ContinuousStatsTable[GroupByKey]=ContinuousStatsTable[[#This Row],[GroupByKey]]),(ContinuousStatsTable[GroupByKey]=ContinuousStatsTable[[#This Row],[GroupByKey]])*ContinuousStatsTable[Average]))</f>
        <v>1</v>
      </c>
      <c r="T161" s="5">
        <f t="array" ref="T161">MAX(IF((ContinuousStatsTable[GroupByKey]=ContinuousStatsTable[[#This Row],[GroupByKey]]),(ContinuousStatsTable[GroupByKey]=ContinuousStatsTable[[#This Row],[GroupByKey]])*ContinuousStatsTable[Average]))</f>
        <v>1</v>
      </c>
      <c r="U161" s="5">
        <f>IF((ContinuousStatsTable[[#This Row],[RepsRequested]]&gt;1),ContinuousStatsTable[[#This Row],[HalfWidth]],ContinuousStatsTable[[#This Row],[BatchMeansHalfWidth]])</f>
        <v>0</v>
      </c>
    </row>
    <row r="162" spans="1:21" x14ac:dyDescent="0.25">
      <c r="A162" t="s">
        <v>67</v>
      </c>
      <c r="B162" t="s">
        <v>70</v>
      </c>
      <c r="C162">
        <v>4</v>
      </c>
      <c r="D162" t="s">
        <v>89</v>
      </c>
      <c r="E162" t="s">
        <v>72</v>
      </c>
      <c r="F162" t="s">
        <v>73</v>
      </c>
      <c r="G162">
        <v>0</v>
      </c>
      <c r="H162">
        <v>2E+20</v>
      </c>
      <c r="I162">
        <v>0</v>
      </c>
      <c r="J162">
        <v>0</v>
      </c>
      <c r="K162">
        <v>0</v>
      </c>
      <c r="L162">
        <v>0</v>
      </c>
      <c r="M162" s="5" t="str">
        <f>ContinuousStatsTable[[#This Row],[ProjectName]]&amp;ContinuousStatsTable[[#This Row],[Name]]&amp;ContinuousStatsTable[[#This Row],[Type]]&amp;ContinuousStatsTable[[#This Row],[Source]]</f>
        <v>Unnamed ProjectpaintingoperatorInstantaneous UtilizationResource</v>
      </c>
      <c r="N162" s="5">
        <f t="array" ref="N162">MAX(IF((ProjectInfoTable[ProjectName]=ContinuousStatsTable[[#This Row],[ProjectName]]),(ProjectInfoTable[ProjectName]=ContinuousStatsTable[[#This Row],[ProjectName]])*ProjectInfoTable[NumberOfReplications]))</f>
        <v>15</v>
      </c>
      <c r="O162" s="5">
        <f t="array" ref="O162">IFERROR(AVERAGE(IF((ContinuousStatsTable[GroupByKey]=ContinuousStatsTable[[#This Row],[GroupByKey]]),(ContinuousStatsTable[GroupByKey]=ContinuousStatsTable[[#This Row],[GroupByKey]])*ContinuousStatsTable[Average])),0)</f>
        <v>0</v>
      </c>
      <c r="P162" s="5">
        <f t="array" ref="P162">IFERROR(_xlfn.STDEV.S(IF((ContinuousStatsTable[GroupByKey]=ContinuousStatsTable[[#This Row],[GroupByKey]]),(ContinuousStatsTable[GroupByKey]=ContinuousStatsTable[[#This Row],[GroupByKey]])*ContinuousStatsTable[Average])),0)</f>
        <v>0</v>
      </c>
      <c r="Q162" s="5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2" s="5">
        <f t="array" ref="S162">MIN(IF((ContinuousStatsTable[GroupByKey]=ContinuousStatsTable[[#This Row],[GroupByKey]]),(ContinuousStatsTable[GroupByKey]=ContinuousStatsTable[[#This Row],[GroupByKey]])*ContinuousStatsTable[Average]))</f>
        <v>0</v>
      </c>
      <c r="T162" s="5">
        <f t="array" ref="T162">MAX(IF((ContinuousStatsTable[GroupByKey]=ContinuousStatsTable[[#This Row],[GroupByKey]]),(ContinuousStatsTable[GroupByKey]=ContinuousStatsTable[[#This Row],[GroupByKey]])*ContinuousStatsTable[Average]))</f>
        <v>0</v>
      </c>
      <c r="U162" s="5">
        <f>IF((ContinuousStatsTable[[#This Row],[RepsRequested]]&gt;1),ContinuousStatsTable[[#This Row],[HalfWidth]],ContinuousStatsTable[[#This Row],[BatchMeansHalfWidth]])</f>
        <v>0</v>
      </c>
    </row>
    <row r="163" spans="1:21" x14ac:dyDescent="0.25">
      <c r="A163" t="s">
        <v>67</v>
      </c>
      <c r="B163" t="s">
        <v>70</v>
      </c>
      <c r="C163">
        <v>4</v>
      </c>
      <c r="D163" t="s">
        <v>89</v>
      </c>
      <c r="E163" t="s">
        <v>74</v>
      </c>
      <c r="F163" t="s">
        <v>73</v>
      </c>
      <c r="G163">
        <v>0</v>
      </c>
      <c r="H163">
        <v>2E+20</v>
      </c>
      <c r="I163">
        <v>0</v>
      </c>
      <c r="J163">
        <v>0</v>
      </c>
      <c r="K163">
        <v>0</v>
      </c>
      <c r="L163">
        <v>0</v>
      </c>
      <c r="M163" s="5" t="str">
        <f>ContinuousStatsTable[[#This Row],[ProjectName]]&amp;ContinuousStatsTable[[#This Row],[Name]]&amp;ContinuousStatsTable[[#This Row],[Type]]&amp;ContinuousStatsTable[[#This Row],[Source]]</f>
        <v>Unnamed ProjectpaintingoperatorNumber BusyResource</v>
      </c>
      <c r="N163" s="5">
        <f t="array" ref="N163">MAX(IF((ProjectInfoTable[ProjectName]=ContinuousStatsTable[[#This Row],[ProjectName]]),(ProjectInfoTable[ProjectName]=ContinuousStatsTable[[#This Row],[ProjectName]])*ProjectInfoTable[NumberOfReplications]))</f>
        <v>15</v>
      </c>
      <c r="O163" s="5">
        <f t="array" ref="O163">IFERROR(AVERAGE(IF((ContinuousStatsTable[GroupByKey]=ContinuousStatsTable[[#This Row],[GroupByKey]]),(ContinuousStatsTable[GroupByKey]=ContinuousStatsTable[[#This Row],[GroupByKey]])*ContinuousStatsTable[Average])),0)</f>
        <v>0</v>
      </c>
      <c r="P163" s="5">
        <f t="array" ref="P163">IFERROR(_xlfn.STDEV.S(IF((ContinuousStatsTable[GroupByKey]=ContinuousStatsTable[[#This Row],[GroupByKey]]),(ContinuousStatsTable[GroupByKey]=ContinuousStatsTable[[#This Row],[GroupByKey]])*ContinuousStatsTable[Average])),0)</f>
        <v>0</v>
      </c>
      <c r="Q163" s="5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3" s="5">
        <f t="array" ref="S163">MIN(IF((ContinuousStatsTable[GroupByKey]=ContinuousStatsTable[[#This Row],[GroupByKey]]),(ContinuousStatsTable[GroupByKey]=ContinuousStatsTable[[#This Row],[GroupByKey]])*ContinuousStatsTable[Average]))</f>
        <v>0</v>
      </c>
      <c r="T163" s="5">
        <f t="array" ref="T163">MAX(IF((ContinuousStatsTable[GroupByKey]=ContinuousStatsTable[[#This Row],[GroupByKey]]),(ContinuousStatsTable[GroupByKey]=ContinuousStatsTable[[#This Row],[GroupByKey]])*ContinuousStatsTable[Average]))</f>
        <v>0</v>
      </c>
      <c r="U163" s="5">
        <f>IF((ContinuousStatsTable[[#This Row],[RepsRequested]]&gt;1),ContinuousStatsTable[[#This Row],[HalfWidth]],ContinuousStatsTable[[#This Row],[BatchMeansHalfWidth]])</f>
        <v>0</v>
      </c>
    </row>
    <row r="164" spans="1:21" x14ac:dyDescent="0.25">
      <c r="A164" t="s">
        <v>67</v>
      </c>
      <c r="B164" t="s">
        <v>70</v>
      </c>
      <c r="C164">
        <v>4</v>
      </c>
      <c r="D164" t="s">
        <v>89</v>
      </c>
      <c r="E164" t="s">
        <v>75</v>
      </c>
      <c r="F164" t="s">
        <v>73</v>
      </c>
      <c r="G164">
        <v>1.5834999999999999</v>
      </c>
      <c r="H164">
        <v>3E+20</v>
      </c>
      <c r="I164">
        <v>1</v>
      </c>
      <c r="J164">
        <v>2</v>
      </c>
      <c r="K164">
        <v>2</v>
      </c>
      <c r="L164">
        <v>0</v>
      </c>
      <c r="M164" s="5" t="str">
        <f>ContinuousStatsTable[[#This Row],[ProjectName]]&amp;ContinuousStatsTable[[#This Row],[Name]]&amp;ContinuousStatsTable[[#This Row],[Type]]&amp;ContinuousStatsTable[[#This Row],[Source]]</f>
        <v>Unnamed ProjectpaintingoperatorNumber ScheduledResource</v>
      </c>
      <c r="N164" s="5">
        <f t="array" ref="N164">MAX(IF((ProjectInfoTable[ProjectName]=ContinuousStatsTable[[#This Row],[ProjectName]]),(ProjectInfoTable[ProjectName]=ContinuousStatsTable[[#This Row],[ProjectName]])*ProjectInfoTable[NumberOfReplications]))</f>
        <v>15</v>
      </c>
      <c r="O164" s="5">
        <f t="array" ref="O164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164" s="5">
        <f t="array" ref="P164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164" s="5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164" s="5">
        <f t="array" ref="S164">MIN(IF((ContinuousStatsTable[GroupByKey]=ContinuousStatsTable[[#This Row],[GroupByKey]]),(ContinuousStatsTable[GroupByKey]=ContinuousStatsTable[[#This Row],[GroupByKey]])*ContinuousStatsTable[Average]))</f>
        <v>1</v>
      </c>
      <c r="T164" s="5">
        <f t="array" ref="T164">MAX(IF((ContinuousStatsTable[GroupByKey]=ContinuousStatsTable[[#This Row],[GroupByKey]]),(ContinuousStatsTable[GroupByKey]=ContinuousStatsTable[[#This Row],[GroupByKey]])*ContinuousStatsTable[Average]))</f>
        <v>2</v>
      </c>
      <c r="U164" s="5">
        <f>IF((ContinuousStatsTable[[#This Row],[RepsRequested]]&gt;1),ContinuousStatsTable[[#This Row],[HalfWidth]],ContinuousStatsTable[[#This Row],[BatchMeansHalfWidth]])</f>
        <v>0.13376733135491528</v>
      </c>
    </row>
    <row r="165" spans="1:21" x14ac:dyDescent="0.25">
      <c r="A165" t="s">
        <v>67</v>
      </c>
      <c r="B165" t="s">
        <v>70</v>
      </c>
      <c r="C165">
        <v>4</v>
      </c>
      <c r="D165" t="s">
        <v>90</v>
      </c>
      <c r="E165" t="s">
        <v>72</v>
      </c>
      <c r="F165" t="s">
        <v>73</v>
      </c>
      <c r="G165">
        <v>0</v>
      </c>
      <c r="H165">
        <v>2E+20</v>
      </c>
      <c r="I165">
        <v>0</v>
      </c>
      <c r="J165">
        <v>0</v>
      </c>
      <c r="K165">
        <v>0</v>
      </c>
      <c r="L165">
        <v>0</v>
      </c>
      <c r="M165" s="5" t="str">
        <f>ContinuousStatsTable[[#This Row],[ProjectName]]&amp;ContinuousStatsTable[[#This Row],[Name]]&amp;ContinuousStatsTable[[#This Row],[Type]]&amp;ContinuousStatsTable[[#This Row],[Source]]</f>
        <v>Unnamed ProjectsandblastmachineInstantaneous UtilizationResource</v>
      </c>
      <c r="N165" s="5">
        <f t="array" ref="N165">MAX(IF((ProjectInfoTable[ProjectName]=ContinuousStatsTable[[#This Row],[ProjectName]]),(ProjectInfoTable[ProjectName]=ContinuousStatsTable[[#This Row],[ProjectName]])*ProjectInfoTable[NumberOfReplications]))</f>
        <v>15</v>
      </c>
      <c r="O165" s="5">
        <f t="array" ref="O165">IFERROR(AVERAGE(IF((ContinuousStatsTable[GroupByKey]=ContinuousStatsTable[[#This Row],[GroupByKey]]),(ContinuousStatsTable[GroupByKey]=ContinuousStatsTable[[#This Row],[GroupByKey]])*ContinuousStatsTable[Average])),0)</f>
        <v>0</v>
      </c>
      <c r="P165" s="5">
        <f t="array" ref="P165">IFERROR(_xlfn.STDEV.S(IF((ContinuousStatsTable[GroupByKey]=ContinuousStatsTable[[#This Row],[GroupByKey]]),(ContinuousStatsTable[GroupByKey]=ContinuousStatsTable[[#This Row],[GroupByKey]])*ContinuousStatsTable[Average])),0)</f>
        <v>0</v>
      </c>
      <c r="Q165" s="5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5" s="5">
        <f t="array" ref="S165">MIN(IF((ContinuousStatsTable[GroupByKey]=ContinuousStatsTable[[#This Row],[GroupByKey]]),(ContinuousStatsTable[GroupByKey]=ContinuousStatsTable[[#This Row],[GroupByKey]])*ContinuousStatsTable[Average]))</f>
        <v>0</v>
      </c>
      <c r="T165" s="5">
        <f t="array" ref="T165">MAX(IF((ContinuousStatsTable[GroupByKey]=ContinuousStatsTable[[#This Row],[GroupByKey]]),(ContinuousStatsTable[GroupByKey]=ContinuousStatsTable[[#This Row],[GroupByKey]])*ContinuousStatsTable[Average]))</f>
        <v>0</v>
      </c>
      <c r="U165" s="5">
        <f>IF((ContinuousStatsTable[[#This Row],[RepsRequested]]&gt;1),ContinuousStatsTable[[#This Row],[HalfWidth]],ContinuousStatsTable[[#This Row],[BatchMeansHalfWidth]])</f>
        <v>0</v>
      </c>
    </row>
    <row r="166" spans="1:21" x14ac:dyDescent="0.25">
      <c r="A166" t="s">
        <v>67</v>
      </c>
      <c r="B166" t="s">
        <v>70</v>
      </c>
      <c r="C166">
        <v>4</v>
      </c>
      <c r="D166" t="s">
        <v>90</v>
      </c>
      <c r="E166" t="s">
        <v>74</v>
      </c>
      <c r="F166" t="s">
        <v>73</v>
      </c>
      <c r="G166">
        <v>0</v>
      </c>
      <c r="H166">
        <v>2E+20</v>
      </c>
      <c r="I166">
        <v>0</v>
      </c>
      <c r="J166">
        <v>0</v>
      </c>
      <c r="K166">
        <v>0</v>
      </c>
      <c r="L166">
        <v>0</v>
      </c>
      <c r="M166" s="5" t="str">
        <f>ContinuousStatsTable[[#This Row],[ProjectName]]&amp;ContinuousStatsTable[[#This Row],[Name]]&amp;ContinuousStatsTable[[#This Row],[Type]]&amp;ContinuousStatsTable[[#This Row],[Source]]</f>
        <v>Unnamed ProjectsandblastmachineNumber BusyResource</v>
      </c>
      <c r="N166" s="5">
        <f t="array" ref="N166">MAX(IF((ProjectInfoTable[ProjectName]=ContinuousStatsTable[[#This Row],[ProjectName]]),(ProjectInfoTable[ProjectName]=ContinuousStatsTable[[#This Row],[ProjectName]])*ProjectInfoTable[NumberOfReplications]))</f>
        <v>15</v>
      </c>
      <c r="O166" s="5">
        <f t="array" ref="O166">IFERROR(AVERAGE(IF((ContinuousStatsTable[GroupByKey]=ContinuousStatsTable[[#This Row],[GroupByKey]]),(ContinuousStatsTable[GroupByKey]=ContinuousStatsTable[[#This Row],[GroupByKey]])*ContinuousStatsTable[Average])),0)</f>
        <v>0</v>
      </c>
      <c r="P166" s="5">
        <f t="array" ref="P166">IFERROR(_xlfn.STDEV.S(IF((ContinuousStatsTable[GroupByKey]=ContinuousStatsTable[[#This Row],[GroupByKey]]),(ContinuousStatsTable[GroupByKey]=ContinuousStatsTable[[#This Row],[GroupByKey]])*ContinuousStatsTable[Average])),0)</f>
        <v>0</v>
      </c>
      <c r="Q166" s="5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6" s="5">
        <f t="array" ref="S166">MIN(IF((ContinuousStatsTable[GroupByKey]=ContinuousStatsTable[[#This Row],[GroupByKey]]),(ContinuousStatsTable[GroupByKey]=ContinuousStatsTable[[#This Row],[GroupByKey]])*ContinuousStatsTable[Average]))</f>
        <v>0</v>
      </c>
      <c r="T166" s="5">
        <f t="array" ref="T166">MAX(IF((ContinuousStatsTable[GroupByKey]=ContinuousStatsTable[[#This Row],[GroupByKey]]),(ContinuousStatsTable[GroupByKey]=ContinuousStatsTable[[#This Row],[GroupByKey]])*ContinuousStatsTable[Average]))</f>
        <v>0</v>
      </c>
      <c r="U166" s="5">
        <f>IF((ContinuousStatsTable[[#This Row],[RepsRequested]]&gt;1),ContinuousStatsTable[[#This Row],[HalfWidth]],ContinuousStatsTable[[#This Row],[BatchMeansHalfWidth]])</f>
        <v>0</v>
      </c>
    </row>
    <row r="167" spans="1:21" x14ac:dyDescent="0.25">
      <c r="A167" t="s">
        <v>67</v>
      </c>
      <c r="B167" t="s">
        <v>70</v>
      </c>
      <c r="C167">
        <v>4</v>
      </c>
      <c r="D167" t="s">
        <v>90</v>
      </c>
      <c r="E167" t="s">
        <v>75</v>
      </c>
      <c r="F167" t="s">
        <v>73</v>
      </c>
      <c r="G167">
        <v>1</v>
      </c>
      <c r="H167">
        <v>2E+20</v>
      </c>
      <c r="I167">
        <v>1</v>
      </c>
      <c r="J167">
        <v>1</v>
      </c>
      <c r="K167">
        <v>1</v>
      </c>
      <c r="L167">
        <v>0</v>
      </c>
      <c r="M167" s="5" t="str">
        <f>ContinuousStatsTable[[#This Row],[ProjectName]]&amp;ContinuousStatsTable[[#This Row],[Name]]&amp;ContinuousStatsTable[[#This Row],[Type]]&amp;ContinuousStatsTable[[#This Row],[Source]]</f>
        <v>Unnamed ProjectsandblastmachineNumber ScheduledResource</v>
      </c>
      <c r="N167" s="5">
        <f t="array" ref="N167">MAX(IF((ProjectInfoTable[ProjectName]=ContinuousStatsTable[[#This Row],[ProjectName]]),(ProjectInfoTable[ProjectName]=ContinuousStatsTable[[#This Row],[ProjectName]])*ProjectInfoTable[NumberOfReplications]))</f>
        <v>15</v>
      </c>
      <c r="O167" s="5">
        <f t="array" ref="O167">IFERROR(AVERAGE(IF((ContinuousStatsTable[GroupByKey]=ContinuousStatsTable[[#This Row],[GroupByKey]]),(ContinuousStatsTable[GroupByKey]=ContinuousStatsTable[[#This Row],[GroupByKey]])*ContinuousStatsTable[Average])),0)</f>
        <v>1</v>
      </c>
      <c r="P167" s="5">
        <f t="array" ref="P167">IFERROR(_xlfn.STDEV.S(IF((ContinuousStatsTable[GroupByKey]=ContinuousStatsTable[[#This Row],[GroupByKey]]),(ContinuousStatsTable[GroupByKey]=ContinuousStatsTable[[#This Row],[GroupByKey]])*ContinuousStatsTable[Average])),0)</f>
        <v>0</v>
      </c>
      <c r="Q167" s="5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7" s="5">
        <f t="array" ref="S167">MIN(IF((ContinuousStatsTable[GroupByKey]=ContinuousStatsTable[[#This Row],[GroupByKey]]),(ContinuousStatsTable[GroupByKey]=ContinuousStatsTable[[#This Row],[GroupByKey]])*ContinuousStatsTable[Average]))</f>
        <v>1</v>
      </c>
      <c r="T167" s="5">
        <f t="array" ref="T167">MAX(IF((ContinuousStatsTable[GroupByKey]=ContinuousStatsTable[[#This Row],[GroupByKey]]),(ContinuousStatsTable[GroupByKey]=ContinuousStatsTable[[#This Row],[GroupByKey]])*ContinuousStatsTable[Average]))</f>
        <v>1</v>
      </c>
      <c r="U167" s="5">
        <f>IF((ContinuousStatsTable[[#This Row],[RepsRequested]]&gt;1),ContinuousStatsTable[[#This Row],[HalfWidth]],ContinuousStatsTable[[#This Row],[BatchMeansHalfWidth]])</f>
        <v>0</v>
      </c>
    </row>
    <row r="168" spans="1:21" x14ac:dyDescent="0.25">
      <c r="A168" t="s">
        <v>67</v>
      </c>
      <c r="B168" t="s">
        <v>70</v>
      </c>
      <c r="C168">
        <v>4</v>
      </c>
      <c r="D168" t="s">
        <v>91</v>
      </c>
      <c r="E168" t="s">
        <v>72</v>
      </c>
      <c r="F168" t="s">
        <v>73</v>
      </c>
      <c r="G168">
        <v>0</v>
      </c>
      <c r="H168">
        <v>2E+20</v>
      </c>
      <c r="I168">
        <v>0</v>
      </c>
      <c r="J168">
        <v>0</v>
      </c>
      <c r="K168">
        <v>0</v>
      </c>
      <c r="L168">
        <v>0</v>
      </c>
      <c r="M168" s="5" t="str">
        <f>ContinuousStatsTable[[#This Row],[ProjectName]]&amp;ContinuousStatsTable[[#This Row],[Name]]&amp;ContinuousStatsTable[[#This Row],[Type]]&amp;ContinuousStatsTable[[#This Row],[Source]]</f>
        <v>Unnamed ProjectsandblastoperatorInstantaneous UtilizationResource</v>
      </c>
      <c r="N168" s="5">
        <f t="array" ref="N168">MAX(IF((ProjectInfoTable[ProjectName]=ContinuousStatsTable[[#This Row],[ProjectName]]),(ProjectInfoTable[ProjectName]=ContinuousStatsTable[[#This Row],[ProjectName]])*ProjectInfoTable[NumberOfReplications]))</f>
        <v>15</v>
      </c>
      <c r="O168" s="5">
        <f t="array" ref="O168">IFERROR(AVERAGE(IF((ContinuousStatsTable[GroupByKey]=ContinuousStatsTable[[#This Row],[GroupByKey]]),(ContinuousStatsTable[GroupByKey]=ContinuousStatsTable[[#This Row],[GroupByKey]])*ContinuousStatsTable[Average])),0)</f>
        <v>0</v>
      </c>
      <c r="P168" s="5">
        <f t="array" ref="P168">IFERROR(_xlfn.STDEV.S(IF((ContinuousStatsTable[GroupByKey]=ContinuousStatsTable[[#This Row],[GroupByKey]]),(ContinuousStatsTable[GroupByKey]=ContinuousStatsTable[[#This Row],[GroupByKey]])*ContinuousStatsTable[Average])),0)</f>
        <v>0</v>
      </c>
      <c r="Q168" s="5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8" s="5">
        <f t="array" ref="S168">MIN(IF((ContinuousStatsTable[GroupByKey]=ContinuousStatsTable[[#This Row],[GroupByKey]]),(ContinuousStatsTable[GroupByKey]=ContinuousStatsTable[[#This Row],[GroupByKey]])*ContinuousStatsTable[Average]))</f>
        <v>0</v>
      </c>
      <c r="T168" s="5">
        <f t="array" ref="T168">MAX(IF((ContinuousStatsTable[GroupByKey]=ContinuousStatsTable[[#This Row],[GroupByKey]]),(ContinuousStatsTable[GroupByKey]=ContinuousStatsTable[[#This Row],[GroupByKey]])*ContinuousStatsTable[Average]))</f>
        <v>0</v>
      </c>
      <c r="U168" s="5">
        <f>IF((ContinuousStatsTable[[#This Row],[RepsRequested]]&gt;1),ContinuousStatsTable[[#This Row],[HalfWidth]],ContinuousStatsTable[[#This Row],[BatchMeansHalfWidth]])</f>
        <v>0</v>
      </c>
    </row>
    <row r="169" spans="1:21" x14ac:dyDescent="0.25">
      <c r="A169" t="s">
        <v>67</v>
      </c>
      <c r="B169" t="s">
        <v>70</v>
      </c>
      <c r="C169">
        <v>4</v>
      </c>
      <c r="D169" t="s">
        <v>91</v>
      </c>
      <c r="E169" t="s">
        <v>74</v>
      </c>
      <c r="F169" t="s">
        <v>73</v>
      </c>
      <c r="G169">
        <v>0</v>
      </c>
      <c r="H169">
        <v>2E+20</v>
      </c>
      <c r="I169">
        <v>0</v>
      </c>
      <c r="J169">
        <v>0</v>
      </c>
      <c r="K169">
        <v>0</v>
      </c>
      <c r="L169">
        <v>0</v>
      </c>
      <c r="M169" s="5" t="str">
        <f>ContinuousStatsTable[[#This Row],[ProjectName]]&amp;ContinuousStatsTable[[#This Row],[Name]]&amp;ContinuousStatsTable[[#This Row],[Type]]&amp;ContinuousStatsTable[[#This Row],[Source]]</f>
        <v>Unnamed ProjectsandblastoperatorNumber BusyResource</v>
      </c>
      <c r="N169" s="5">
        <f t="array" ref="N169">MAX(IF((ProjectInfoTable[ProjectName]=ContinuousStatsTable[[#This Row],[ProjectName]]),(ProjectInfoTable[ProjectName]=ContinuousStatsTable[[#This Row],[ProjectName]])*ProjectInfoTable[NumberOfReplications]))</f>
        <v>15</v>
      </c>
      <c r="O169" s="5">
        <f t="array" ref="O169">IFERROR(AVERAGE(IF((ContinuousStatsTable[GroupByKey]=ContinuousStatsTable[[#This Row],[GroupByKey]]),(ContinuousStatsTable[GroupByKey]=ContinuousStatsTable[[#This Row],[GroupByKey]])*ContinuousStatsTable[Average])),0)</f>
        <v>0</v>
      </c>
      <c r="P169" s="5">
        <f t="array" ref="P169">IFERROR(_xlfn.STDEV.S(IF((ContinuousStatsTable[GroupByKey]=ContinuousStatsTable[[#This Row],[GroupByKey]]),(ContinuousStatsTable[GroupByKey]=ContinuousStatsTable[[#This Row],[GroupByKey]])*ContinuousStatsTable[Average])),0)</f>
        <v>0</v>
      </c>
      <c r="Q169" s="5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9" s="5">
        <f t="array" ref="S169">MIN(IF((ContinuousStatsTable[GroupByKey]=ContinuousStatsTable[[#This Row],[GroupByKey]]),(ContinuousStatsTable[GroupByKey]=ContinuousStatsTable[[#This Row],[GroupByKey]])*ContinuousStatsTable[Average]))</f>
        <v>0</v>
      </c>
      <c r="T169" s="5">
        <f t="array" ref="T169">MAX(IF((ContinuousStatsTable[GroupByKey]=ContinuousStatsTable[[#This Row],[GroupByKey]]),(ContinuousStatsTable[GroupByKey]=ContinuousStatsTable[[#This Row],[GroupByKey]])*ContinuousStatsTable[Average]))</f>
        <v>0</v>
      </c>
      <c r="U169" s="5">
        <f>IF((ContinuousStatsTable[[#This Row],[RepsRequested]]&gt;1),ContinuousStatsTable[[#This Row],[HalfWidth]],ContinuousStatsTable[[#This Row],[BatchMeansHalfWidth]])</f>
        <v>0</v>
      </c>
    </row>
    <row r="170" spans="1:21" x14ac:dyDescent="0.25">
      <c r="A170" t="s">
        <v>67</v>
      </c>
      <c r="B170" t="s">
        <v>70</v>
      </c>
      <c r="C170">
        <v>4</v>
      </c>
      <c r="D170" t="s">
        <v>91</v>
      </c>
      <c r="E170" t="s">
        <v>75</v>
      </c>
      <c r="F170" t="s">
        <v>73</v>
      </c>
      <c r="G170">
        <v>1.5834999999999999</v>
      </c>
      <c r="H170">
        <v>3E+20</v>
      </c>
      <c r="I170">
        <v>1</v>
      </c>
      <c r="J170">
        <v>2</v>
      </c>
      <c r="K170">
        <v>2</v>
      </c>
      <c r="L170">
        <v>0</v>
      </c>
      <c r="M170" s="5" t="str">
        <f>ContinuousStatsTable[[#This Row],[ProjectName]]&amp;ContinuousStatsTable[[#This Row],[Name]]&amp;ContinuousStatsTable[[#This Row],[Type]]&amp;ContinuousStatsTable[[#This Row],[Source]]</f>
        <v>Unnamed ProjectsandblastoperatorNumber ScheduledResource</v>
      </c>
      <c r="N170" s="5">
        <f t="array" ref="N170">MAX(IF((ProjectInfoTable[ProjectName]=ContinuousStatsTable[[#This Row],[ProjectName]]),(ProjectInfoTable[ProjectName]=ContinuousStatsTable[[#This Row],[ProjectName]])*ProjectInfoTable[NumberOfReplications]))</f>
        <v>15</v>
      </c>
      <c r="O170" s="5">
        <f t="array" ref="O170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170" s="5">
        <f t="array" ref="P170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170" s="5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170" s="5">
        <f t="array" ref="S170">MIN(IF((ContinuousStatsTable[GroupByKey]=ContinuousStatsTable[[#This Row],[GroupByKey]]),(ContinuousStatsTable[GroupByKey]=ContinuousStatsTable[[#This Row],[GroupByKey]])*ContinuousStatsTable[Average]))</f>
        <v>1</v>
      </c>
      <c r="T170" s="5">
        <f t="array" ref="T170">MAX(IF((ContinuousStatsTable[GroupByKey]=ContinuousStatsTable[[#This Row],[GroupByKey]]),(ContinuousStatsTable[GroupByKey]=ContinuousStatsTable[[#This Row],[GroupByKey]])*ContinuousStatsTable[Average]))</f>
        <v>2</v>
      </c>
      <c r="U170" s="5">
        <f>IF((ContinuousStatsTable[[#This Row],[RepsRequested]]&gt;1),ContinuousStatsTable[[#This Row],[HalfWidth]],ContinuousStatsTable[[#This Row],[BatchMeansHalfWidth]])</f>
        <v>0.13376733135491528</v>
      </c>
    </row>
    <row r="171" spans="1:21" x14ac:dyDescent="0.25">
      <c r="A171" t="s">
        <v>67</v>
      </c>
      <c r="B171" t="s">
        <v>70</v>
      </c>
      <c r="C171">
        <v>4</v>
      </c>
      <c r="D171" t="s">
        <v>92</v>
      </c>
      <c r="E171" t="s">
        <v>84</v>
      </c>
      <c r="F171" t="s">
        <v>85</v>
      </c>
      <c r="G171">
        <v>0</v>
      </c>
      <c r="H171">
        <v>2E+20</v>
      </c>
      <c r="I171">
        <v>0</v>
      </c>
      <c r="J171">
        <v>0</v>
      </c>
      <c r="K171">
        <v>0</v>
      </c>
      <c r="L171">
        <v>0</v>
      </c>
      <c r="M171" s="5" t="str">
        <f>ContinuousStatsTable[[#This Row],[ProjectName]]&amp;ContinuousStatsTable[[#This Row],[Name]]&amp;ContinuousStatsTable[[#This Row],[Type]]&amp;ContinuousStatsTable[[#This Row],[Source]]</f>
        <v>Unnamed Projectseize_assembler.QueueNumber WaitingQueue</v>
      </c>
      <c r="N171" s="5">
        <f t="array" ref="N171">MAX(IF((ProjectInfoTable[ProjectName]=ContinuousStatsTable[[#This Row],[ProjectName]]),(ProjectInfoTable[ProjectName]=ContinuousStatsTable[[#This Row],[ProjectName]])*ProjectInfoTable[NumberOfReplications]))</f>
        <v>15</v>
      </c>
      <c r="O171" s="5">
        <f t="array" ref="O171">IFERROR(AVERAGE(IF((ContinuousStatsTable[GroupByKey]=ContinuousStatsTable[[#This Row],[GroupByKey]]),(ContinuousStatsTable[GroupByKey]=ContinuousStatsTable[[#This Row],[GroupByKey]])*ContinuousStatsTable[Average])),0)</f>
        <v>0</v>
      </c>
      <c r="P171" s="5">
        <f t="array" ref="P171">IFERROR(_xlfn.STDEV.S(IF((ContinuousStatsTable[GroupByKey]=ContinuousStatsTable[[#This Row],[GroupByKey]]),(ContinuousStatsTable[GroupByKey]=ContinuousStatsTable[[#This Row],[GroupByKey]])*ContinuousStatsTable[Average])),0)</f>
        <v>0</v>
      </c>
      <c r="Q171" s="5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1" s="5">
        <f t="array" ref="S171">MIN(IF((ContinuousStatsTable[GroupByKey]=ContinuousStatsTable[[#This Row],[GroupByKey]]),(ContinuousStatsTable[GroupByKey]=ContinuousStatsTable[[#This Row],[GroupByKey]])*ContinuousStatsTable[Average]))</f>
        <v>0</v>
      </c>
      <c r="T171" s="5">
        <f t="array" ref="T171">MAX(IF((ContinuousStatsTable[GroupByKey]=ContinuousStatsTable[[#This Row],[GroupByKey]]),(ContinuousStatsTable[GroupByKey]=ContinuousStatsTable[[#This Row],[GroupByKey]])*ContinuousStatsTable[Average]))</f>
        <v>0</v>
      </c>
      <c r="U171" s="5">
        <f>IF((ContinuousStatsTable[[#This Row],[RepsRequested]]&gt;1),ContinuousStatsTable[[#This Row],[HalfWidth]],ContinuousStatsTable[[#This Row],[BatchMeansHalfWidth]])</f>
        <v>0</v>
      </c>
    </row>
    <row r="172" spans="1:21" x14ac:dyDescent="0.25">
      <c r="A172" t="s">
        <v>67</v>
      </c>
      <c r="B172" t="s">
        <v>70</v>
      </c>
      <c r="C172">
        <v>4</v>
      </c>
      <c r="D172" t="s">
        <v>93</v>
      </c>
      <c r="E172" t="s">
        <v>84</v>
      </c>
      <c r="F172" t="s">
        <v>85</v>
      </c>
      <c r="G172">
        <v>0</v>
      </c>
      <c r="H172">
        <v>2E+20</v>
      </c>
      <c r="I172">
        <v>0</v>
      </c>
      <c r="J172">
        <v>0</v>
      </c>
      <c r="K172">
        <v>0</v>
      </c>
      <c r="L172">
        <v>0</v>
      </c>
      <c r="M172" s="5" t="str">
        <f>ContinuousStatsTable[[#This Row],[ProjectName]]&amp;ContinuousStatsTable[[#This Row],[Name]]&amp;ContinuousStatsTable[[#This Row],[Type]]&amp;ContinuousStatsTable[[#This Row],[Source]]</f>
        <v>Unnamed Projectseize_cutter.QueueNumber WaitingQueue</v>
      </c>
      <c r="N172" s="5">
        <f t="array" ref="N172">MAX(IF((ProjectInfoTable[ProjectName]=ContinuousStatsTable[[#This Row],[ProjectName]]),(ProjectInfoTable[ProjectName]=ContinuousStatsTable[[#This Row],[ProjectName]])*ProjectInfoTable[NumberOfReplications]))</f>
        <v>15</v>
      </c>
      <c r="O172" s="5">
        <f t="array" ref="O172">IFERROR(AVERAGE(IF((ContinuousStatsTable[GroupByKey]=ContinuousStatsTable[[#This Row],[GroupByKey]]),(ContinuousStatsTable[GroupByKey]=ContinuousStatsTable[[#This Row],[GroupByKey]])*ContinuousStatsTable[Average])),0)</f>
        <v>0</v>
      </c>
      <c r="P172" s="5">
        <f t="array" ref="P172">IFERROR(_xlfn.STDEV.S(IF((ContinuousStatsTable[GroupByKey]=ContinuousStatsTable[[#This Row],[GroupByKey]]),(ContinuousStatsTable[GroupByKey]=ContinuousStatsTable[[#This Row],[GroupByKey]])*ContinuousStatsTable[Average])),0)</f>
        <v>0</v>
      </c>
      <c r="Q172" s="5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2" s="5">
        <f t="array" ref="S172">MIN(IF((ContinuousStatsTable[GroupByKey]=ContinuousStatsTable[[#This Row],[GroupByKey]]),(ContinuousStatsTable[GroupByKey]=ContinuousStatsTable[[#This Row],[GroupByKey]])*ContinuousStatsTable[Average]))</f>
        <v>0</v>
      </c>
      <c r="T172" s="5">
        <f t="array" ref="T172">MAX(IF((ContinuousStatsTable[GroupByKey]=ContinuousStatsTable[[#This Row],[GroupByKey]]),(ContinuousStatsTable[GroupByKey]=ContinuousStatsTable[[#This Row],[GroupByKey]])*ContinuousStatsTable[Average]))</f>
        <v>0</v>
      </c>
      <c r="U172" s="5">
        <f>IF((ContinuousStatsTable[[#This Row],[RepsRequested]]&gt;1),ContinuousStatsTable[[#This Row],[HalfWidth]],ContinuousStatsTable[[#This Row],[BatchMeansHalfWidth]])</f>
        <v>0</v>
      </c>
    </row>
    <row r="173" spans="1:21" x14ac:dyDescent="0.25">
      <c r="A173" t="s">
        <v>67</v>
      </c>
      <c r="B173" t="s">
        <v>70</v>
      </c>
      <c r="C173">
        <v>4</v>
      </c>
      <c r="D173" t="s">
        <v>94</v>
      </c>
      <c r="E173" t="s">
        <v>84</v>
      </c>
      <c r="F173" t="s">
        <v>85</v>
      </c>
      <c r="G173">
        <v>0</v>
      </c>
      <c r="H173">
        <v>2E+20</v>
      </c>
      <c r="I173">
        <v>0</v>
      </c>
      <c r="J173">
        <v>0</v>
      </c>
      <c r="K173">
        <v>0</v>
      </c>
      <c r="L173">
        <v>0</v>
      </c>
      <c r="M173" s="5" t="str">
        <f>ContinuousStatsTable[[#This Row],[ProjectName]]&amp;ContinuousStatsTable[[#This Row],[Name]]&amp;ContinuousStatsTable[[#This Row],[Type]]&amp;ContinuousStatsTable[[#This Row],[Source]]</f>
        <v>Unnamed Projectseizeassemblyqcman.QueueNumber WaitingQueue</v>
      </c>
      <c r="N173" s="5">
        <f t="array" ref="N173">MAX(IF((ProjectInfoTable[ProjectName]=ContinuousStatsTable[[#This Row],[ProjectName]]),(ProjectInfoTable[ProjectName]=ContinuousStatsTable[[#This Row],[ProjectName]])*ProjectInfoTable[NumberOfReplications]))</f>
        <v>15</v>
      </c>
      <c r="O173" s="5">
        <f t="array" ref="O173">IFERROR(AVERAGE(IF((ContinuousStatsTable[GroupByKey]=ContinuousStatsTable[[#This Row],[GroupByKey]]),(ContinuousStatsTable[GroupByKey]=ContinuousStatsTable[[#This Row],[GroupByKey]])*ContinuousStatsTable[Average])),0)</f>
        <v>0</v>
      </c>
      <c r="P173" s="5">
        <f t="array" ref="P173">IFERROR(_xlfn.STDEV.S(IF((ContinuousStatsTable[GroupByKey]=ContinuousStatsTable[[#This Row],[GroupByKey]]),(ContinuousStatsTable[GroupByKey]=ContinuousStatsTable[[#This Row],[GroupByKey]])*ContinuousStatsTable[Average])),0)</f>
        <v>0</v>
      </c>
      <c r="Q173" s="5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3" s="5">
        <f t="array" ref="S173">MIN(IF((ContinuousStatsTable[GroupByKey]=ContinuousStatsTable[[#This Row],[GroupByKey]]),(ContinuousStatsTable[GroupByKey]=ContinuousStatsTable[[#This Row],[GroupByKey]])*ContinuousStatsTable[Average]))</f>
        <v>0</v>
      </c>
      <c r="T173" s="5">
        <f t="array" ref="T173">MAX(IF((ContinuousStatsTable[GroupByKey]=ContinuousStatsTable[[#This Row],[GroupByKey]]),(ContinuousStatsTable[GroupByKey]=ContinuousStatsTable[[#This Row],[GroupByKey]])*ContinuousStatsTable[Average]))</f>
        <v>0</v>
      </c>
      <c r="U173" s="5">
        <f>IF((ContinuousStatsTable[[#This Row],[RepsRequested]]&gt;1),ContinuousStatsTable[[#This Row],[HalfWidth]],ContinuousStatsTable[[#This Row],[BatchMeansHalfWidth]])</f>
        <v>0</v>
      </c>
    </row>
    <row r="174" spans="1:21" x14ac:dyDescent="0.25">
      <c r="A174" t="s">
        <v>67</v>
      </c>
      <c r="B174" t="s">
        <v>70</v>
      </c>
      <c r="C174">
        <v>4</v>
      </c>
      <c r="D174" t="s">
        <v>95</v>
      </c>
      <c r="E174" t="s">
        <v>84</v>
      </c>
      <c r="F174" t="s">
        <v>85</v>
      </c>
      <c r="G174">
        <v>0</v>
      </c>
      <c r="H174">
        <v>2E+20</v>
      </c>
      <c r="I174">
        <v>0</v>
      </c>
      <c r="J174">
        <v>0</v>
      </c>
      <c r="K174">
        <v>0</v>
      </c>
      <c r="L174">
        <v>0</v>
      </c>
      <c r="M174" s="5" t="str">
        <f>ContinuousStatsTable[[#This Row],[ProjectName]]&amp;ContinuousStatsTable[[#This Row],[Name]]&amp;ContinuousStatsTable[[#This Row],[Type]]&amp;ContinuousStatsTable[[#This Row],[Source]]</f>
        <v>Unnamed Projectseizecleaner.QueueNumber WaitingQueue</v>
      </c>
      <c r="N174" s="5">
        <f t="array" ref="N174">MAX(IF((ProjectInfoTable[ProjectName]=ContinuousStatsTable[[#This Row],[ProjectName]]),(ProjectInfoTable[ProjectName]=ContinuousStatsTable[[#This Row],[ProjectName]])*ProjectInfoTable[NumberOfReplications]))</f>
        <v>15</v>
      </c>
      <c r="O174" s="5">
        <f t="array" ref="O174">IFERROR(AVERAGE(IF((ContinuousStatsTable[GroupByKey]=ContinuousStatsTable[[#This Row],[GroupByKey]]),(ContinuousStatsTable[GroupByKey]=ContinuousStatsTable[[#This Row],[GroupByKey]])*ContinuousStatsTable[Average])),0)</f>
        <v>0</v>
      </c>
      <c r="P174" s="5">
        <f t="array" ref="P174">IFERROR(_xlfn.STDEV.S(IF((ContinuousStatsTable[GroupByKey]=ContinuousStatsTable[[#This Row],[GroupByKey]]),(ContinuousStatsTable[GroupByKey]=ContinuousStatsTable[[#This Row],[GroupByKey]])*ContinuousStatsTable[Average])),0)</f>
        <v>0</v>
      </c>
      <c r="Q174" s="5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4" s="5">
        <f t="array" ref="S174">MIN(IF((ContinuousStatsTable[GroupByKey]=ContinuousStatsTable[[#This Row],[GroupByKey]]),(ContinuousStatsTable[GroupByKey]=ContinuousStatsTable[[#This Row],[GroupByKey]])*ContinuousStatsTable[Average]))</f>
        <v>0</v>
      </c>
      <c r="T174" s="5">
        <f t="array" ref="T174">MAX(IF((ContinuousStatsTable[GroupByKey]=ContinuousStatsTable[[#This Row],[GroupByKey]]),(ContinuousStatsTable[GroupByKey]=ContinuousStatsTable[[#This Row],[GroupByKey]])*ContinuousStatsTable[Average]))</f>
        <v>0</v>
      </c>
      <c r="U174" s="5">
        <f>IF((ContinuousStatsTable[[#This Row],[RepsRequested]]&gt;1),ContinuousStatsTable[[#This Row],[HalfWidth]],ContinuousStatsTable[[#This Row],[BatchMeansHalfWidth]])</f>
        <v>0</v>
      </c>
    </row>
    <row r="175" spans="1:21" x14ac:dyDescent="0.25">
      <c r="A175" t="s">
        <v>67</v>
      </c>
      <c r="B175" t="s">
        <v>70</v>
      </c>
      <c r="C175">
        <v>4</v>
      </c>
      <c r="D175" t="s">
        <v>96</v>
      </c>
      <c r="E175" t="s">
        <v>84</v>
      </c>
      <c r="F175" t="s">
        <v>85</v>
      </c>
      <c r="G175">
        <v>0</v>
      </c>
      <c r="H175">
        <v>2E+20</v>
      </c>
      <c r="I175">
        <v>0</v>
      </c>
      <c r="J175">
        <v>0</v>
      </c>
      <c r="K175">
        <v>0</v>
      </c>
      <c r="L175">
        <v>0</v>
      </c>
      <c r="M175" s="5" t="str">
        <f>ContinuousStatsTable[[#This Row],[ProjectName]]&amp;ContinuousStatsTable[[#This Row],[Name]]&amp;ContinuousStatsTable[[#This Row],[Type]]&amp;ContinuousStatsTable[[#This Row],[Source]]</f>
        <v>Unnamed Projectseizepainter.QueueNumber WaitingQueue</v>
      </c>
      <c r="N175" s="5">
        <f t="array" ref="N175">MAX(IF((ProjectInfoTable[ProjectName]=ContinuousStatsTable[[#This Row],[ProjectName]]),(ProjectInfoTable[ProjectName]=ContinuousStatsTable[[#This Row],[ProjectName]])*ProjectInfoTable[NumberOfReplications]))</f>
        <v>15</v>
      </c>
      <c r="O175" s="5">
        <f t="array" ref="O175">IFERROR(AVERAGE(IF((ContinuousStatsTable[GroupByKey]=ContinuousStatsTable[[#This Row],[GroupByKey]]),(ContinuousStatsTable[GroupByKey]=ContinuousStatsTable[[#This Row],[GroupByKey]])*ContinuousStatsTable[Average])),0)</f>
        <v>0</v>
      </c>
      <c r="P175" s="5">
        <f t="array" ref="P175">IFERROR(_xlfn.STDEV.S(IF((ContinuousStatsTable[GroupByKey]=ContinuousStatsTable[[#This Row],[GroupByKey]]),(ContinuousStatsTable[GroupByKey]=ContinuousStatsTable[[#This Row],[GroupByKey]])*ContinuousStatsTable[Average])),0)</f>
        <v>0</v>
      </c>
      <c r="Q175" s="5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5" s="5">
        <f t="array" ref="S175">MIN(IF((ContinuousStatsTable[GroupByKey]=ContinuousStatsTable[[#This Row],[GroupByKey]]),(ContinuousStatsTable[GroupByKey]=ContinuousStatsTable[[#This Row],[GroupByKey]])*ContinuousStatsTable[Average]))</f>
        <v>0</v>
      </c>
      <c r="T175" s="5">
        <f t="array" ref="T175">MAX(IF((ContinuousStatsTable[GroupByKey]=ContinuousStatsTable[[#This Row],[GroupByKey]]),(ContinuousStatsTable[GroupByKey]=ContinuousStatsTable[[#This Row],[GroupByKey]])*ContinuousStatsTable[Average]))</f>
        <v>0</v>
      </c>
      <c r="U175" s="5">
        <f>IF((ContinuousStatsTable[[#This Row],[RepsRequested]]&gt;1),ContinuousStatsTable[[#This Row],[HalfWidth]],ContinuousStatsTable[[#This Row],[BatchMeansHalfWidth]])</f>
        <v>0</v>
      </c>
    </row>
    <row r="176" spans="1:21" x14ac:dyDescent="0.25">
      <c r="A176" t="s">
        <v>67</v>
      </c>
      <c r="B176" t="s">
        <v>70</v>
      </c>
      <c r="C176">
        <v>4</v>
      </c>
      <c r="D176" t="s">
        <v>97</v>
      </c>
      <c r="E176" t="s">
        <v>84</v>
      </c>
      <c r="F176" t="s">
        <v>85</v>
      </c>
      <c r="G176">
        <v>0</v>
      </c>
      <c r="H176">
        <v>2E+20</v>
      </c>
      <c r="I176">
        <v>0</v>
      </c>
      <c r="J176">
        <v>0</v>
      </c>
      <c r="K176">
        <v>0</v>
      </c>
      <c r="L176">
        <v>0</v>
      </c>
      <c r="M176" s="5" t="str">
        <f>ContinuousStatsTable[[#This Row],[ProjectName]]&amp;ContinuousStatsTable[[#This Row],[Name]]&amp;ContinuousStatsTable[[#This Row],[Type]]&amp;ContinuousStatsTable[[#This Row],[Source]]</f>
        <v>Unnamed Projectseizeqcman.QueueNumber WaitingQueue</v>
      </c>
      <c r="N176" s="5">
        <f t="array" ref="N176">MAX(IF((ProjectInfoTable[ProjectName]=ContinuousStatsTable[[#This Row],[ProjectName]]),(ProjectInfoTable[ProjectName]=ContinuousStatsTable[[#This Row],[ProjectName]])*ProjectInfoTable[NumberOfReplications]))</f>
        <v>15</v>
      </c>
      <c r="O176" s="5">
        <f t="array" ref="O176">IFERROR(AVERAGE(IF((ContinuousStatsTable[GroupByKey]=ContinuousStatsTable[[#This Row],[GroupByKey]]),(ContinuousStatsTable[GroupByKey]=ContinuousStatsTable[[#This Row],[GroupByKey]])*ContinuousStatsTable[Average])),0)</f>
        <v>0</v>
      </c>
      <c r="P176" s="5">
        <f t="array" ref="P176">IFERROR(_xlfn.STDEV.S(IF((ContinuousStatsTable[GroupByKey]=ContinuousStatsTable[[#This Row],[GroupByKey]]),(ContinuousStatsTable[GroupByKey]=ContinuousStatsTable[[#This Row],[GroupByKey]])*ContinuousStatsTable[Average])),0)</f>
        <v>0</v>
      </c>
      <c r="Q176" s="5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6" s="5">
        <f t="array" ref="S176">MIN(IF((ContinuousStatsTable[GroupByKey]=ContinuousStatsTable[[#This Row],[GroupByKey]]),(ContinuousStatsTable[GroupByKey]=ContinuousStatsTable[[#This Row],[GroupByKey]])*ContinuousStatsTable[Average]))</f>
        <v>0</v>
      </c>
      <c r="T176" s="5">
        <f t="array" ref="T176">MAX(IF((ContinuousStatsTable[GroupByKey]=ContinuousStatsTable[[#This Row],[GroupByKey]]),(ContinuousStatsTable[GroupByKey]=ContinuousStatsTable[[#This Row],[GroupByKey]])*ContinuousStatsTable[Average]))</f>
        <v>0</v>
      </c>
      <c r="U176" s="5">
        <f>IF((ContinuousStatsTable[[#This Row],[RepsRequested]]&gt;1),ContinuousStatsTable[[#This Row],[HalfWidth]],ContinuousStatsTable[[#This Row],[BatchMeansHalfWidth]])</f>
        <v>0</v>
      </c>
    </row>
    <row r="177" spans="1:21" x14ac:dyDescent="0.25">
      <c r="A177" t="s">
        <v>67</v>
      </c>
      <c r="B177" t="s">
        <v>70</v>
      </c>
      <c r="C177">
        <v>4</v>
      </c>
      <c r="D177" t="s">
        <v>98</v>
      </c>
      <c r="E177" t="s">
        <v>84</v>
      </c>
      <c r="F177" t="s">
        <v>85</v>
      </c>
      <c r="G177">
        <v>0</v>
      </c>
      <c r="H177">
        <v>2E+20</v>
      </c>
      <c r="I177">
        <v>0</v>
      </c>
      <c r="J177">
        <v>0</v>
      </c>
      <c r="K177">
        <v>0</v>
      </c>
      <c r="L177">
        <v>0</v>
      </c>
      <c r="M177" s="5" t="str">
        <f>ContinuousStatsTable[[#This Row],[ProjectName]]&amp;ContinuousStatsTable[[#This Row],[Name]]&amp;ContinuousStatsTable[[#This Row],[Type]]&amp;ContinuousStatsTable[[#This Row],[Source]]</f>
        <v>Unnamed Projectseizesandblaster.QueueNumber WaitingQueue</v>
      </c>
      <c r="N177" s="5">
        <f t="array" ref="N177">MAX(IF((ProjectInfoTable[ProjectName]=ContinuousStatsTable[[#This Row],[ProjectName]]),(ProjectInfoTable[ProjectName]=ContinuousStatsTable[[#This Row],[ProjectName]])*ProjectInfoTable[NumberOfReplications]))</f>
        <v>15</v>
      </c>
      <c r="O177" s="5">
        <f t="array" ref="O177">IFERROR(AVERAGE(IF((ContinuousStatsTable[GroupByKey]=ContinuousStatsTable[[#This Row],[GroupByKey]]),(ContinuousStatsTable[GroupByKey]=ContinuousStatsTable[[#This Row],[GroupByKey]])*ContinuousStatsTable[Average])),0)</f>
        <v>0</v>
      </c>
      <c r="P177" s="5">
        <f t="array" ref="P177">IFERROR(_xlfn.STDEV.S(IF((ContinuousStatsTable[GroupByKey]=ContinuousStatsTable[[#This Row],[GroupByKey]]),(ContinuousStatsTable[GroupByKey]=ContinuousStatsTable[[#This Row],[GroupByKey]])*ContinuousStatsTable[Average])),0)</f>
        <v>0</v>
      </c>
      <c r="Q177" s="5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7" s="5">
        <f t="array" ref="S177">MIN(IF((ContinuousStatsTable[GroupByKey]=ContinuousStatsTable[[#This Row],[GroupByKey]]),(ContinuousStatsTable[GroupByKey]=ContinuousStatsTable[[#This Row],[GroupByKey]])*ContinuousStatsTable[Average]))</f>
        <v>0</v>
      </c>
      <c r="T177" s="5">
        <f t="array" ref="T177">MAX(IF((ContinuousStatsTable[GroupByKey]=ContinuousStatsTable[[#This Row],[GroupByKey]]),(ContinuousStatsTable[GroupByKey]=ContinuousStatsTable[[#This Row],[GroupByKey]])*ContinuousStatsTable[Average]))</f>
        <v>0</v>
      </c>
      <c r="U177" s="5">
        <f>IF((ContinuousStatsTable[[#This Row],[RepsRequested]]&gt;1),ContinuousStatsTable[[#This Row],[HalfWidth]],ContinuousStatsTable[[#This Row],[BatchMeansHalfWidth]])</f>
        <v>0</v>
      </c>
    </row>
    <row r="178" spans="1:21" x14ac:dyDescent="0.25">
      <c r="A178" t="s">
        <v>67</v>
      </c>
      <c r="B178" t="s">
        <v>70</v>
      </c>
      <c r="C178">
        <v>4</v>
      </c>
      <c r="D178" t="s">
        <v>99</v>
      </c>
      <c r="E178" t="s">
        <v>84</v>
      </c>
      <c r="F178" t="s">
        <v>85</v>
      </c>
      <c r="G178">
        <v>0</v>
      </c>
      <c r="H178">
        <v>2E+20</v>
      </c>
      <c r="I178">
        <v>0</v>
      </c>
      <c r="J178">
        <v>0</v>
      </c>
      <c r="K178">
        <v>0</v>
      </c>
      <c r="L178">
        <v>0</v>
      </c>
      <c r="M178" s="5" t="str">
        <f>ContinuousStatsTable[[#This Row],[ProjectName]]&amp;ContinuousStatsTable[[#This Row],[Name]]&amp;ContinuousStatsTable[[#This Row],[Type]]&amp;ContinuousStatsTable[[#This Row],[Source]]</f>
        <v>Unnamed Projectseizewelder.QueueNumber WaitingQueue</v>
      </c>
      <c r="N178" s="5">
        <f t="array" ref="N178">MAX(IF((ProjectInfoTable[ProjectName]=ContinuousStatsTable[[#This Row],[ProjectName]]),(ProjectInfoTable[ProjectName]=ContinuousStatsTable[[#This Row],[ProjectName]])*ProjectInfoTable[NumberOfReplications]))</f>
        <v>15</v>
      </c>
      <c r="O178" s="5">
        <f t="array" ref="O178">IFERROR(AVERAGE(IF((ContinuousStatsTable[GroupByKey]=ContinuousStatsTable[[#This Row],[GroupByKey]]),(ContinuousStatsTable[GroupByKey]=ContinuousStatsTable[[#This Row],[GroupByKey]])*ContinuousStatsTable[Average])),0)</f>
        <v>0</v>
      </c>
      <c r="P178" s="5">
        <f t="array" ref="P178">IFERROR(_xlfn.STDEV.S(IF((ContinuousStatsTable[GroupByKey]=ContinuousStatsTable[[#This Row],[GroupByKey]]),(ContinuousStatsTable[GroupByKey]=ContinuousStatsTable[[#This Row],[GroupByKey]])*ContinuousStatsTable[Average])),0)</f>
        <v>0</v>
      </c>
      <c r="Q178" s="5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8" s="5">
        <f t="array" ref="S178">MIN(IF((ContinuousStatsTable[GroupByKey]=ContinuousStatsTable[[#This Row],[GroupByKey]]),(ContinuousStatsTable[GroupByKey]=ContinuousStatsTable[[#This Row],[GroupByKey]])*ContinuousStatsTable[Average]))</f>
        <v>0</v>
      </c>
      <c r="T178" s="5">
        <f t="array" ref="T178">MAX(IF((ContinuousStatsTable[GroupByKey]=ContinuousStatsTable[[#This Row],[GroupByKey]]),(ContinuousStatsTable[GroupByKey]=ContinuousStatsTable[[#This Row],[GroupByKey]])*ContinuousStatsTable[Average]))</f>
        <v>0</v>
      </c>
      <c r="U178" s="5">
        <f>IF((ContinuousStatsTable[[#This Row],[RepsRequested]]&gt;1),ContinuousStatsTable[[#This Row],[HalfWidth]],ContinuousStatsTable[[#This Row],[BatchMeansHalfWidth]])</f>
        <v>0</v>
      </c>
    </row>
    <row r="179" spans="1:21" x14ac:dyDescent="0.25">
      <c r="A179" t="s">
        <v>67</v>
      </c>
      <c r="B179" t="s">
        <v>70</v>
      </c>
      <c r="C179">
        <v>4</v>
      </c>
      <c r="D179" t="s">
        <v>100</v>
      </c>
      <c r="E179" t="s">
        <v>78</v>
      </c>
      <c r="F179" t="s">
        <v>79</v>
      </c>
      <c r="G179">
        <v>10</v>
      </c>
      <c r="H179">
        <v>2E+20</v>
      </c>
      <c r="I179">
        <v>10</v>
      </c>
      <c r="J179">
        <v>10</v>
      </c>
      <c r="K179">
        <v>10</v>
      </c>
      <c r="L179">
        <v>0</v>
      </c>
      <c r="M179" s="5" t="str">
        <f>ContinuousStatsTable[[#This Row],[ProjectName]]&amp;ContinuousStatsTable[[#This Row],[Name]]&amp;ContinuousStatsTable[[#This Row],[Type]]&amp;ContinuousStatsTable[[#This Row],[Source]]</f>
        <v>Unnamed ProjectsteelsheetWIPEntity</v>
      </c>
      <c r="N179" s="5">
        <f t="array" ref="N179">MAX(IF((ProjectInfoTable[ProjectName]=ContinuousStatsTable[[#This Row],[ProjectName]]),(ProjectInfoTable[ProjectName]=ContinuousStatsTable[[#This Row],[ProjectName]])*ProjectInfoTable[NumberOfReplications]))</f>
        <v>15</v>
      </c>
      <c r="O179" s="5">
        <f t="array" ref="O179">IFERROR(AVERAGE(IF((ContinuousStatsTable[GroupByKey]=ContinuousStatsTable[[#This Row],[GroupByKey]]),(ContinuousStatsTable[GroupByKey]=ContinuousStatsTable[[#This Row],[GroupByKey]])*ContinuousStatsTable[Average])),0)</f>
        <v>6.1333333333333337</v>
      </c>
      <c r="P179" s="5">
        <f t="array" ref="P179">IFERROR(_xlfn.STDEV.S(IF((ContinuousStatsTable[GroupByKey]=ContinuousStatsTable[[#This Row],[GroupByKey]]),(ContinuousStatsTable[GroupByKey]=ContinuousStatsTable[[#This Row],[GroupByKey]])*ContinuousStatsTable[Average])),0)</f>
        <v>5.3166405433005028</v>
      </c>
      <c r="Q179" s="5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2.944257396015229</v>
      </c>
      <c r="S179" s="5">
        <f t="array" ref="S179">MIN(IF((ContinuousStatsTable[GroupByKey]=ContinuousStatsTable[[#This Row],[GroupByKey]]),(ContinuousStatsTable[GroupByKey]=ContinuousStatsTable[[#This Row],[GroupByKey]])*ContinuousStatsTable[Average]))</f>
        <v>0</v>
      </c>
      <c r="T179" s="5">
        <f t="array" ref="T179">MAX(IF((ContinuousStatsTable[GroupByKey]=ContinuousStatsTable[[#This Row],[GroupByKey]]),(ContinuousStatsTable[GroupByKey]=ContinuousStatsTable[[#This Row],[GroupByKey]])*ContinuousStatsTable[Average]))</f>
        <v>16</v>
      </c>
      <c r="U179" s="5">
        <f>IF((ContinuousStatsTable[[#This Row],[RepsRequested]]&gt;1),ContinuousStatsTable[[#This Row],[HalfWidth]],ContinuousStatsTable[[#This Row],[BatchMeansHalfWidth]])</f>
        <v>2.944257396015229</v>
      </c>
    </row>
    <row r="180" spans="1:21" x14ac:dyDescent="0.25">
      <c r="A180" t="s">
        <v>67</v>
      </c>
      <c r="B180" t="s">
        <v>70</v>
      </c>
      <c r="C180">
        <v>4</v>
      </c>
      <c r="D180" t="s">
        <v>101</v>
      </c>
      <c r="E180" t="s">
        <v>72</v>
      </c>
      <c r="F180" t="s">
        <v>73</v>
      </c>
      <c r="G180">
        <v>0</v>
      </c>
      <c r="H180">
        <v>2E+20</v>
      </c>
      <c r="I180">
        <v>0</v>
      </c>
      <c r="J180">
        <v>0</v>
      </c>
      <c r="K180">
        <v>0</v>
      </c>
      <c r="L180">
        <v>0</v>
      </c>
      <c r="M180" s="5" t="str">
        <f>ContinuousStatsTable[[#This Row],[ProjectName]]&amp;ContinuousStatsTable[[#This Row],[Name]]&amp;ContinuousStatsTable[[#This Row],[Type]]&amp;ContinuousStatsTable[[#This Row],[Source]]</f>
        <v>Unnamed ProjectwelderInstantaneous UtilizationResource</v>
      </c>
      <c r="N180" s="5">
        <f t="array" ref="N180">MAX(IF((ProjectInfoTable[ProjectName]=ContinuousStatsTable[[#This Row],[ProjectName]]),(ProjectInfoTable[ProjectName]=ContinuousStatsTable[[#This Row],[ProjectName]])*ProjectInfoTable[NumberOfReplications]))</f>
        <v>15</v>
      </c>
      <c r="O180" s="5">
        <f t="array" ref="O180">IFERROR(AVERAGE(IF((ContinuousStatsTable[GroupByKey]=ContinuousStatsTable[[#This Row],[GroupByKey]]),(ContinuousStatsTable[GroupByKey]=ContinuousStatsTable[[#This Row],[GroupByKey]])*ContinuousStatsTable[Average])),0)</f>
        <v>0</v>
      </c>
      <c r="P180" s="5">
        <f t="array" ref="P180">IFERROR(_xlfn.STDEV.S(IF((ContinuousStatsTable[GroupByKey]=ContinuousStatsTable[[#This Row],[GroupByKey]]),(ContinuousStatsTable[GroupByKey]=ContinuousStatsTable[[#This Row],[GroupByKey]])*ContinuousStatsTable[Average])),0)</f>
        <v>0</v>
      </c>
      <c r="Q180" s="5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0" s="5">
        <f t="array" ref="S180">MIN(IF((ContinuousStatsTable[GroupByKey]=ContinuousStatsTable[[#This Row],[GroupByKey]]),(ContinuousStatsTable[GroupByKey]=ContinuousStatsTable[[#This Row],[GroupByKey]])*ContinuousStatsTable[Average]))</f>
        <v>0</v>
      </c>
      <c r="T180" s="5">
        <f t="array" ref="T180">MAX(IF((ContinuousStatsTable[GroupByKey]=ContinuousStatsTable[[#This Row],[GroupByKey]]),(ContinuousStatsTable[GroupByKey]=ContinuousStatsTable[[#This Row],[GroupByKey]])*ContinuousStatsTable[Average]))</f>
        <v>0</v>
      </c>
      <c r="U180" s="5">
        <f>IF((ContinuousStatsTable[[#This Row],[RepsRequested]]&gt;1),ContinuousStatsTable[[#This Row],[HalfWidth]],ContinuousStatsTable[[#This Row],[BatchMeansHalfWidth]])</f>
        <v>0</v>
      </c>
    </row>
    <row r="181" spans="1:21" x14ac:dyDescent="0.25">
      <c r="A181" t="s">
        <v>67</v>
      </c>
      <c r="B181" t="s">
        <v>70</v>
      </c>
      <c r="C181">
        <v>4</v>
      </c>
      <c r="D181" t="s">
        <v>101</v>
      </c>
      <c r="E181" t="s">
        <v>74</v>
      </c>
      <c r="F181" t="s">
        <v>73</v>
      </c>
      <c r="G181">
        <v>0</v>
      </c>
      <c r="H181">
        <v>2E+20</v>
      </c>
      <c r="I181">
        <v>0</v>
      </c>
      <c r="J181">
        <v>0</v>
      </c>
      <c r="K181">
        <v>0</v>
      </c>
      <c r="L181">
        <v>0</v>
      </c>
      <c r="M181" s="5" t="str">
        <f>ContinuousStatsTable[[#This Row],[ProjectName]]&amp;ContinuousStatsTable[[#This Row],[Name]]&amp;ContinuousStatsTable[[#This Row],[Type]]&amp;ContinuousStatsTable[[#This Row],[Source]]</f>
        <v>Unnamed ProjectwelderNumber BusyResource</v>
      </c>
      <c r="N181" s="5">
        <f t="array" ref="N181">MAX(IF((ProjectInfoTable[ProjectName]=ContinuousStatsTable[[#This Row],[ProjectName]]),(ProjectInfoTable[ProjectName]=ContinuousStatsTable[[#This Row],[ProjectName]])*ProjectInfoTable[NumberOfReplications]))</f>
        <v>15</v>
      </c>
      <c r="O181" s="5">
        <f t="array" ref="O181">IFERROR(AVERAGE(IF((ContinuousStatsTable[GroupByKey]=ContinuousStatsTable[[#This Row],[GroupByKey]]),(ContinuousStatsTable[GroupByKey]=ContinuousStatsTable[[#This Row],[GroupByKey]])*ContinuousStatsTable[Average])),0)</f>
        <v>0</v>
      </c>
      <c r="P181" s="5">
        <f t="array" ref="P181">IFERROR(_xlfn.STDEV.S(IF((ContinuousStatsTable[GroupByKey]=ContinuousStatsTable[[#This Row],[GroupByKey]]),(ContinuousStatsTable[GroupByKey]=ContinuousStatsTable[[#This Row],[GroupByKey]])*ContinuousStatsTable[Average])),0)</f>
        <v>0</v>
      </c>
      <c r="Q181" s="5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1" s="5">
        <f t="array" ref="S181">MIN(IF((ContinuousStatsTable[GroupByKey]=ContinuousStatsTable[[#This Row],[GroupByKey]]),(ContinuousStatsTable[GroupByKey]=ContinuousStatsTable[[#This Row],[GroupByKey]])*ContinuousStatsTable[Average]))</f>
        <v>0</v>
      </c>
      <c r="T181" s="5">
        <f t="array" ref="T181">MAX(IF((ContinuousStatsTable[GroupByKey]=ContinuousStatsTable[[#This Row],[GroupByKey]]),(ContinuousStatsTable[GroupByKey]=ContinuousStatsTable[[#This Row],[GroupByKey]])*ContinuousStatsTable[Average]))</f>
        <v>0</v>
      </c>
      <c r="U181" s="5">
        <f>IF((ContinuousStatsTable[[#This Row],[RepsRequested]]&gt;1),ContinuousStatsTable[[#This Row],[HalfWidth]],ContinuousStatsTable[[#This Row],[BatchMeansHalfWidth]])</f>
        <v>0</v>
      </c>
    </row>
    <row r="182" spans="1:21" x14ac:dyDescent="0.25">
      <c r="A182" t="s">
        <v>67</v>
      </c>
      <c r="B182" t="s">
        <v>70</v>
      </c>
      <c r="C182">
        <v>4</v>
      </c>
      <c r="D182" t="s">
        <v>101</v>
      </c>
      <c r="E182" t="s">
        <v>75</v>
      </c>
      <c r="F182" t="s">
        <v>73</v>
      </c>
      <c r="G182">
        <v>1.5834999999999999</v>
      </c>
      <c r="H182">
        <v>3E+20</v>
      </c>
      <c r="I182">
        <v>1</v>
      </c>
      <c r="J182">
        <v>2</v>
      </c>
      <c r="K182">
        <v>2</v>
      </c>
      <c r="L182">
        <v>0</v>
      </c>
      <c r="M182" s="5" t="str">
        <f>ContinuousStatsTable[[#This Row],[ProjectName]]&amp;ContinuousStatsTable[[#This Row],[Name]]&amp;ContinuousStatsTable[[#This Row],[Type]]&amp;ContinuousStatsTable[[#This Row],[Source]]</f>
        <v>Unnamed ProjectwelderNumber ScheduledResource</v>
      </c>
      <c r="N182" s="5">
        <f t="array" ref="N182">MAX(IF((ProjectInfoTable[ProjectName]=ContinuousStatsTable[[#This Row],[ProjectName]]),(ProjectInfoTable[ProjectName]=ContinuousStatsTable[[#This Row],[ProjectName]])*ProjectInfoTable[NumberOfReplications]))</f>
        <v>15</v>
      </c>
      <c r="O182" s="5">
        <f t="array" ref="O182">IFERROR(AVERAGE(IF((ContinuousStatsTable[GroupByKey]=ContinuousStatsTable[[#This Row],[GroupByKey]]),(ContinuousStatsTable[GroupByKey]=ContinuousStatsTable[[#This Row],[GroupByKey]])*ContinuousStatsTable[Average])),0)</f>
        <v>1.5334531146777051</v>
      </c>
      <c r="P182" s="5">
        <f t="array" ref="P182">IFERROR(_xlfn.STDEV.S(IF((ContinuousStatsTable[GroupByKey]=ContinuousStatsTable[[#This Row],[GroupByKey]]),(ContinuousStatsTable[GroupByKey]=ContinuousStatsTable[[#This Row],[GroupByKey]])*ContinuousStatsTable[Average])),0)</f>
        <v>0.24154952363702747</v>
      </c>
      <c r="Q182" s="5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0.13376566756397254</v>
      </c>
      <c r="S182" s="5">
        <f t="array" ref="S182">MIN(IF((ContinuousStatsTable[GroupByKey]=ContinuousStatsTable[[#This Row],[GroupByKey]]),(ContinuousStatsTable[GroupByKey]=ContinuousStatsTable[[#This Row],[GroupByKey]])*ContinuousStatsTable[Average]))</f>
        <v>1</v>
      </c>
      <c r="T182" s="5">
        <f t="array" ref="T182">MAX(IF((ContinuousStatsTable[GroupByKey]=ContinuousStatsTable[[#This Row],[GroupByKey]]),(ContinuousStatsTable[GroupByKey]=ContinuousStatsTable[[#This Row],[GroupByKey]])*ContinuousStatsTable[Average]))</f>
        <v>2</v>
      </c>
      <c r="U182" s="5">
        <f>IF((ContinuousStatsTable[[#This Row],[RepsRequested]]&gt;1),ContinuousStatsTable[[#This Row],[HalfWidth]],ContinuousStatsTable[[#This Row],[BatchMeansHalfWidth]])</f>
        <v>0.13376566756397254</v>
      </c>
    </row>
    <row r="183" spans="1:21" x14ac:dyDescent="0.25">
      <c r="A183" t="s">
        <v>67</v>
      </c>
      <c r="B183" t="s">
        <v>70</v>
      </c>
      <c r="C183">
        <v>4</v>
      </c>
      <c r="D183" t="s">
        <v>102</v>
      </c>
      <c r="E183" t="s">
        <v>72</v>
      </c>
      <c r="F183" t="s">
        <v>73</v>
      </c>
      <c r="G183">
        <v>0</v>
      </c>
      <c r="H183">
        <v>2E+20</v>
      </c>
      <c r="I183">
        <v>0</v>
      </c>
      <c r="J183">
        <v>0</v>
      </c>
      <c r="K183">
        <v>0</v>
      </c>
      <c r="L183">
        <v>0</v>
      </c>
      <c r="M183" s="5" t="str">
        <f>ContinuousStatsTable[[#This Row],[ProjectName]]&amp;ContinuousStatsTable[[#This Row],[Name]]&amp;ContinuousStatsTable[[#This Row],[Type]]&amp;ContinuousStatsTable[[#This Row],[Source]]</f>
        <v>Unnamed ProjectweldingqcworkerInstantaneous UtilizationResource</v>
      </c>
      <c r="N183" s="5">
        <f t="array" ref="N183">MAX(IF((ProjectInfoTable[ProjectName]=ContinuousStatsTable[[#This Row],[ProjectName]]),(ProjectInfoTable[ProjectName]=ContinuousStatsTable[[#This Row],[ProjectName]])*ProjectInfoTable[NumberOfReplications]))</f>
        <v>15</v>
      </c>
      <c r="O183" s="5">
        <f t="array" ref="O183">IFERROR(AVERAGE(IF((ContinuousStatsTable[GroupByKey]=ContinuousStatsTable[[#This Row],[GroupByKey]]),(ContinuousStatsTable[GroupByKey]=ContinuousStatsTable[[#This Row],[GroupByKey]])*ContinuousStatsTable[Average])),0)</f>
        <v>0</v>
      </c>
      <c r="P183" s="5">
        <f t="array" ref="P183">IFERROR(_xlfn.STDEV.S(IF((ContinuousStatsTable[GroupByKey]=ContinuousStatsTable[[#This Row],[GroupByKey]]),(ContinuousStatsTable[GroupByKey]=ContinuousStatsTable[[#This Row],[GroupByKey]])*ContinuousStatsTable[Average])),0)</f>
        <v>0</v>
      </c>
      <c r="Q183" s="5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3" s="5">
        <f t="array" ref="S183">MIN(IF((ContinuousStatsTable[GroupByKey]=ContinuousStatsTable[[#This Row],[GroupByKey]]),(ContinuousStatsTable[GroupByKey]=ContinuousStatsTable[[#This Row],[GroupByKey]])*ContinuousStatsTable[Average]))</f>
        <v>0</v>
      </c>
      <c r="T183" s="5">
        <f t="array" ref="T183">MAX(IF((ContinuousStatsTable[GroupByKey]=ContinuousStatsTable[[#This Row],[GroupByKey]]),(ContinuousStatsTable[GroupByKey]=ContinuousStatsTable[[#This Row],[GroupByKey]])*ContinuousStatsTable[Average]))</f>
        <v>0</v>
      </c>
      <c r="U183" s="5">
        <f>IF((ContinuousStatsTable[[#This Row],[RepsRequested]]&gt;1),ContinuousStatsTable[[#This Row],[HalfWidth]],ContinuousStatsTable[[#This Row],[BatchMeansHalfWidth]])</f>
        <v>0</v>
      </c>
    </row>
    <row r="184" spans="1:21" x14ac:dyDescent="0.25">
      <c r="A184" t="s">
        <v>67</v>
      </c>
      <c r="B184" t="s">
        <v>70</v>
      </c>
      <c r="C184">
        <v>4</v>
      </c>
      <c r="D184" t="s">
        <v>102</v>
      </c>
      <c r="E184" t="s">
        <v>74</v>
      </c>
      <c r="F184" t="s">
        <v>73</v>
      </c>
      <c r="G184">
        <v>0</v>
      </c>
      <c r="H184">
        <v>2E+20</v>
      </c>
      <c r="I184">
        <v>0</v>
      </c>
      <c r="J184">
        <v>0</v>
      </c>
      <c r="K184">
        <v>0</v>
      </c>
      <c r="L184">
        <v>0</v>
      </c>
      <c r="M184" s="5" t="str">
        <f>ContinuousStatsTable[[#This Row],[ProjectName]]&amp;ContinuousStatsTable[[#This Row],[Name]]&amp;ContinuousStatsTable[[#This Row],[Type]]&amp;ContinuousStatsTable[[#This Row],[Source]]</f>
        <v>Unnamed ProjectweldingqcworkerNumber BusyResource</v>
      </c>
      <c r="N184" s="5">
        <f t="array" ref="N184">MAX(IF((ProjectInfoTable[ProjectName]=ContinuousStatsTable[[#This Row],[ProjectName]]),(ProjectInfoTable[ProjectName]=ContinuousStatsTable[[#This Row],[ProjectName]])*ProjectInfoTable[NumberOfReplications]))</f>
        <v>15</v>
      </c>
      <c r="O184" s="5">
        <f t="array" ref="O184">IFERROR(AVERAGE(IF((ContinuousStatsTable[GroupByKey]=ContinuousStatsTable[[#This Row],[GroupByKey]]),(ContinuousStatsTable[GroupByKey]=ContinuousStatsTable[[#This Row],[GroupByKey]])*ContinuousStatsTable[Average])),0)</f>
        <v>0</v>
      </c>
      <c r="P184" s="5">
        <f t="array" ref="P184">IFERROR(_xlfn.STDEV.S(IF((ContinuousStatsTable[GroupByKey]=ContinuousStatsTable[[#This Row],[GroupByKey]]),(ContinuousStatsTable[GroupByKey]=ContinuousStatsTable[[#This Row],[GroupByKey]])*ContinuousStatsTable[Average])),0)</f>
        <v>0</v>
      </c>
      <c r="Q184" s="5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4" s="5">
        <f t="array" ref="S184">MIN(IF((ContinuousStatsTable[GroupByKey]=ContinuousStatsTable[[#This Row],[GroupByKey]]),(ContinuousStatsTable[GroupByKey]=ContinuousStatsTable[[#This Row],[GroupByKey]])*ContinuousStatsTable[Average]))</f>
        <v>0</v>
      </c>
      <c r="T184" s="5">
        <f t="array" ref="T184">MAX(IF((ContinuousStatsTable[GroupByKey]=ContinuousStatsTable[[#This Row],[GroupByKey]]),(ContinuousStatsTable[GroupByKey]=ContinuousStatsTable[[#This Row],[GroupByKey]])*ContinuousStatsTable[Average]))</f>
        <v>0</v>
      </c>
      <c r="U184" s="5">
        <f>IF((ContinuousStatsTable[[#This Row],[RepsRequested]]&gt;1),ContinuousStatsTable[[#This Row],[HalfWidth]],ContinuousStatsTable[[#This Row],[BatchMeansHalfWidth]])</f>
        <v>0</v>
      </c>
    </row>
    <row r="185" spans="1:21" x14ac:dyDescent="0.25">
      <c r="A185" t="s">
        <v>67</v>
      </c>
      <c r="B185" t="s">
        <v>70</v>
      </c>
      <c r="C185">
        <v>4</v>
      </c>
      <c r="D185" t="s">
        <v>102</v>
      </c>
      <c r="E185" t="s">
        <v>75</v>
      </c>
      <c r="F185" t="s">
        <v>73</v>
      </c>
      <c r="G185">
        <v>1.5834999999999999</v>
      </c>
      <c r="H185">
        <v>3E+20</v>
      </c>
      <c r="I185">
        <v>1</v>
      </c>
      <c r="J185">
        <v>2</v>
      </c>
      <c r="K185">
        <v>2</v>
      </c>
      <c r="L185">
        <v>0</v>
      </c>
      <c r="M185" s="5" t="str">
        <f>ContinuousStatsTable[[#This Row],[ProjectName]]&amp;ContinuousStatsTable[[#This Row],[Name]]&amp;ContinuousStatsTable[[#This Row],[Type]]&amp;ContinuousStatsTable[[#This Row],[Source]]</f>
        <v>Unnamed ProjectweldingqcworkerNumber ScheduledResource</v>
      </c>
      <c r="N185" s="5">
        <f t="array" ref="N185">MAX(IF((ProjectInfoTable[ProjectName]=ContinuousStatsTable[[#This Row],[ProjectName]]),(ProjectInfoTable[ProjectName]=ContinuousStatsTable[[#This Row],[ProjectName]])*ProjectInfoTable[NumberOfReplications]))</f>
        <v>15</v>
      </c>
      <c r="O185" s="5">
        <f t="array" ref="O185">IFERROR(AVERAGE(IF((ContinuousStatsTable[GroupByKey]=ContinuousStatsTable[[#This Row],[GroupByKey]]),(ContinuousStatsTable[GroupByKey]=ContinuousStatsTable[[#This Row],[GroupByKey]])*ContinuousStatsTable[Average])),0)</f>
        <v>1.5334635492504263</v>
      </c>
      <c r="P185" s="5">
        <f t="array" ref="P185">IFERROR(_xlfn.STDEV.S(IF((ContinuousStatsTable[GroupByKey]=ContinuousStatsTable[[#This Row],[GroupByKey]]),(ContinuousStatsTable[GroupByKey]=ContinuousStatsTable[[#This Row],[GroupByKey]])*ContinuousStatsTable[Average])),0)</f>
        <v>0.24155183649982462</v>
      </c>
      <c r="Q185" s="5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0.1337669483846978</v>
      </c>
      <c r="S185" s="5">
        <f t="array" ref="S185">MIN(IF((ContinuousStatsTable[GroupByKey]=ContinuousStatsTable[[#This Row],[GroupByKey]]),(ContinuousStatsTable[GroupByKey]=ContinuousStatsTable[[#This Row],[GroupByKey]])*ContinuousStatsTable[Average]))</f>
        <v>1</v>
      </c>
      <c r="T185" s="5">
        <f t="array" ref="T185">MAX(IF((ContinuousStatsTable[GroupByKey]=ContinuousStatsTable[[#This Row],[GroupByKey]]),(ContinuousStatsTable[GroupByKey]=ContinuousStatsTable[[#This Row],[GroupByKey]])*ContinuousStatsTable[Average]))</f>
        <v>2</v>
      </c>
      <c r="U185" s="5">
        <f>IF((ContinuousStatsTable[[#This Row],[RepsRequested]]&gt;1),ContinuousStatsTable[[#This Row],[HalfWidth]],ContinuousStatsTable[[#This Row],[BatchMeansHalfWidth]])</f>
        <v>0.1337669483846978</v>
      </c>
    </row>
    <row r="186" spans="1:21" x14ac:dyDescent="0.25">
      <c r="A186" t="s">
        <v>67</v>
      </c>
      <c r="B186" t="s">
        <v>70</v>
      </c>
      <c r="C186">
        <v>5</v>
      </c>
      <c r="D186" t="s">
        <v>71</v>
      </c>
      <c r="E186" t="s">
        <v>72</v>
      </c>
      <c r="F186" t="s">
        <v>73</v>
      </c>
      <c r="G186">
        <v>0</v>
      </c>
      <c r="H186">
        <v>2E+20</v>
      </c>
      <c r="I186">
        <v>0</v>
      </c>
      <c r="J186">
        <v>0</v>
      </c>
      <c r="K186">
        <v>0</v>
      </c>
      <c r="L186">
        <v>0</v>
      </c>
      <c r="M186" s="5" t="str">
        <f>ContinuousStatsTable[[#This Row],[ProjectName]]&amp;ContinuousStatsTable[[#This Row],[Name]]&amp;ContinuousStatsTable[[#This Row],[Type]]&amp;ContinuousStatsTable[[#This Row],[Source]]</f>
        <v>Unnamed ProjectassemblerInstantaneous UtilizationResource</v>
      </c>
      <c r="N186" s="5">
        <f t="array" ref="N186">MAX(IF((ProjectInfoTable[ProjectName]=ContinuousStatsTable[[#This Row],[ProjectName]]),(ProjectInfoTable[ProjectName]=ContinuousStatsTable[[#This Row],[ProjectName]])*ProjectInfoTable[NumberOfReplications]))</f>
        <v>15</v>
      </c>
      <c r="O186" s="5">
        <f t="array" ref="O186">IFERROR(AVERAGE(IF((ContinuousStatsTable[GroupByKey]=ContinuousStatsTable[[#This Row],[GroupByKey]]),(ContinuousStatsTable[GroupByKey]=ContinuousStatsTable[[#This Row],[GroupByKey]])*ContinuousStatsTable[Average])),0)</f>
        <v>0</v>
      </c>
      <c r="P186" s="5">
        <f t="array" ref="P186">IFERROR(_xlfn.STDEV.S(IF((ContinuousStatsTable[GroupByKey]=ContinuousStatsTable[[#This Row],[GroupByKey]]),(ContinuousStatsTable[GroupByKey]=ContinuousStatsTable[[#This Row],[GroupByKey]])*ContinuousStatsTable[Average])),0)</f>
        <v>0</v>
      </c>
      <c r="Q186" s="5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6" s="5">
        <f t="array" ref="S186">MIN(IF((ContinuousStatsTable[GroupByKey]=ContinuousStatsTable[[#This Row],[GroupByKey]]),(ContinuousStatsTable[GroupByKey]=ContinuousStatsTable[[#This Row],[GroupByKey]])*ContinuousStatsTable[Average]))</f>
        <v>0</v>
      </c>
      <c r="T186" s="5">
        <f t="array" ref="T186">MAX(IF((ContinuousStatsTable[GroupByKey]=ContinuousStatsTable[[#This Row],[GroupByKey]]),(ContinuousStatsTable[GroupByKey]=ContinuousStatsTable[[#This Row],[GroupByKey]])*ContinuousStatsTable[Average]))</f>
        <v>0</v>
      </c>
      <c r="U186" s="5">
        <f>IF((ContinuousStatsTable[[#This Row],[RepsRequested]]&gt;1),ContinuousStatsTable[[#This Row],[HalfWidth]],ContinuousStatsTable[[#This Row],[BatchMeansHalfWidth]])</f>
        <v>0</v>
      </c>
    </row>
    <row r="187" spans="1:21" x14ac:dyDescent="0.25">
      <c r="A187" t="s">
        <v>67</v>
      </c>
      <c r="B187" t="s">
        <v>70</v>
      </c>
      <c r="C187">
        <v>5</v>
      </c>
      <c r="D187" t="s">
        <v>71</v>
      </c>
      <c r="E187" t="s">
        <v>74</v>
      </c>
      <c r="F187" t="s">
        <v>73</v>
      </c>
      <c r="G187">
        <v>0</v>
      </c>
      <c r="H187">
        <v>2E+20</v>
      </c>
      <c r="I187">
        <v>0</v>
      </c>
      <c r="J187">
        <v>0</v>
      </c>
      <c r="K187">
        <v>0</v>
      </c>
      <c r="L187">
        <v>0</v>
      </c>
      <c r="M187" s="5" t="str">
        <f>ContinuousStatsTable[[#This Row],[ProjectName]]&amp;ContinuousStatsTable[[#This Row],[Name]]&amp;ContinuousStatsTable[[#This Row],[Type]]&amp;ContinuousStatsTable[[#This Row],[Source]]</f>
        <v>Unnamed ProjectassemblerNumber BusyResource</v>
      </c>
      <c r="N187" s="5">
        <f t="array" ref="N187">MAX(IF((ProjectInfoTable[ProjectName]=ContinuousStatsTable[[#This Row],[ProjectName]]),(ProjectInfoTable[ProjectName]=ContinuousStatsTable[[#This Row],[ProjectName]])*ProjectInfoTable[NumberOfReplications]))</f>
        <v>15</v>
      </c>
      <c r="O187" s="5">
        <f t="array" ref="O187">IFERROR(AVERAGE(IF((ContinuousStatsTable[GroupByKey]=ContinuousStatsTable[[#This Row],[GroupByKey]]),(ContinuousStatsTable[GroupByKey]=ContinuousStatsTable[[#This Row],[GroupByKey]])*ContinuousStatsTable[Average])),0)</f>
        <v>0</v>
      </c>
      <c r="P187" s="5">
        <f t="array" ref="P187">IFERROR(_xlfn.STDEV.S(IF((ContinuousStatsTable[GroupByKey]=ContinuousStatsTable[[#This Row],[GroupByKey]]),(ContinuousStatsTable[GroupByKey]=ContinuousStatsTable[[#This Row],[GroupByKey]])*ContinuousStatsTable[Average])),0)</f>
        <v>0</v>
      </c>
      <c r="Q187" s="5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7" s="5">
        <f t="array" ref="S187">MIN(IF((ContinuousStatsTable[GroupByKey]=ContinuousStatsTable[[#This Row],[GroupByKey]]),(ContinuousStatsTable[GroupByKey]=ContinuousStatsTable[[#This Row],[GroupByKey]])*ContinuousStatsTable[Average]))</f>
        <v>0</v>
      </c>
      <c r="T187" s="5">
        <f t="array" ref="T187">MAX(IF((ContinuousStatsTable[GroupByKey]=ContinuousStatsTable[[#This Row],[GroupByKey]]),(ContinuousStatsTable[GroupByKey]=ContinuousStatsTable[[#This Row],[GroupByKey]])*ContinuousStatsTable[Average]))</f>
        <v>0</v>
      </c>
      <c r="U187" s="5">
        <f>IF((ContinuousStatsTable[[#This Row],[RepsRequested]]&gt;1),ContinuousStatsTable[[#This Row],[HalfWidth]],ContinuousStatsTable[[#This Row],[BatchMeansHalfWidth]])</f>
        <v>0</v>
      </c>
    </row>
    <row r="188" spans="1:21" x14ac:dyDescent="0.25">
      <c r="A188" t="s">
        <v>67</v>
      </c>
      <c r="B188" t="s">
        <v>70</v>
      </c>
      <c r="C188">
        <v>5</v>
      </c>
      <c r="D188" t="s">
        <v>71</v>
      </c>
      <c r="E188" t="s">
        <v>75</v>
      </c>
      <c r="F188" t="s">
        <v>73</v>
      </c>
      <c r="G188">
        <v>1.58282619651346</v>
      </c>
      <c r="H188">
        <v>3E+20</v>
      </c>
      <c r="I188">
        <v>1</v>
      </c>
      <c r="J188">
        <v>2</v>
      </c>
      <c r="K188">
        <v>1</v>
      </c>
      <c r="L188">
        <v>0</v>
      </c>
      <c r="M188" s="5" t="str">
        <f>ContinuousStatsTable[[#This Row],[ProjectName]]&amp;ContinuousStatsTable[[#This Row],[Name]]&amp;ContinuousStatsTable[[#This Row],[Type]]&amp;ContinuousStatsTable[[#This Row],[Source]]</f>
        <v>Unnamed ProjectassemblerNumber ScheduledResource</v>
      </c>
      <c r="N188" s="5">
        <f t="array" ref="N188">MAX(IF((ProjectInfoTable[ProjectName]=ContinuousStatsTable[[#This Row],[ProjectName]]),(ProjectInfoTable[ProjectName]=ContinuousStatsTable[[#This Row],[ProjectName]])*ProjectInfoTable[NumberOfReplications]))</f>
        <v>15</v>
      </c>
      <c r="O188" s="5">
        <f t="array" ref="O188">IFERROR(AVERAGE(IF((ContinuousStatsTable[GroupByKey]=ContinuousStatsTable[[#This Row],[GroupByKey]]),(ContinuousStatsTable[GroupByKey]=ContinuousStatsTable[[#This Row],[GroupByKey]])*ContinuousStatsTable[Average])),0)</f>
        <v>1.5333142680768803</v>
      </c>
      <c r="P188" s="5">
        <f t="array" ref="P188">IFERROR(_xlfn.STDEV.S(IF((ContinuousStatsTable[GroupByKey]=ContinuousStatsTable[[#This Row],[GroupByKey]]),(ContinuousStatsTable[GroupByKey]=ContinuousStatsTable[[#This Row],[GroupByKey]])*ContinuousStatsTable[Average])),0)</f>
        <v>0.24151891999367611</v>
      </c>
      <c r="Q188" s="5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0.13374871983117992</v>
      </c>
      <c r="S188" s="5">
        <f t="array" ref="S188">MIN(IF((ContinuousStatsTable[GroupByKey]=ContinuousStatsTable[[#This Row],[GroupByKey]]),(ContinuousStatsTable[GroupByKey]=ContinuousStatsTable[[#This Row],[GroupByKey]])*ContinuousStatsTable[Average]))</f>
        <v>1</v>
      </c>
      <c r="T188" s="5">
        <f t="array" ref="T188">MAX(IF((ContinuousStatsTable[GroupByKey]=ContinuousStatsTable[[#This Row],[GroupByKey]]),(ContinuousStatsTable[GroupByKey]=ContinuousStatsTable[[#This Row],[GroupByKey]])*ContinuousStatsTable[Average]))</f>
        <v>2</v>
      </c>
      <c r="U188" s="5">
        <f>IF((ContinuousStatsTable[[#This Row],[RepsRequested]]&gt;1),ContinuousStatsTable[[#This Row],[HalfWidth]],ContinuousStatsTable[[#This Row],[BatchMeansHalfWidth]])</f>
        <v>0.13374871983117992</v>
      </c>
    </row>
    <row r="189" spans="1:21" x14ac:dyDescent="0.25">
      <c r="A189" t="s">
        <v>67</v>
      </c>
      <c r="B189" t="s">
        <v>70</v>
      </c>
      <c r="C189">
        <v>5</v>
      </c>
      <c r="D189" t="s">
        <v>76</v>
      </c>
      <c r="E189" t="s">
        <v>72</v>
      </c>
      <c r="F189" t="s">
        <v>73</v>
      </c>
      <c r="G189">
        <v>0</v>
      </c>
      <c r="H189">
        <v>2E+20</v>
      </c>
      <c r="I189">
        <v>0</v>
      </c>
      <c r="J189">
        <v>0</v>
      </c>
      <c r="K189">
        <v>0</v>
      </c>
      <c r="L189">
        <v>0</v>
      </c>
      <c r="M189" s="5" t="str">
        <f>ContinuousStatsTable[[#This Row],[ProjectName]]&amp;ContinuousStatsTable[[#This Row],[Name]]&amp;ContinuousStatsTable[[#This Row],[Type]]&amp;ContinuousStatsTable[[#This Row],[Source]]</f>
        <v>Unnamed ProjectassemblyqcworkerInstantaneous UtilizationResource</v>
      </c>
      <c r="N189" s="5">
        <f t="array" ref="N189">MAX(IF((ProjectInfoTable[ProjectName]=ContinuousStatsTable[[#This Row],[ProjectName]]),(ProjectInfoTable[ProjectName]=ContinuousStatsTable[[#This Row],[ProjectName]])*ProjectInfoTable[NumberOfReplications]))</f>
        <v>15</v>
      </c>
      <c r="O189" s="5">
        <f t="array" ref="O189">IFERROR(AVERAGE(IF((ContinuousStatsTable[GroupByKey]=ContinuousStatsTable[[#This Row],[GroupByKey]]),(ContinuousStatsTable[GroupByKey]=ContinuousStatsTable[[#This Row],[GroupByKey]])*ContinuousStatsTable[Average])),0)</f>
        <v>0</v>
      </c>
      <c r="P189" s="5">
        <f t="array" ref="P189">IFERROR(_xlfn.STDEV.S(IF((ContinuousStatsTable[GroupByKey]=ContinuousStatsTable[[#This Row],[GroupByKey]]),(ContinuousStatsTable[GroupByKey]=ContinuousStatsTable[[#This Row],[GroupByKey]])*ContinuousStatsTable[Average])),0)</f>
        <v>0</v>
      </c>
      <c r="Q189" s="5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9" s="5">
        <f t="array" ref="S189">MIN(IF((ContinuousStatsTable[GroupByKey]=ContinuousStatsTable[[#This Row],[GroupByKey]]),(ContinuousStatsTable[GroupByKey]=ContinuousStatsTable[[#This Row],[GroupByKey]])*ContinuousStatsTable[Average]))</f>
        <v>0</v>
      </c>
      <c r="T189" s="5">
        <f t="array" ref="T189">MAX(IF((ContinuousStatsTable[GroupByKey]=ContinuousStatsTable[[#This Row],[GroupByKey]]),(ContinuousStatsTable[GroupByKey]=ContinuousStatsTable[[#This Row],[GroupByKey]])*ContinuousStatsTable[Average]))</f>
        <v>0</v>
      </c>
      <c r="U189" s="5">
        <f>IF((ContinuousStatsTable[[#This Row],[RepsRequested]]&gt;1),ContinuousStatsTable[[#This Row],[HalfWidth]],ContinuousStatsTable[[#This Row],[BatchMeansHalfWidth]])</f>
        <v>0</v>
      </c>
    </row>
    <row r="190" spans="1:21" x14ac:dyDescent="0.25">
      <c r="A190" t="s">
        <v>67</v>
      </c>
      <c r="B190" t="s">
        <v>70</v>
      </c>
      <c r="C190">
        <v>5</v>
      </c>
      <c r="D190" t="s">
        <v>76</v>
      </c>
      <c r="E190" t="s">
        <v>74</v>
      </c>
      <c r="F190" t="s">
        <v>73</v>
      </c>
      <c r="G190">
        <v>0</v>
      </c>
      <c r="H190">
        <v>2E+20</v>
      </c>
      <c r="I190">
        <v>0</v>
      </c>
      <c r="J190">
        <v>0</v>
      </c>
      <c r="K190">
        <v>0</v>
      </c>
      <c r="L190">
        <v>0</v>
      </c>
      <c r="M190" s="5" t="str">
        <f>ContinuousStatsTable[[#This Row],[ProjectName]]&amp;ContinuousStatsTable[[#This Row],[Name]]&amp;ContinuousStatsTable[[#This Row],[Type]]&amp;ContinuousStatsTable[[#This Row],[Source]]</f>
        <v>Unnamed ProjectassemblyqcworkerNumber BusyResource</v>
      </c>
      <c r="N190" s="5">
        <f t="array" ref="N190">MAX(IF((ProjectInfoTable[ProjectName]=ContinuousStatsTable[[#This Row],[ProjectName]]),(ProjectInfoTable[ProjectName]=ContinuousStatsTable[[#This Row],[ProjectName]])*ProjectInfoTable[NumberOfReplications]))</f>
        <v>15</v>
      </c>
      <c r="O190" s="5">
        <f t="array" ref="O190">IFERROR(AVERAGE(IF((ContinuousStatsTable[GroupByKey]=ContinuousStatsTable[[#This Row],[GroupByKey]]),(ContinuousStatsTable[GroupByKey]=ContinuousStatsTable[[#This Row],[GroupByKey]])*ContinuousStatsTable[Average])),0)</f>
        <v>0</v>
      </c>
      <c r="P190" s="5">
        <f t="array" ref="P190">IFERROR(_xlfn.STDEV.S(IF((ContinuousStatsTable[GroupByKey]=ContinuousStatsTable[[#This Row],[GroupByKey]]),(ContinuousStatsTable[GroupByKey]=ContinuousStatsTable[[#This Row],[GroupByKey]])*ContinuousStatsTable[Average])),0)</f>
        <v>0</v>
      </c>
      <c r="Q190" s="5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0" s="5">
        <f t="array" ref="S190">MIN(IF((ContinuousStatsTable[GroupByKey]=ContinuousStatsTable[[#This Row],[GroupByKey]]),(ContinuousStatsTable[GroupByKey]=ContinuousStatsTable[[#This Row],[GroupByKey]])*ContinuousStatsTable[Average]))</f>
        <v>0</v>
      </c>
      <c r="T190" s="5">
        <f t="array" ref="T190">MAX(IF((ContinuousStatsTable[GroupByKey]=ContinuousStatsTable[[#This Row],[GroupByKey]]),(ContinuousStatsTable[GroupByKey]=ContinuousStatsTable[[#This Row],[GroupByKey]])*ContinuousStatsTable[Average]))</f>
        <v>0</v>
      </c>
      <c r="U190" s="5">
        <f>IF((ContinuousStatsTable[[#This Row],[RepsRequested]]&gt;1),ContinuousStatsTable[[#This Row],[HalfWidth]],ContinuousStatsTable[[#This Row],[BatchMeansHalfWidth]])</f>
        <v>0</v>
      </c>
    </row>
    <row r="191" spans="1:21" x14ac:dyDescent="0.25">
      <c r="A191" t="s">
        <v>67</v>
      </c>
      <c r="B191" t="s">
        <v>70</v>
      </c>
      <c r="C191">
        <v>5</v>
      </c>
      <c r="D191" t="s">
        <v>76</v>
      </c>
      <c r="E191" t="s">
        <v>75</v>
      </c>
      <c r="F191" t="s">
        <v>73</v>
      </c>
      <c r="G191">
        <v>1.5834999999999999</v>
      </c>
      <c r="H191">
        <v>3E+20</v>
      </c>
      <c r="I191">
        <v>1</v>
      </c>
      <c r="J191">
        <v>2</v>
      </c>
      <c r="K191">
        <v>2</v>
      </c>
      <c r="L191">
        <v>0</v>
      </c>
      <c r="M191" s="5" t="str">
        <f>ContinuousStatsTable[[#This Row],[ProjectName]]&amp;ContinuousStatsTable[[#This Row],[Name]]&amp;ContinuousStatsTable[[#This Row],[Type]]&amp;ContinuousStatsTable[[#This Row],[Source]]</f>
        <v>Unnamed ProjectassemblyqcworkerNumber ScheduledResource</v>
      </c>
      <c r="N191" s="5">
        <f t="array" ref="N191">MAX(IF((ProjectInfoTable[ProjectName]=ContinuousStatsTable[[#This Row],[ProjectName]]),(ProjectInfoTable[ProjectName]=ContinuousStatsTable[[#This Row],[ProjectName]])*ProjectInfoTable[NumberOfReplications]))</f>
        <v>15</v>
      </c>
      <c r="O191" s="5">
        <f t="array" ref="O191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191" s="5">
        <f t="array" ref="P191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191" s="5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191" s="5">
        <f t="array" ref="S191">MIN(IF((ContinuousStatsTable[GroupByKey]=ContinuousStatsTable[[#This Row],[GroupByKey]]),(ContinuousStatsTable[GroupByKey]=ContinuousStatsTable[[#This Row],[GroupByKey]])*ContinuousStatsTable[Average]))</f>
        <v>1</v>
      </c>
      <c r="T191" s="5">
        <f t="array" ref="T191">MAX(IF((ContinuousStatsTable[GroupByKey]=ContinuousStatsTable[[#This Row],[GroupByKey]]),(ContinuousStatsTable[GroupByKey]=ContinuousStatsTable[[#This Row],[GroupByKey]])*ContinuousStatsTable[Average]))</f>
        <v>2</v>
      </c>
      <c r="U191" s="5">
        <f>IF((ContinuousStatsTable[[#This Row],[RepsRequested]]&gt;1),ContinuousStatsTable[[#This Row],[HalfWidth]],ContinuousStatsTable[[#This Row],[BatchMeansHalfWidth]])</f>
        <v>0.13376733135491528</v>
      </c>
    </row>
    <row r="192" spans="1:21" x14ac:dyDescent="0.25">
      <c r="A192" t="s">
        <v>67</v>
      </c>
      <c r="B192" t="s">
        <v>70</v>
      </c>
      <c r="C192">
        <v>5</v>
      </c>
      <c r="D192" t="s">
        <v>77</v>
      </c>
      <c r="E192" t="s">
        <v>78</v>
      </c>
      <c r="F192" t="s">
        <v>79</v>
      </c>
      <c r="G192">
        <v>0</v>
      </c>
      <c r="H192">
        <v>2E+20</v>
      </c>
      <c r="I192">
        <v>0</v>
      </c>
      <c r="J192">
        <v>0</v>
      </c>
      <c r="K192">
        <v>0</v>
      </c>
      <c r="L192">
        <v>0</v>
      </c>
      <c r="M192" s="5" t="str">
        <f>ContinuousStatsTable[[#This Row],[ProjectName]]&amp;ContinuousStatsTable[[#This Row],[Name]]&amp;ContinuousStatsTable[[#This Row],[Type]]&amp;ContinuousStatsTable[[#This Row],[Source]]</f>
        <v>Unnamed Projectbatched_partsWIPEntity</v>
      </c>
      <c r="N192" s="5">
        <f t="array" ref="N192">MAX(IF((ProjectInfoTable[ProjectName]=ContinuousStatsTable[[#This Row],[ProjectName]]),(ProjectInfoTable[ProjectName]=ContinuousStatsTable[[#This Row],[ProjectName]])*ProjectInfoTable[NumberOfReplications]))</f>
        <v>15</v>
      </c>
      <c r="O192" s="5">
        <f t="array" ref="O192">IFERROR(AVERAGE(IF((ContinuousStatsTable[GroupByKey]=ContinuousStatsTable[[#This Row],[GroupByKey]]),(ContinuousStatsTable[GroupByKey]=ContinuousStatsTable[[#This Row],[GroupByKey]])*ContinuousStatsTable[Average])),0)</f>
        <v>0</v>
      </c>
      <c r="P192" s="5">
        <f t="array" ref="P192">IFERROR(_xlfn.STDEV.S(IF((ContinuousStatsTable[GroupByKey]=ContinuousStatsTable[[#This Row],[GroupByKey]]),(ContinuousStatsTable[GroupByKey]=ContinuousStatsTable[[#This Row],[GroupByKey]])*ContinuousStatsTable[Average])),0)</f>
        <v>0</v>
      </c>
      <c r="Q192" s="5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2" s="5">
        <f t="array" ref="S192">MIN(IF((ContinuousStatsTable[GroupByKey]=ContinuousStatsTable[[#This Row],[GroupByKey]]),(ContinuousStatsTable[GroupByKey]=ContinuousStatsTable[[#This Row],[GroupByKey]])*ContinuousStatsTable[Average]))</f>
        <v>0</v>
      </c>
      <c r="T192" s="5">
        <f t="array" ref="T192">MAX(IF((ContinuousStatsTable[GroupByKey]=ContinuousStatsTable[[#This Row],[GroupByKey]]),(ContinuousStatsTable[GroupByKey]=ContinuousStatsTable[[#This Row],[GroupByKey]])*ContinuousStatsTable[Average]))</f>
        <v>0</v>
      </c>
      <c r="U192" s="5">
        <f>IF((ContinuousStatsTable[[#This Row],[RepsRequested]]&gt;1),ContinuousStatsTable[[#This Row],[HalfWidth]],ContinuousStatsTable[[#This Row],[BatchMeansHalfWidth]])</f>
        <v>0</v>
      </c>
    </row>
    <row r="193" spans="1:21" x14ac:dyDescent="0.25">
      <c r="A193" t="s">
        <v>67</v>
      </c>
      <c r="B193" t="s">
        <v>70</v>
      </c>
      <c r="C193">
        <v>5</v>
      </c>
      <c r="D193" t="s">
        <v>80</v>
      </c>
      <c r="E193" t="s">
        <v>72</v>
      </c>
      <c r="F193" t="s">
        <v>73</v>
      </c>
      <c r="G193">
        <v>0</v>
      </c>
      <c r="H193">
        <v>2E+20</v>
      </c>
      <c r="I193">
        <v>0</v>
      </c>
      <c r="J193">
        <v>0</v>
      </c>
      <c r="K193">
        <v>0</v>
      </c>
      <c r="L193">
        <v>0</v>
      </c>
      <c r="M193" s="5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193" s="5">
        <f t="array" ref="N193">MAX(IF((ProjectInfoTable[ProjectName]=ContinuousStatsTable[[#This Row],[ProjectName]]),(ProjectInfoTable[ProjectName]=ContinuousStatsTable[[#This Row],[ProjectName]])*ProjectInfoTable[NumberOfReplications]))</f>
        <v>15</v>
      </c>
      <c r="O193" s="5">
        <f t="array" ref="O193">IFERROR(AVERAGE(IF((ContinuousStatsTable[GroupByKey]=ContinuousStatsTable[[#This Row],[GroupByKey]]),(ContinuousStatsTable[GroupByKey]=ContinuousStatsTable[[#This Row],[GroupByKey]])*ContinuousStatsTable[Average])),0)</f>
        <v>0</v>
      </c>
      <c r="P193" s="5">
        <f t="array" ref="P193">IFERROR(_xlfn.STDEV.S(IF((ContinuousStatsTable[GroupByKey]=ContinuousStatsTable[[#This Row],[GroupByKey]]),(ContinuousStatsTable[GroupByKey]=ContinuousStatsTable[[#This Row],[GroupByKey]])*ContinuousStatsTable[Average])),0)</f>
        <v>0</v>
      </c>
      <c r="Q193" s="5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3" s="5">
        <f t="array" ref="S193">MIN(IF((ContinuousStatsTable[GroupByKey]=ContinuousStatsTable[[#This Row],[GroupByKey]]),(ContinuousStatsTable[GroupByKey]=ContinuousStatsTable[[#This Row],[GroupByKey]])*ContinuousStatsTable[Average]))</f>
        <v>0</v>
      </c>
      <c r="T193" s="5">
        <f t="array" ref="T193">MAX(IF((ContinuousStatsTable[GroupByKey]=ContinuousStatsTable[[#This Row],[GroupByKey]]),(ContinuousStatsTable[GroupByKey]=ContinuousStatsTable[[#This Row],[GroupByKey]])*ContinuousStatsTable[Average]))</f>
        <v>0</v>
      </c>
      <c r="U193" s="5">
        <f>IF((ContinuousStatsTable[[#This Row],[RepsRequested]]&gt;1),ContinuousStatsTable[[#This Row],[HalfWidth]],ContinuousStatsTable[[#This Row],[BatchMeansHalfWidth]])</f>
        <v>0</v>
      </c>
    </row>
    <row r="194" spans="1:21" x14ac:dyDescent="0.25">
      <c r="A194" t="s">
        <v>67</v>
      </c>
      <c r="B194" t="s">
        <v>70</v>
      </c>
      <c r="C194">
        <v>5</v>
      </c>
      <c r="D194" t="s">
        <v>80</v>
      </c>
      <c r="E194" t="s">
        <v>74</v>
      </c>
      <c r="F194" t="s">
        <v>73</v>
      </c>
      <c r="G194">
        <v>0</v>
      </c>
      <c r="H194">
        <v>2E+20</v>
      </c>
      <c r="I194">
        <v>0</v>
      </c>
      <c r="J194">
        <v>0</v>
      </c>
      <c r="K194">
        <v>0</v>
      </c>
      <c r="L194">
        <v>0</v>
      </c>
      <c r="M194" s="5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194" s="5">
        <f t="array" ref="N194">MAX(IF((ProjectInfoTable[ProjectName]=ContinuousStatsTable[[#This Row],[ProjectName]]),(ProjectInfoTable[ProjectName]=ContinuousStatsTable[[#This Row],[ProjectName]])*ProjectInfoTable[NumberOfReplications]))</f>
        <v>15</v>
      </c>
      <c r="O194" s="5">
        <f t="array" ref="O194">IFERROR(AVERAGE(IF((ContinuousStatsTable[GroupByKey]=ContinuousStatsTable[[#This Row],[GroupByKey]]),(ContinuousStatsTable[GroupByKey]=ContinuousStatsTable[[#This Row],[GroupByKey]])*ContinuousStatsTable[Average])),0)</f>
        <v>0</v>
      </c>
      <c r="P194" s="5">
        <f t="array" ref="P194">IFERROR(_xlfn.STDEV.S(IF((ContinuousStatsTable[GroupByKey]=ContinuousStatsTable[[#This Row],[GroupByKey]]),(ContinuousStatsTable[GroupByKey]=ContinuousStatsTable[[#This Row],[GroupByKey]])*ContinuousStatsTable[Average])),0)</f>
        <v>0</v>
      </c>
      <c r="Q194" s="5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4" s="5">
        <f t="array" ref="S194">MIN(IF((ContinuousStatsTable[GroupByKey]=ContinuousStatsTable[[#This Row],[GroupByKey]]),(ContinuousStatsTable[GroupByKey]=ContinuousStatsTable[[#This Row],[GroupByKey]])*ContinuousStatsTable[Average]))</f>
        <v>0</v>
      </c>
      <c r="T194" s="5">
        <f t="array" ref="T194">MAX(IF((ContinuousStatsTable[GroupByKey]=ContinuousStatsTable[[#This Row],[GroupByKey]]),(ContinuousStatsTable[GroupByKey]=ContinuousStatsTable[[#This Row],[GroupByKey]])*ContinuousStatsTable[Average]))</f>
        <v>0</v>
      </c>
      <c r="U194" s="5">
        <f>IF((ContinuousStatsTable[[#This Row],[RepsRequested]]&gt;1),ContinuousStatsTable[[#This Row],[HalfWidth]],ContinuousStatsTable[[#This Row],[BatchMeansHalfWidth]])</f>
        <v>0</v>
      </c>
    </row>
    <row r="195" spans="1:21" x14ac:dyDescent="0.25">
      <c r="A195" t="s">
        <v>67</v>
      </c>
      <c r="B195" t="s">
        <v>70</v>
      </c>
      <c r="C195">
        <v>5</v>
      </c>
      <c r="D195" t="s">
        <v>80</v>
      </c>
      <c r="E195" t="s">
        <v>75</v>
      </c>
      <c r="F195" t="s">
        <v>73</v>
      </c>
      <c r="G195">
        <v>1.58328091607428</v>
      </c>
      <c r="H195">
        <v>3E+20</v>
      </c>
      <c r="I195">
        <v>1</v>
      </c>
      <c r="J195">
        <v>2</v>
      </c>
      <c r="K195">
        <v>2</v>
      </c>
      <c r="L195">
        <v>0</v>
      </c>
      <c r="M195" s="5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195" s="5">
        <f t="array" ref="N195">MAX(IF((ProjectInfoTable[ProjectName]=ContinuousStatsTable[[#This Row],[ProjectName]]),(ProjectInfoTable[ProjectName]=ContinuousStatsTable[[#This Row],[ProjectName]])*ProjectInfoTable[NumberOfReplications]))</f>
        <v>15</v>
      </c>
      <c r="O195" s="5">
        <f t="array" ref="O195">IFERROR(AVERAGE(IF((ContinuousStatsTable[GroupByKey]=ContinuousStatsTable[[#This Row],[GroupByKey]]),(ContinuousStatsTable[GroupByKey]=ContinuousStatsTable[[#This Row],[GroupByKey]])*ContinuousStatsTable[Average])),0)</f>
        <v>1.5334471868881776</v>
      </c>
      <c r="P195" s="5">
        <f t="array" ref="P195">IFERROR(_xlfn.STDEV.S(IF((ContinuousStatsTable[GroupByKey]=ContinuousStatsTable[[#This Row],[GroupByKey]]),(ContinuousStatsTable[GroupByKey]=ContinuousStatsTable[[#This Row],[GroupByKey]])*ContinuousStatsTable[Average])),0)</f>
        <v>0.24154821158553658</v>
      </c>
      <c r="Q195" s="5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0.13376494097407529</v>
      </c>
      <c r="S195" s="5">
        <f t="array" ref="S195">MIN(IF((ContinuousStatsTable[GroupByKey]=ContinuousStatsTable[[#This Row],[GroupByKey]]),(ContinuousStatsTable[GroupByKey]=ContinuousStatsTable[[#This Row],[GroupByKey]])*ContinuousStatsTable[Average]))</f>
        <v>1</v>
      </c>
      <c r="T195" s="5">
        <f t="array" ref="T195">MAX(IF((ContinuousStatsTable[GroupByKey]=ContinuousStatsTable[[#This Row],[GroupByKey]]),(ContinuousStatsTable[GroupByKey]=ContinuousStatsTable[[#This Row],[GroupByKey]])*ContinuousStatsTable[Average]))</f>
        <v>2</v>
      </c>
      <c r="U195" s="5">
        <f>IF((ContinuousStatsTable[[#This Row],[RepsRequested]]&gt;1),ContinuousStatsTable[[#This Row],[HalfWidth]],ContinuousStatsTable[[#This Row],[BatchMeansHalfWidth]])</f>
        <v>0.13376494097407529</v>
      </c>
    </row>
    <row r="196" spans="1:21" x14ac:dyDescent="0.25">
      <c r="A196" t="s">
        <v>67</v>
      </c>
      <c r="B196" t="s">
        <v>70</v>
      </c>
      <c r="C196">
        <v>5</v>
      </c>
      <c r="D196" t="s">
        <v>81</v>
      </c>
      <c r="E196" t="s">
        <v>72</v>
      </c>
      <c r="F196" t="s">
        <v>73</v>
      </c>
      <c r="G196">
        <v>0</v>
      </c>
      <c r="H196">
        <v>2E+20</v>
      </c>
      <c r="I196">
        <v>0</v>
      </c>
      <c r="J196">
        <v>0</v>
      </c>
      <c r="K196">
        <v>0</v>
      </c>
      <c r="L196">
        <v>0</v>
      </c>
      <c r="M196" s="5" t="str">
        <f>ContinuousStatsTable[[#This Row],[ProjectName]]&amp;ContinuousStatsTable[[#This Row],[Name]]&amp;ContinuousStatsTable[[#This Row],[Type]]&amp;ContinuousStatsTable[[#This Row],[Source]]</f>
        <v>Unnamed ProjectcutterInstantaneous UtilizationResource</v>
      </c>
      <c r="N196" s="5">
        <f t="array" ref="N196">MAX(IF((ProjectInfoTable[ProjectName]=ContinuousStatsTable[[#This Row],[ProjectName]]),(ProjectInfoTable[ProjectName]=ContinuousStatsTable[[#This Row],[ProjectName]])*ProjectInfoTable[NumberOfReplications]))</f>
        <v>15</v>
      </c>
      <c r="O196" s="5">
        <f t="array" ref="O196">IFERROR(AVERAGE(IF((ContinuousStatsTable[GroupByKey]=ContinuousStatsTable[[#This Row],[GroupByKey]]),(ContinuousStatsTable[GroupByKey]=ContinuousStatsTable[[#This Row],[GroupByKey]])*ContinuousStatsTable[Average])),0)</f>
        <v>0</v>
      </c>
      <c r="P196" s="5">
        <f t="array" ref="P196">IFERROR(_xlfn.STDEV.S(IF((ContinuousStatsTable[GroupByKey]=ContinuousStatsTable[[#This Row],[GroupByKey]]),(ContinuousStatsTable[GroupByKey]=ContinuousStatsTable[[#This Row],[GroupByKey]])*ContinuousStatsTable[Average])),0)</f>
        <v>0</v>
      </c>
      <c r="Q196" s="5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6" s="5">
        <f t="array" ref="S196">MIN(IF((ContinuousStatsTable[GroupByKey]=ContinuousStatsTable[[#This Row],[GroupByKey]]),(ContinuousStatsTable[GroupByKey]=ContinuousStatsTable[[#This Row],[GroupByKey]])*ContinuousStatsTable[Average]))</f>
        <v>0</v>
      </c>
      <c r="T196" s="5">
        <f t="array" ref="T196">MAX(IF((ContinuousStatsTable[GroupByKey]=ContinuousStatsTable[[#This Row],[GroupByKey]]),(ContinuousStatsTable[GroupByKey]=ContinuousStatsTable[[#This Row],[GroupByKey]])*ContinuousStatsTable[Average]))</f>
        <v>0</v>
      </c>
      <c r="U196" s="5">
        <f>IF((ContinuousStatsTable[[#This Row],[RepsRequested]]&gt;1),ContinuousStatsTable[[#This Row],[HalfWidth]],ContinuousStatsTable[[#This Row],[BatchMeansHalfWidth]])</f>
        <v>0</v>
      </c>
    </row>
    <row r="197" spans="1:21" x14ac:dyDescent="0.25">
      <c r="A197" t="s">
        <v>67</v>
      </c>
      <c r="B197" t="s">
        <v>70</v>
      </c>
      <c r="C197">
        <v>5</v>
      </c>
      <c r="D197" t="s">
        <v>81</v>
      </c>
      <c r="E197" t="s">
        <v>74</v>
      </c>
      <c r="F197" t="s">
        <v>73</v>
      </c>
      <c r="G197">
        <v>0</v>
      </c>
      <c r="H197">
        <v>2E+20</v>
      </c>
      <c r="I197">
        <v>0</v>
      </c>
      <c r="J197">
        <v>0</v>
      </c>
      <c r="K197">
        <v>0</v>
      </c>
      <c r="L197">
        <v>0</v>
      </c>
      <c r="M197" s="5" t="str">
        <f>ContinuousStatsTable[[#This Row],[ProjectName]]&amp;ContinuousStatsTable[[#This Row],[Name]]&amp;ContinuousStatsTable[[#This Row],[Type]]&amp;ContinuousStatsTable[[#This Row],[Source]]</f>
        <v>Unnamed ProjectcutterNumber BusyResource</v>
      </c>
      <c r="N197" s="5">
        <f t="array" ref="N197">MAX(IF((ProjectInfoTable[ProjectName]=ContinuousStatsTable[[#This Row],[ProjectName]]),(ProjectInfoTable[ProjectName]=ContinuousStatsTable[[#This Row],[ProjectName]])*ProjectInfoTable[NumberOfReplications]))</f>
        <v>15</v>
      </c>
      <c r="O197" s="5">
        <f t="array" ref="O197">IFERROR(AVERAGE(IF((ContinuousStatsTable[GroupByKey]=ContinuousStatsTable[[#This Row],[GroupByKey]]),(ContinuousStatsTable[GroupByKey]=ContinuousStatsTable[[#This Row],[GroupByKey]])*ContinuousStatsTable[Average])),0)</f>
        <v>0</v>
      </c>
      <c r="P197" s="5">
        <f t="array" ref="P197">IFERROR(_xlfn.STDEV.S(IF((ContinuousStatsTable[GroupByKey]=ContinuousStatsTable[[#This Row],[GroupByKey]]),(ContinuousStatsTable[GroupByKey]=ContinuousStatsTable[[#This Row],[GroupByKey]])*ContinuousStatsTable[Average])),0)</f>
        <v>0</v>
      </c>
      <c r="Q197" s="5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7" s="5">
        <f t="array" ref="S197">MIN(IF((ContinuousStatsTable[GroupByKey]=ContinuousStatsTable[[#This Row],[GroupByKey]]),(ContinuousStatsTable[GroupByKey]=ContinuousStatsTable[[#This Row],[GroupByKey]])*ContinuousStatsTable[Average]))</f>
        <v>0</v>
      </c>
      <c r="T197" s="5">
        <f t="array" ref="T197">MAX(IF((ContinuousStatsTable[GroupByKey]=ContinuousStatsTable[[#This Row],[GroupByKey]]),(ContinuousStatsTable[GroupByKey]=ContinuousStatsTable[[#This Row],[GroupByKey]])*ContinuousStatsTable[Average]))</f>
        <v>0</v>
      </c>
      <c r="U197" s="5">
        <f>IF((ContinuousStatsTable[[#This Row],[RepsRequested]]&gt;1),ContinuousStatsTable[[#This Row],[HalfWidth]],ContinuousStatsTable[[#This Row],[BatchMeansHalfWidth]])</f>
        <v>0</v>
      </c>
    </row>
    <row r="198" spans="1:21" x14ac:dyDescent="0.25">
      <c r="A198" t="s">
        <v>67</v>
      </c>
      <c r="B198" t="s">
        <v>70</v>
      </c>
      <c r="C198">
        <v>5</v>
      </c>
      <c r="D198" t="s">
        <v>81</v>
      </c>
      <c r="E198" t="s">
        <v>75</v>
      </c>
      <c r="F198" t="s">
        <v>73</v>
      </c>
      <c r="G198">
        <v>1.583375</v>
      </c>
      <c r="H198">
        <v>3E+20</v>
      </c>
      <c r="I198">
        <v>1</v>
      </c>
      <c r="J198">
        <v>2</v>
      </c>
      <c r="K198">
        <v>2</v>
      </c>
      <c r="L198">
        <v>0</v>
      </c>
      <c r="M198" s="5" t="str">
        <f>ContinuousStatsTable[[#This Row],[ProjectName]]&amp;ContinuousStatsTable[[#This Row],[Name]]&amp;ContinuousStatsTable[[#This Row],[Type]]&amp;ContinuousStatsTable[[#This Row],[Source]]</f>
        <v>Unnamed ProjectcutterNumber ScheduledResource</v>
      </c>
      <c r="N198" s="5">
        <f t="array" ref="N198">MAX(IF((ProjectInfoTable[ProjectName]=ContinuousStatsTable[[#This Row],[ProjectName]]),(ProjectInfoTable[ProjectName]=ContinuousStatsTable[[#This Row],[ProjectName]])*ProjectInfoTable[NumberOfReplications]))</f>
        <v>15</v>
      </c>
      <c r="O198" s="5">
        <f t="array" ref="O198">IFERROR(AVERAGE(IF((ContinuousStatsTable[GroupByKey]=ContinuousStatsTable[[#This Row],[GroupByKey]]),(ContinuousStatsTable[GroupByKey]=ContinuousStatsTable[[#This Row],[GroupByKey]])*ContinuousStatsTable[Average])),0)</f>
        <v>1.5332999999999999</v>
      </c>
      <c r="P198" s="5">
        <f t="array" ref="P198">IFERROR(_xlfn.STDEV.S(IF((ContinuousStatsTable[GroupByKey]=ContinuousStatsTable[[#This Row],[GroupByKey]]),(ContinuousStatsTable[GroupByKey]=ContinuousStatsTable[[#This Row],[GroupByKey]])*ContinuousStatsTable[Average])),0)</f>
        <v>0.24151556349584294</v>
      </c>
      <c r="Q198" s="5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0.1337468610646356</v>
      </c>
      <c r="S198" s="5">
        <f t="array" ref="S198">MIN(IF((ContinuousStatsTable[GroupByKey]=ContinuousStatsTable[[#This Row],[GroupByKey]]),(ContinuousStatsTable[GroupByKey]=ContinuousStatsTable[[#This Row],[GroupByKey]])*ContinuousStatsTable[Average]))</f>
        <v>1</v>
      </c>
      <c r="T198" s="5">
        <f t="array" ref="T198">MAX(IF((ContinuousStatsTable[GroupByKey]=ContinuousStatsTable[[#This Row],[GroupByKey]]),(ContinuousStatsTable[GroupByKey]=ContinuousStatsTable[[#This Row],[GroupByKey]])*ContinuousStatsTable[Average]))</f>
        <v>2</v>
      </c>
      <c r="U198" s="5">
        <f>IF((ContinuousStatsTable[[#This Row],[RepsRequested]]&gt;1),ContinuousStatsTable[[#This Row],[HalfWidth]],ContinuousStatsTable[[#This Row],[BatchMeansHalfWidth]])</f>
        <v>0.1337468610646356</v>
      </c>
    </row>
    <row r="199" spans="1:21" x14ac:dyDescent="0.25">
      <c r="A199" t="s">
        <v>67</v>
      </c>
      <c r="B199" t="s">
        <v>70</v>
      </c>
      <c r="C199">
        <v>5</v>
      </c>
      <c r="D199" t="s">
        <v>82</v>
      </c>
      <c r="E199" t="s">
        <v>72</v>
      </c>
      <c r="F199" t="s">
        <v>73</v>
      </c>
      <c r="G199">
        <v>0</v>
      </c>
      <c r="H199">
        <v>2E+20</v>
      </c>
      <c r="I199">
        <v>0</v>
      </c>
      <c r="J199">
        <v>0</v>
      </c>
      <c r="K199">
        <v>0</v>
      </c>
      <c r="L199">
        <v>0</v>
      </c>
      <c r="M199" s="5" t="str">
        <f>ContinuousStatsTable[[#This Row],[ProjectName]]&amp;ContinuousStatsTable[[#This Row],[Name]]&amp;ContinuousStatsTable[[#This Row],[Type]]&amp;ContinuousStatsTable[[#This Row],[Source]]</f>
        <v>Unnamed ProjectfinalqcmanInstantaneous UtilizationResource</v>
      </c>
      <c r="N199" s="5">
        <f t="array" ref="N199">MAX(IF((ProjectInfoTable[ProjectName]=ContinuousStatsTable[[#This Row],[ProjectName]]),(ProjectInfoTable[ProjectName]=ContinuousStatsTable[[#This Row],[ProjectName]])*ProjectInfoTable[NumberOfReplications]))</f>
        <v>15</v>
      </c>
      <c r="O199" s="5">
        <f t="array" ref="O199">IFERROR(AVERAGE(IF((ContinuousStatsTable[GroupByKey]=ContinuousStatsTable[[#This Row],[GroupByKey]]),(ContinuousStatsTable[GroupByKey]=ContinuousStatsTable[[#This Row],[GroupByKey]])*ContinuousStatsTable[Average])),0)</f>
        <v>0</v>
      </c>
      <c r="P199" s="5">
        <f t="array" ref="P199">IFERROR(_xlfn.STDEV.S(IF((ContinuousStatsTable[GroupByKey]=ContinuousStatsTable[[#This Row],[GroupByKey]]),(ContinuousStatsTable[GroupByKey]=ContinuousStatsTable[[#This Row],[GroupByKey]])*ContinuousStatsTable[Average])),0)</f>
        <v>0</v>
      </c>
      <c r="Q199" s="5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9" s="5">
        <f t="array" ref="S199">MIN(IF((ContinuousStatsTable[GroupByKey]=ContinuousStatsTable[[#This Row],[GroupByKey]]),(ContinuousStatsTable[GroupByKey]=ContinuousStatsTable[[#This Row],[GroupByKey]])*ContinuousStatsTable[Average]))</f>
        <v>0</v>
      </c>
      <c r="T199" s="5">
        <f t="array" ref="T199">MAX(IF((ContinuousStatsTable[GroupByKey]=ContinuousStatsTable[[#This Row],[GroupByKey]]),(ContinuousStatsTable[GroupByKey]=ContinuousStatsTable[[#This Row],[GroupByKey]])*ContinuousStatsTable[Average]))</f>
        <v>0</v>
      </c>
      <c r="U199" s="5">
        <f>IF((ContinuousStatsTable[[#This Row],[RepsRequested]]&gt;1),ContinuousStatsTable[[#This Row],[HalfWidth]],ContinuousStatsTable[[#This Row],[BatchMeansHalfWidth]])</f>
        <v>0</v>
      </c>
    </row>
    <row r="200" spans="1:21" x14ac:dyDescent="0.25">
      <c r="A200" t="s">
        <v>67</v>
      </c>
      <c r="B200" t="s">
        <v>70</v>
      </c>
      <c r="C200">
        <v>5</v>
      </c>
      <c r="D200" t="s">
        <v>82</v>
      </c>
      <c r="E200" t="s">
        <v>74</v>
      </c>
      <c r="F200" t="s">
        <v>73</v>
      </c>
      <c r="G200">
        <v>0</v>
      </c>
      <c r="H200">
        <v>2E+20</v>
      </c>
      <c r="I200">
        <v>0</v>
      </c>
      <c r="J200">
        <v>0</v>
      </c>
      <c r="K200">
        <v>0</v>
      </c>
      <c r="L200">
        <v>0</v>
      </c>
      <c r="M200" s="5" t="str">
        <f>ContinuousStatsTable[[#This Row],[ProjectName]]&amp;ContinuousStatsTable[[#This Row],[Name]]&amp;ContinuousStatsTable[[#This Row],[Type]]&amp;ContinuousStatsTable[[#This Row],[Source]]</f>
        <v>Unnamed ProjectfinalqcmanNumber BusyResource</v>
      </c>
      <c r="N200" s="5">
        <f t="array" ref="N200">MAX(IF((ProjectInfoTable[ProjectName]=ContinuousStatsTable[[#This Row],[ProjectName]]),(ProjectInfoTable[ProjectName]=ContinuousStatsTable[[#This Row],[ProjectName]])*ProjectInfoTable[NumberOfReplications]))</f>
        <v>15</v>
      </c>
      <c r="O200" s="5">
        <f t="array" ref="O200">IFERROR(AVERAGE(IF((ContinuousStatsTable[GroupByKey]=ContinuousStatsTable[[#This Row],[GroupByKey]]),(ContinuousStatsTable[GroupByKey]=ContinuousStatsTable[[#This Row],[GroupByKey]])*ContinuousStatsTable[Average])),0)</f>
        <v>0</v>
      </c>
      <c r="P200" s="5">
        <f t="array" ref="P200">IFERROR(_xlfn.STDEV.S(IF((ContinuousStatsTable[GroupByKey]=ContinuousStatsTable[[#This Row],[GroupByKey]]),(ContinuousStatsTable[GroupByKey]=ContinuousStatsTable[[#This Row],[GroupByKey]])*ContinuousStatsTable[Average])),0)</f>
        <v>0</v>
      </c>
      <c r="Q200" s="5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0" s="5">
        <f t="array" ref="S200">MIN(IF((ContinuousStatsTable[GroupByKey]=ContinuousStatsTable[[#This Row],[GroupByKey]]),(ContinuousStatsTable[GroupByKey]=ContinuousStatsTable[[#This Row],[GroupByKey]])*ContinuousStatsTable[Average]))</f>
        <v>0</v>
      </c>
      <c r="T200" s="5">
        <f t="array" ref="T200">MAX(IF((ContinuousStatsTable[GroupByKey]=ContinuousStatsTable[[#This Row],[GroupByKey]]),(ContinuousStatsTable[GroupByKey]=ContinuousStatsTable[[#This Row],[GroupByKey]])*ContinuousStatsTable[Average]))</f>
        <v>0</v>
      </c>
      <c r="U200" s="5">
        <f>IF((ContinuousStatsTable[[#This Row],[RepsRequested]]&gt;1),ContinuousStatsTable[[#This Row],[HalfWidth]],ContinuousStatsTable[[#This Row],[BatchMeansHalfWidth]])</f>
        <v>0</v>
      </c>
    </row>
    <row r="201" spans="1:21" x14ac:dyDescent="0.25">
      <c r="A201" t="s">
        <v>67</v>
      </c>
      <c r="B201" t="s">
        <v>70</v>
      </c>
      <c r="C201">
        <v>5</v>
      </c>
      <c r="D201" t="s">
        <v>82</v>
      </c>
      <c r="E201" t="s">
        <v>75</v>
      </c>
      <c r="F201" t="s">
        <v>73</v>
      </c>
      <c r="G201">
        <v>1.5834999999999999</v>
      </c>
      <c r="H201">
        <v>3E+20</v>
      </c>
      <c r="I201">
        <v>1</v>
      </c>
      <c r="J201">
        <v>2</v>
      </c>
      <c r="K201">
        <v>2</v>
      </c>
      <c r="L201">
        <v>0</v>
      </c>
      <c r="M201" s="5" t="str">
        <f>ContinuousStatsTable[[#This Row],[ProjectName]]&amp;ContinuousStatsTable[[#This Row],[Name]]&amp;ContinuousStatsTable[[#This Row],[Type]]&amp;ContinuousStatsTable[[#This Row],[Source]]</f>
        <v>Unnamed ProjectfinalqcmanNumber ScheduledResource</v>
      </c>
      <c r="N201" s="5">
        <f t="array" ref="N201">MAX(IF((ProjectInfoTable[ProjectName]=ContinuousStatsTable[[#This Row],[ProjectName]]),(ProjectInfoTable[ProjectName]=ContinuousStatsTable[[#This Row],[ProjectName]])*ProjectInfoTable[NumberOfReplications]))</f>
        <v>15</v>
      </c>
      <c r="O201" s="5">
        <f t="array" ref="O201">IFERROR(AVERAGE(IF((ContinuousStatsTable[GroupByKey]=ContinuousStatsTable[[#This Row],[GroupByKey]]),(ContinuousStatsTable[GroupByKey]=ContinuousStatsTable[[#This Row],[GroupByKey]])*ContinuousStatsTable[Average])),0)</f>
        <v>1.5334510661643974</v>
      </c>
      <c r="P201" s="5">
        <f t="array" ref="P201">IFERROR(_xlfn.STDEV.S(IF((ContinuousStatsTable[GroupByKey]=ContinuousStatsTable[[#This Row],[GroupByKey]]),(ContinuousStatsTable[GroupByKey]=ContinuousStatsTable[[#This Row],[GroupByKey]])*ContinuousStatsTable[Average])),0)</f>
        <v>0.24154906725932371</v>
      </c>
      <c r="Q201" s="5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0.13376541483042423</v>
      </c>
      <c r="S201" s="5">
        <f t="array" ref="S201">MIN(IF((ContinuousStatsTable[GroupByKey]=ContinuousStatsTable[[#This Row],[GroupByKey]]),(ContinuousStatsTable[GroupByKey]=ContinuousStatsTable[[#This Row],[GroupByKey]])*ContinuousStatsTable[Average]))</f>
        <v>1</v>
      </c>
      <c r="T201" s="5">
        <f t="array" ref="T201">MAX(IF((ContinuousStatsTable[GroupByKey]=ContinuousStatsTable[[#This Row],[GroupByKey]]),(ContinuousStatsTable[GroupByKey]=ContinuousStatsTable[[#This Row],[GroupByKey]])*ContinuousStatsTable[Average]))</f>
        <v>2</v>
      </c>
      <c r="U201" s="5">
        <f>IF((ContinuousStatsTable[[#This Row],[RepsRequested]]&gt;1),ContinuousStatsTable[[#This Row],[HalfWidth]],ContinuousStatsTable[[#This Row],[BatchMeansHalfWidth]])</f>
        <v>0.13376541483042423</v>
      </c>
    </row>
    <row r="202" spans="1:21" x14ac:dyDescent="0.25">
      <c r="A202" t="s">
        <v>67</v>
      </c>
      <c r="B202" t="s">
        <v>70</v>
      </c>
      <c r="C202">
        <v>5</v>
      </c>
      <c r="D202" t="s">
        <v>83</v>
      </c>
      <c r="E202" t="s">
        <v>84</v>
      </c>
      <c r="F202" t="s">
        <v>85</v>
      </c>
      <c r="G202">
        <v>0</v>
      </c>
      <c r="H202">
        <v>2E+20</v>
      </c>
      <c r="I202">
        <v>0</v>
      </c>
      <c r="J202">
        <v>0</v>
      </c>
      <c r="K202">
        <v>0</v>
      </c>
      <c r="L202">
        <v>0</v>
      </c>
      <c r="M202" s="5" t="str">
        <f>ContinuousStatsTable[[#This Row],[ProjectName]]&amp;ContinuousStatsTable[[#This Row],[Name]]&amp;ContinuousStatsTable[[#This Row],[Type]]&amp;ContinuousStatsTable[[#This Row],[Source]]</f>
        <v>Unnamed Projectinspectorseize.QueueNumber WaitingQueue</v>
      </c>
      <c r="N202" s="5">
        <f t="array" ref="N202">MAX(IF((ProjectInfoTable[ProjectName]=ContinuousStatsTable[[#This Row],[ProjectName]]),(ProjectInfoTable[ProjectName]=ContinuousStatsTable[[#This Row],[ProjectName]])*ProjectInfoTable[NumberOfReplications]))</f>
        <v>15</v>
      </c>
      <c r="O202" s="5">
        <f t="array" ref="O202">IFERROR(AVERAGE(IF((ContinuousStatsTable[GroupByKey]=ContinuousStatsTable[[#This Row],[GroupByKey]]),(ContinuousStatsTable[GroupByKey]=ContinuousStatsTable[[#This Row],[GroupByKey]])*ContinuousStatsTable[Average])),0)</f>
        <v>0</v>
      </c>
      <c r="P202" s="5">
        <f t="array" ref="P202">IFERROR(_xlfn.STDEV.S(IF((ContinuousStatsTable[GroupByKey]=ContinuousStatsTable[[#This Row],[GroupByKey]]),(ContinuousStatsTable[GroupByKey]=ContinuousStatsTable[[#This Row],[GroupByKey]])*ContinuousStatsTable[Average])),0)</f>
        <v>0</v>
      </c>
      <c r="Q202" s="5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2" s="5">
        <f t="array" ref="S202">MIN(IF((ContinuousStatsTable[GroupByKey]=ContinuousStatsTable[[#This Row],[GroupByKey]]),(ContinuousStatsTable[GroupByKey]=ContinuousStatsTable[[#This Row],[GroupByKey]])*ContinuousStatsTable[Average]))</f>
        <v>0</v>
      </c>
      <c r="T202" s="5">
        <f t="array" ref="T202">MAX(IF((ContinuousStatsTable[GroupByKey]=ContinuousStatsTable[[#This Row],[GroupByKey]]),(ContinuousStatsTable[GroupByKey]=ContinuousStatsTable[[#This Row],[GroupByKey]])*ContinuousStatsTable[Average]))</f>
        <v>0</v>
      </c>
      <c r="U202" s="5">
        <f>IF((ContinuousStatsTable[[#This Row],[RepsRequested]]&gt;1),ContinuousStatsTable[[#This Row],[HalfWidth]],ContinuousStatsTable[[#This Row],[BatchMeansHalfWidth]])</f>
        <v>0</v>
      </c>
    </row>
    <row r="203" spans="1:21" x14ac:dyDescent="0.25">
      <c r="A203" t="s">
        <v>67</v>
      </c>
      <c r="B203" t="s">
        <v>70</v>
      </c>
      <c r="C203">
        <v>5</v>
      </c>
      <c r="D203" t="s">
        <v>86</v>
      </c>
      <c r="E203" t="s">
        <v>84</v>
      </c>
      <c r="F203" t="s">
        <v>85</v>
      </c>
      <c r="G203">
        <v>0</v>
      </c>
      <c r="H203">
        <v>2E+20</v>
      </c>
      <c r="I203">
        <v>0</v>
      </c>
      <c r="J203">
        <v>0</v>
      </c>
      <c r="K203">
        <v>0</v>
      </c>
      <c r="L203">
        <v>0</v>
      </c>
      <c r="M203" s="5" t="str">
        <f>ContinuousStatsTable[[#This Row],[ProjectName]]&amp;ContinuousStatsTable[[#This Row],[Name]]&amp;ContinuousStatsTable[[#This Row],[Type]]&amp;ContinuousStatsTable[[#This Row],[Source]]</f>
        <v>Unnamed Projectmatch_truckcombo.Queue1Number WaitingQueue</v>
      </c>
      <c r="N203" s="5">
        <f t="array" ref="N203">MAX(IF((ProjectInfoTable[ProjectName]=ContinuousStatsTable[[#This Row],[ProjectName]]),(ProjectInfoTable[ProjectName]=ContinuousStatsTable[[#This Row],[ProjectName]])*ProjectInfoTable[NumberOfReplications]))</f>
        <v>15</v>
      </c>
      <c r="O203" s="5">
        <f t="array" ref="O203">IFERROR(AVERAGE(IF((ContinuousStatsTable[GroupByKey]=ContinuousStatsTable[[#This Row],[GroupByKey]]),(ContinuousStatsTable[GroupByKey]=ContinuousStatsTable[[#This Row],[GroupByKey]])*ContinuousStatsTable[Average])),0)</f>
        <v>3.3333333333333335</v>
      </c>
      <c r="P203" s="5">
        <f t="array" ref="P203">IFERROR(_xlfn.STDEV.S(IF((ContinuousStatsTable[GroupByKey]=ContinuousStatsTable[[#This Row],[GroupByKey]]),(ContinuousStatsTable[GroupByKey]=ContinuousStatsTable[[#This Row],[GroupByKey]])*ContinuousStatsTable[Average])),0)</f>
        <v>4.577377082170635</v>
      </c>
      <c r="Q203" s="5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2.5348669368881507</v>
      </c>
      <c r="S203" s="5">
        <f t="array" ref="S203">MIN(IF((ContinuousStatsTable[GroupByKey]=ContinuousStatsTable[[#This Row],[GroupByKey]]),(ContinuousStatsTable[GroupByKey]=ContinuousStatsTable[[#This Row],[GroupByKey]])*ContinuousStatsTable[Average]))</f>
        <v>0</v>
      </c>
      <c r="T203" s="5">
        <f t="array" ref="T203">MAX(IF((ContinuousStatsTable[GroupByKey]=ContinuousStatsTable[[#This Row],[GroupByKey]]),(ContinuousStatsTable[GroupByKey]=ContinuousStatsTable[[#This Row],[GroupByKey]])*ContinuousStatsTable[Average]))</f>
        <v>12</v>
      </c>
      <c r="U203" s="5">
        <f>IF((ContinuousStatsTable[[#This Row],[RepsRequested]]&gt;1),ContinuousStatsTable[[#This Row],[HalfWidth]],ContinuousStatsTable[[#This Row],[BatchMeansHalfWidth]])</f>
        <v>2.5348669368881507</v>
      </c>
    </row>
    <row r="204" spans="1:21" x14ac:dyDescent="0.25">
      <c r="A204" t="s">
        <v>67</v>
      </c>
      <c r="B204" t="s">
        <v>70</v>
      </c>
      <c r="C204">
        <v>5</v>
      </c>
      <c r="D204" t="s">
        <v>87</v>
      </c>
      <c r="E204" t="s">
        <v>84</v>
      </c>
      <c r="F204" t="s">
        <v>85</v>
      </c>
      <c r="G204">
        <v>14</v>
      </c>
      <c r="H204">
        <v>2E+20</v>
      </c>
      <c r="I204">
        <v>14</v>
      </c>
      <c r="J204">
        <v>14</v>
      </c>
      <c r="K204">
        <v>14</v>
      </c>
      <c r="L204">
        <v>0</v>
      </c>
      <c r="M204" s="5" t="str">
        <f>ContinuousStatsTable[[#This Row],[ProjectName]]&amp;ContinuousStatsTable[[#This Row],[Name]]&amp;ContinuousStatsTable[[#This Row],[Type]]&amp;ContinuousStatsTable[[#This Row],[Source]]</f>
        <v>Unnamed Projectmatch_truckcombo.Queue2Number WaitingQueue</v>
      </c>
      <c r="N204" s="5">
        <f t="array" ref="N204">MAX(IF((ProjectInfoTable[ProjectName]=ContinuousStatsTable[[#This Row],[ProjectName]]),(ProjectInfoTable[ProjectName]=ContinuousStatsTable[[#This Row],[ProjectName]])*ProjectInfoTable[NumberOfReplications]))</f>
        <v>15</v>
      </c>
      <c r="O204" s="5">
        <f t="array" ref="O204">IFERROR(AVERAGE(IF((ContinuousStatsTable[GroupByKey]=ContinuousStatsTable[[#This Row],[GroupByKey]]),(ContinuousStatsTable[GroupByKey]=ContinuousStatsTable[[#This Row],[GroupByKey]])*ContinuousStatsTable[Average])),0)</f>
        <v>2.8</v>
      </c>
      <c r="P204" s="5">
        <f t="array" ref="P204">IFERROR(_xlfn.STDEV.S(IF((ContinuousStatsTable[GroupByKey]=ContinuousStatsTable[[#This Row],[GroupByKey]]),(ContinuousStatsTable[GroupByKey]=ContinuousStatsTable[[#This Row],[GroupByKey]])*ContinuousStatsTable[Average])),0)</f>
        <v>5.226307081896902</v>
      </c>
      <c r="Q204" s="5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2.8942323925042523</v>
      </c>
      <c r="S204" s="5">
        <f t="array" ref="S204">MIN(IF((ContinuousStatsTable[GroupByKey]=ContinuousStatsTable[[#This Row],[GroupByKey]]),(ContinuousStatsTable[GroupByKey]=ContinuousStatsTable[[#This Row],[GroupByKey]])*ContinuousStatsTable[Average]))</f>
        <v>0</v>
      </c>
      <c r="T204" s="5">
        <f t="array" ref="T204">MAX(IF((ContinuousStatsTable[GroupByKey]=ContinuousStatsTable[[#This Row],[GroupByKey]]),(ContinuousStatsTable[GroupByKey]=ContinuousStatsTable[[#This Row],[GroupByKey]])*ContinuousStatsTable[Average]))</f>
        <v>16</v>
      </c>
      <c r="U204" s="5">
        <f>IF((ContinuousStatsTable[[#This Row],[RepsRequested]]&gt;1),ContinuousStatsTable[[#This Row],[HalfWidth]],ContinuousStatsTable[[#This Row],[BatchMeansHalfWidth]])</f>
        <v>2.8942323925042523</v>
      </c>
    </row>
    <row r="205" spans="1:21" x14ac:dyDescent="0.25">
      <c r="A205" t="s">
        <v>67</v>
      </c>
      <c r="B205" t="s">
        <v>70</v>
      </c>
      <c r="C205">
        <v>5</v>
      </c>
      <c r="D205" t="s">
        <v>88</v>
      </c>
      <c r="E205" t="s">
        <v>72</v>
      </c>
      <c r="F205" t="s">
        <v>73</v>
      </c>
      <c r="G205">
        <v>0</v>
      </c>
      <c r="H205">
        <v>2E+20</v>
      </c>
      <c r="I205">
        <v>0</v>
      </c>
      <c r="J205">
        <v>0</v>
      </c>
      <c r="K205">
        <v>0</v>
      </c>
      <c r="L205">
        <v>0</v>
      </c>
      <c r="M205" s="5" t="str">
        <f>ContinuousStatsTable[[#This Row],[ProjectName]]&amp;ContinuousStatsTable[[#This Row],[Name]]&amp;ContinuousStatsTable[[#This Row],[Type]]&amp;ContinuousStatsTable[[#This Row],[Source]]</f>
        <v>Unnamed ProjectpaintingmachineInstantaneous UtilizationResource</v>
      </c>
      <c r="N205" s="5">
        <f t="array" ref="N205">MAX(IF((ProjectInfoTable[ProjectName]=ContinuousStatsTable[[#This Row],[ProjectName]]),(ProjectInfoTable[ProjectName]=ContinuousStatsTable[[#This Row],[ProjectName]])*ProjectInfoTable[NumberOfReplications]))</f>
        <v>15</v>
      </c>
      <c r="O205" s="5">
        <f t="array" ref="O205">IFERROR(AVERAGE(IF((ContinuousStatsTable[GroupByKey]=ContinuousStatsTable[[#This Row],[GroupByKey]]),(ContinuousStatsTable[GroupByKey]=ContinuousStatsTable[[#This Row],[GroupByKey]])*ContinuousStatsTable[Average])),0)</f>
        <v>0</v>
      </c>
      <c r="P205" s="5">
        <f t="array" ref="P205">IFERROR(_xlfn.STDEV.S(IF((ContinuousStatsTable[GroupByKey]=ContinuousStatsTable[[#This Row],[GroupByKey]]),(ContinuousStatsTable[GroupByKey]=ContinuousStatsTable[[#This Row],[GroupByKey]])*ContinuousStatsTable[Average])),0)</f>
        <v>0</v>
      </c>
      <c r="Q205" s="5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5" s="5">
        <f t="array" ref="S205">MIN(IF((ContinuousStatsTable[GroupByKey]=ContinuousStatsTable[[#This Row],[GroupByKey]]),(ContinuousStatsTable[GroupByKey]=ContinuousStatsTable[[#This Row],[GroupByKey]])*ContinuousStatsTable[Average]))</f>
        <v>0</v>
      </c>
      <c r="T205" s="5">
        <f t="array" ref="T205">MAX(IF((ContinuousStatsTable[GroupByKey]=ContinuousStatsTable[[#This Row],[GroupByKey]]),(ContinuousStatsTable[GroupByKey]=ContinuousStatsTable[[#This Row],[GroupByKey]])*ContinuousStatsTable[Average]))</f>
        <v>0</v>
      </c>
      <c r="U205" s="5">
        <f>IF((ContinuousStatsTable[[#This Row],[RepsRequested]]&gt;1),ContinuousStatsTable[[#This Row],[HalfWidth]],ContinuousStatsTable[[#This Row],[BatchMeansHalfWidth]])</f>
        <v>0</v>
      </c>
    </row>
    <row r="206" spans="1:21" x14ac:dyDescent="0.25">
      <c r="A206" t="s">
        <v>67</v>
      </c>
      <c r="B206" t="s">
        <v>70</v>
      </c>
      <c r="C206">
        <v>5</v>
      </c>
      <c r="D206" t="s">
        <v>88</v>
      </c>
      <c r="E206" t="s">
        <v>74</v>
      </c>
      <c r="F206" t="s">
        <v>73</v>
      </c>
      <c r="G206">
        <v>0</v>
      </c>
      <c r="H206">
        <v>2E+20</v>
      </c>
      <c r="I206">
        <v>0</v>
      </c>
      <c r="J206">
        <v>0</v>
      </c>
      <c r="K206">
        <v>0</v>
      </c>
      <c r="L206">
        <v>0</v>
      </c>
      <c r="M206" s="5" t="str">
        <f>ContinuousStatsTable[[#This Row],[ProjectName]]&amp;ContinuousStatsTable[[#This Row],[Name]]&amp;ContinuousStatsTable[[#This Row],[Type]]&amp;ContinuousStatsTable[[#This Row],[Source]]</f>
        <v>Unnamed ProjectpaintingmachineNumber BusyResource</v>
      </c>
      <c r="N206" s="5">
        <f t="array" ref="N206">MAX(IF((ProjectInfoTable[ProjectName]=ContinuousStatsTable[[#This Row],[ProjectName]]),(ProjectInfoTable[ProjectName]=ContinuousStatsTable[[#This Row],[ProjectName]])*ProjectInfoTable[NumberOfReplications]))</f>
        <v>15</v>
      </c>
      <c r="O206" s="5">
        <f t="array" ref="O206">IFERROR(AVERAGE(IF((ContinuousStatsTable[GroupByKey]=ContinuousStatsTable[[#This Row],[GroupByKey]]),(ContinuousStatsTable[GroupByKey]=ContinuousStatsTable[[#This Row],[GroupByKey]])*ContinuousStatsTable[Average])),0)</f>
        <v>0</v>
      </c>
      <c r="P206" s="5">
        <f t="array" ref="P206">IFERROR(_xlfn.STDEV.S(IF((ContinuousStatsTable[GroupByKey]=ContinuousStatsTable[[#This Row],[GroupByKey]]),(ContinuousStatsTable[GroupByKey]=ContinuousStatsTable[[#This Row],[GroupByKey]])*ContinuousStatsTable[Average])),0)</f>
        <v>0</v>
      </c>
      <c r="Q206" s="5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6" s="5">
        <f t="array" ref="S206">MIN(IF((ContinuousStatsTable[GroupByKey]=ContinuousStatsTable[[#This Row],[GroupByKey]]),(ContinuousStatsTable[GroupByKey]=ContinuousStatsTable[[#This Row],[GroupByKey]])*ContinuousStatsTable[Average]))</f>
        <v>0</v>
      </c>
      <c r="T206" s="5">
        <f t="array" ref="T206">MAX(IF((ContinuousStatsTable[GroupByKey]=ContinuousStatsTable[[#This Row],[GroupByKey]]),(ContinuousStatsTable[GroupByKey]=ContinuousStatsTable[[#This Row],[GroupByKey]])*ContinuousStatsTable[Average]))</f>
        <v>0</v>
      </c>
      <c r="U206" s="5">
        <f>IF((ContinuousStatsTable[[#This Row],[RepsRequested]]&gt;1),ContinuousStatsTable[[#This Row],[HalfWidth]],ContinuousStatsTable[[#This Row],[BatchMeansHalfWidth]])</f>
        <v>0</v>
      </c>
    </row>
    <row r="207" spans="1:21" x14ac:dyDescent="0.25">
      <c r="A207" t="s">
        <v>67</v>
      </c>
      <c r="B207" t="s">
        <v>70</v>
      </c>
      <c r="C207">
        <v>5</v>
      </c>
      <c r="D207" t="s">
        <v>88</v>
      </c>
      <c r="E207" t="s">
        <v>75</v>
      </c>
      <c r="F207" t="s">
        <v>73</v>
      </c>
      <c r="G207">
        <v>1</v>
      </c>
      <c r="H207">
        <v>2E+20</v>
      </c>
      <c r="I207">
        <v>1</v>
      </c>
      <c r="J207">
        <v>1</v>
      </c>
      <c r="K207">
        <v>1</v>
      </c>
      <c r="L207">
        <v>0</v>
      </c>
      <c r="M207" s="5" t="str">
        <f>ContinuousStatsTable[[#This Row],[ProjectName]]&amp;ContinuousStatsTable[[#This Row],[Name]]&amp;ContinuousStatsTable[[#This Row],[Type]]&amp;ContinuousStatsTable[[#This Row],[Source]]</f>
        <v>Unnamed ProjectpaintingmachineNumber ScheduledResource</v>
      </c>
      <c r="N207" s="5">
        <f t="array" ref="N207">MAX(IF((ProjectInfoTable[ProjectName]=ContinuousStatsTable[[#This Row],[ProjectName]]),(ProjectInfoTable[ProjectName]=ContinuousStatsTable[[#This Row],[ProjectName]])*ProjectInfoTable[NumberOfReplications]))</f>
        <v>15</v>
      </c>
      <c r="O207" s="5">
        <f t="array" ref="O207">IFERROR(AVERAGE(IF((ContinuousStatsTable[GroupByKey]=ContinuousStatsTable[[#This Row],[GroupByKey]]),(ContinuousStatsTable[GroupByKey]=ContinuousStatsTable[[#This Row],[GroupByKey]])*ContinuousStatsTable[Average])),0)</f>
        <v>1</v>
      </c>
      <c r="P207" s="5">
        <f t="array" ref="P207">IFERROR(_xlfn.STDEV.S(IF((ContinuousStatsTable[GroupByKey]=ContinuousStatsTable[[#This Row],[GroupByKey]]),(ContinuousStatsTable[GroupByKey]=ContinuousStatsTable[[#This Row],[GroupByKey]])*ContinuousStatsTable[Average])),0)</f>
        <v>0</v>
      </c>
      <c r="Q207" s="5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7" s="5">
        <f t="array" ref="S207">MIN(IF((ContinuousStatsTable[GroupByKey]=ContinuousStatsTable[[#This Row],[GroupByKey]]),(ContinuousStatsTable[GroupByKey]=ContinuousStatsTable[[#This Row],[GroupByKey]])*ContinuousStatsTable[Average]))</f>
        <v>1</v>
      </c>
      <c r="T207" s="5">
        <f t="array" ref="T207">MAX(IF((ContinuousStatsTable[GroupByKey]=ContinuousStatsTable[[#This Row],[GroupByKey]]),(ContinuousStatsTable[GroupByKey]=ContinuousStatsTable[[#This Row],[GroupByKey]])*ContinuousStatsTable[Average]))</f>
        <v>1</v>
      </c>
      <c r="U207" s="5">
        <f>IF((ContinuousStatsTable[[#This Row],[RepsRequested]]&gt;1),ContinuousStatsTable[[#This Row],[HalfWidth]],ContinuousStatsTable[[#This Row],[BatchMeansHalfWidth]])</f>
        <v>0</v>
      </c>
    </row>
    <row r="208" spans="1:21" x14ac:dyDescent="0.25">
      <c r="A208" t="s">
        <v>67</v>
      </c>
      <c r="B208" t="s">
        <v>70</v>
      </c>
      <c r="C208">
        <v>5</v>
      </c>
      <c r="D208" t="s">
        <v>89</v>
      </c>
      <c r="E208" t="s">
        <v>72</v>
      </c>
      <c r="F208" t="s">
        <v>73</v>
      </c>
      <c r="G208">
        <v>0</v>
      </c>
      <c r="H208">
        <v>2E+20</v>
      </c>
      <c r="I208">
        <v>0</v>
      </c>
      <c r="J208">
        <v>0</v>
      </c>
      <c r="K208">
        <v>0</v>
      </c>
      <c r="L208">
        <v>0</v>
      </c>
      <c r="M208" s="5" t="str">
        <f>ContinuousStatsTable[[#This Row],[ProjectName]]&amp;ContinuousStatsTable[[#This Row],[Name]]&amp;ContinuousStatsTable[[#This Row],[Type]]&amp;ContinuousStatsTable[[#This Row],[Source]]</f>
        <v>Unnamed ProjectpaintingoperatorInstantaneous UtilizationResource</v>
      </c>
      <c r="N208" s="5">
        <f t="array" ref="N208">MAX(IF((ProjectInfoTable[ProjectName]=ContinuousStatsTable[[#This Row],[ProjectName]]),(ProjectInfoTable[ProjectName]=ContinuousStatsTable[[#This Row],[ProjectName]])*ProjectInfoTable[NumberOfReplications]))</f>
        <v>15</v>
      </c>
      <c r="O208" s="5">
        <f t="array" ref="O208">IFERROR(AVERAGE(IF((ContinuousStatsTable[GroupByKey]=ContinuousStatsTable[[#This Row],[GroupByKey]]),(ContinuousStatsTable[GroupByKey]=ContinuousStatsTable[[#This Row],[GroupByKey]])*ContinuousStatsTable[Average])),0)</f>
        <v>0</v>
      </c>
      <c r="P208" s="5">
        <f t="array" ref="P208">IFERROR(_xlfn.STDEV.S(IF((ContinuousStatsTable[GroupByKey]=ContinuousStatsTable[[#This Row],[GroupByKey]]),(ContinuousStatsTable[GroupByKey]=ContinuousStatsTable[[#This Row],[GroupByKey]])*ContinuousStatsTable[Average])),0)</f>
        <v>0</v>
      </c>
      <c r="Q208" s="5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8" s="5">
        <f t="array" ref="S208">MIN(IF((ContinuousStatsTable[GroupByKey]=ContinuousStatsTable[[#This Row],[GroupByKey]]),(ContinuousStatsTable[GroupByKey]=ContinuousStatsTable[[#This Row],[GroupByKey]])*ContinuousStatsTable[Average]))</f>
        <v>0</v>
      </c>
      <c r="T208" s="5">
        <f t="array" ref="T208">MAX(IF((ContinuousStatsTable[GroupByKey]=ContinuousStatsTable[[#This Row],[GroupByKey]]),(ContinuousStatsTable[GroupByKey]=ContinuousStatsTable[[#This Row],[GroupByKey]])*ContinuousStatsTable[Average]))</f>
        <v>0</v>
      </c>
      <c r="U208" s="5">
        <f>IF((ContinuousStatsTable[[#This Row],[RepsRequested]]&gt;1),ContinuousStatsTable[[#This Row],[HalfWidth]],ContinuousStatsTable[[#This Row],[BatchMeansHalfWidth]])</f>
        <v>0</v>
      </c>
    </row>
    <row r="209" spans="1:21" x14ac:dyDescent="0.25">
      <c r="A209" t="s">
        <v>67</v>
      </c>
      <c r="B209" t="s">
        <v>70</v>
      </c>
      <c r="C209">
        <v>5</v>
      </c>
      <c r="D209" t="s">
        <v>89</v>
      </c>
      <c r="E209" t="s">
        <v>74</v>
      </c>
      <c r="F209" t="s">
        <v>73</v>
      </c>
      <c r="G209">
        <v>0</v>
      </c>
      <c r="H209">
        <v>2E+20</v>
      </c>
      <c r="I209">
        <v>0</v>
      </c>
      <c r="J209">
        <v>0</v>
      </c>
      <c r="K209">
        <v>0</v>
      </c>
      <c r="L209">
        <v>0</v>
      </c>
      <c r="M209" s="5" t="str">
        <f>ContinuousStatsTable[[#This Row],[ProjectName]]&amp;ContinuousStatsTable[[#This Row],[Name]]&amp;ContinuousStatsTable[[#This Row],[Type]]&amp;ContinuousStatsTable[[#This Row],[Source]]</f>
        <v>Unnamed ProjectpaintingoperatorNumber BusyResource</v>
      </c>
      <c r="N209" s="5">
        <f t="array" ref="N209">MAX(IF((ProjectInfoTable[ProjectName]=ContinuousStatsTable[[#This Row],[ProjectName]]),(ProjectInfoTable[ProjectName]=ContinuousStatsTable[[#This Row],[ProjectName]])*ProjectInfoTable[NumberOfReplications]))</f>
        <v>15</v>
      </c>
      <c r="O209" s="5">
        <f t="array" ref="O209">IFERROR(AVERAGE(IF((ContinuousStatsTable[GroupByKey]=ContinuousStatsTable[[#This Row],[GroupByKey]]),(ContinuousStatsTable[GroupByKey]=ContinuousStatsTable[[#This Row],[GroupByKey]])*ContinuousStatsTable[Average])),0)</f>
        <v>0</v>
      </c>
      <c r="P209" s="5">
        <f t="array" ref="P209">IFERROR(_xlfn.STDEV.S(IF((ContinuousStatsTable[GroupByKey]=ContinuousStatsTable[[#This Row],[GroupByKey]]),(ContinuousStatsTable[GroupByKey]=ContinuousStatsTable[[#This Row],[GroupByKey]])*ContinuousStatsTable[Average])),0)</f>
        <v>0</v>
      </c>
      <c r="Q209" s="5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9" s="5">
        <f t="array" ref="S209">MIN(IF((ContinuousStatsTable[GroupByKey]=ContinuousStatsTable[[#This Row],[GroupByKey]]),(ContinuousStatsTable[GroupByKey]=ContinuousStatsTable[[#This Row],[GroupByKey]])*ContinuousStatsTable[Average]))</f>
        <v>0</v>
      </c>
      <c r="T209" s="5">
        <f t="array" ref="T209">MAX(IF((ContinuousStatsTable[GroupByKey]=ContinuousStatsTable[[#This Row],[GroupByKey]]),(ContinuousStatsTable[GroupByKey]=ContinuousStatsTable[[#This Row],[GroupByKey]])*ContinuousStatsTable[Average]))</f>
        <v>0</v>
      </c>
      <c r="U209" s="5">
        <f>IF((ContinuousStatsTable[[#This Row],[RepsRequested]]&gt;1),ContinuousStatsTable[[#This Row],[HalfWidth]],ContinuousStatsTable[[#This Row],[BatchMeansHalfWidth]])</f>
        <v>0</v>
      </c>
    </row>
    <row r="210" spans="1:21" x14ac:dyDescent="0.25">
      <c r="A210" t="s">
        <v>67</v>
      </c>
      <c r="B210" t="s">
        <v>70</v>
      </c>
      <c r="C210">
        <v>5</v>
      </c>
      <c r="D210" t="s">
        <v>89</v>
      </c>
      <c r="E210" t="s">
        <v>75</v>
      </c>
      <c r="F210" t="s">
        <v>73</v>
      </c>
      <c r="G210">
        <v>1.5834999999999999</v>
      </c>
      <c r="H210">
        <v>3E+20</v>
      </c>
      <c r="I210">
        <v>1</v>
      </c>
      <c r="J210">
        <v>2</v>
      </c>
      <c r="K210">
        <v>2</v>
      </c>
      <c r="L210">
        <v>0</v>
      </c>
      <c r="M210" s="5" t="str">
        <f>ContinuousStatsTable[[#This Row],[ProjectName]]&amp;ContinuousStatsTable[[#This Row],[Name]]&amp;ContinuousStatsTable[[#This Row],[Type]]&amp;ContinuousStatsTable[[#This Row],[Source]]</f>
        <v>Unnamed ProjectpaintingoperatorNumber ScheduledResource</v>
      </c>
      <c r="N210" s="5">
        <f t="array" ref="N210">MAX(IF((ProjectInfoTable[ProjectName]=ContinuousStatsTable[[#This Row],[ProjectName]]),(ProjectInfoTable[ProjectName]=ContinuousStatsTable[[#This Row],[ProjectName]])*ProjectInfoTable[NumberOfReplications]))</f>
        <v>15</v>
      </c>
      <c r="O210" s="5">
        <f t="array" ref="O210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210" s="5">
        <f t="array" ref="P210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210" s="5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210" s="5">
        <f t="array" ref="S210">MIN(IF((ContinuousStatsTable[GroupByKey]=ContinuousStatsTable[[#This Row],[GroupByKey]]),(ContinuousStatsTable[GroupByKey]=ContinuousStatsTable[[#This Row],[GroupByKey]])*ContinuousStatsTable[Average]))</f>
        <v>1</v>
      </c>
      <c r="T210" s="5">
        <f t="array" ref="T210">MAX(IF((ContinuousStatsTable[GroupByKey]=ContinuousStatsTable[[#This Row],[GroupByKey]]),(ContinuousStatsTable[GroupByKey]=ContinuousStatsTable[[#This Row],[GroupByKey]])*ContinuousStatsTable[Average]))</f>
        <v>2</v>
      </c>
      <c r="U210" s="5">
        <f>IF((ContinuousStatsTable[[#This Row],[RepsRequested]]&gt;1),ContinuousStatsTable[[#This Row],[HalfWidth]],ContinuousStatsTable[[#This Row],[BatchMeansHalfWidth]])</f>
        <v>0.13376733135491528</v>
      </c>
    </row>
    <row r="211" spans="1:21" x14ac:dyDescent="0.25">
      <c r="A211" t="s">
        <v>67</v>
      </c>
      <c r="B211" t="s">
        <v>70</v>
      </c>
      <c r="C211">
        <v>5</v>
      </c>
      <c r="D211" t="s">
        <v>90</v>
      </c>
      <c r="E211" t="s">
        <v>72</v>
      </c>
      <c r="F211" t="s">
        <v>73</v>
      </c>
      <c r="G211">
        <v>0</v>
      </c>
      <c r="H211">
        <v>2E+20</v>
      </c>
      <c r="I211">
        <v>0</v>
      </c>
      <c r="J211">
        <v>0</v>
      </c>
      <c r="K211">
        <v>0</v>
      </c>
      <c r="L211">
        <v>0</v>
      </c>
      <c r="M211" s="5" t="str">
        <f>ContinuousStatsTable[[#This Row],[ProjectName]]&amp;ContinuousStatsTable[[#This Row],[Name]]&amp;ContinuousStatsTable[[#This Row],[Type]]&amp;ContinuousStatsTable[[#This Row],[Source]]</f>
        <v>Unnamed ProjectsandblastmachineInstantaneous UtilizationResource</v>
      </c>
      <c r="N211" s="5">
        <f t="array" ref="N211">MAX(IF((ProjectInfoTable[ProjectName]=ContinuousStatsTable[[#This Row],[ProjectName]]),(ProjectInfoTable[ProjectName]=ContinuousStatsTable[[#This Row],[ProjectName]])*ProjectInfoTable[NumberOfReplications]))</f>
        <v>15</v>
      </c>
      <c r="O211" s="5">
        <f t="array" ref="O211">IFERROR(AVERAGE(IF((ContinuousStatsTable[GroupByKey]=ContinuousStatsTable[[#This Row],[GroupByKey]]),(ContinuousStatsTable[GroupByKey]=ContinuousStatsTable[[#This Row],[GroupByKey]])*ContinuousStatsTable[Average])),0)</f>
        <v>0</v>
      </c>
      <c r="P211" s="5">
        <f t="array" ref="P211">IFERROR(_xlfn.STDEV.S(IF((ContinuousStatsTable[GroupByKey]=ContinuousStatsTable[[#This Row],[GroupByKey]]),(ContinuousStatsTable[GroupByKey]=ContinuousStatsTable[[#This Row],[GroupByKey]])*ContinuousStatsTable[Average])),0)</f>
        <v>0</v>
      </c>
      <c r="Q211" s="5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1" s="5">
        <f t="array" ref="S211">MIN(IF((ContinuousStatsTable[GroupByKey]=ContinuousStatsTable[[#This Row],[GroupByKey]]),(ContinuousStatsTable[GroupByKey]=ContinuousStatsTable[[#This Row],[GroupByKey]])*ContinuousStatsTable[Average]))</f>
        <v>0</v>
      </c>
      <c r="T211" s="5">
        <f t="array" ref="T211">MAX(IF((ContinuousStatsTable[GroupByKey]=ContinuousStatsTable[[#This Row],[GroupByKey]]),(ContinuousStatsTable[GroupByKey]=ContinuousStatsTable[[#This Row],[GroupByKey]])*ContinuousStatsTable[Average]))</f>
        <v>0</v>
      </c>
      <c r="U211" s="5">
        <f>IF((ContinuousStatsTable[[#This Row],[RepsRequested]]&gt;1),ContinuousStatsTable[[#This Row],[HalfWidth]],ContinuousStatsTable[[#This Row],[BatchMeansHalfWidth]])</f>
        <v>0</v>
      </c>
    </row>
    <row r="212" spans="1:21" x14ac:dyDescent="0.25">
      <c r="A212" t="s">
        <v>67</v>
      </c>
      <c r="B212" t="s">
        <v>70</v>
      </c>
      <c r="C212">
        <v>5</v>
      </c>
      <c r="D212" t="s">
        <v>90</v>
      </c>
      <c r="E212" t="s">
        <v>74</v>
      </c>
      <c r="F212" t="s">
        <v>73</v>
      </c>
      <c r="G212">
        <v>0</v>
      </c>
      <c r="H212">
        <v>2E+20</v>
      </c>
      <c r="I212">
        <v>0</v>
      </c>
      <c r="J212">
        <v>0</v>
      </c>
      <c r="K212">
        <v>0</v>
      </c>
      <c r="L212">
        <v>0</v>
      </c>
      <c r="M212" s="5" t="str">
        <f>ContinuousStatsTable[[#This Row],[ProjectName]]&amp;ContinuousStatsTable[[#This Row],[Name]]&amp;ContinuousStatsTable[[#This Row],[Type]]&amp;ContinuousStatsTable[[#This Row],[Source]]</f>
        <v>Unnamed ProjectsandblastmachineNumber BusyResource</v>
      </c>
      <c r="N212" s="5">
        <f t="array" ref="N212">MAX(IF((ProjectInfoTable[ProjectName]=ContinuousStatsTable[[#This Row],[ProjectName]]),(ProjectInfoTable[ProjectName]=ContinuousStatsTable[[#This Row],[ProjectName]])*ProjectInfoTable[NumberOfReplications]))</f>
        <v>15</v>
      </c>
      <c r="O212" s="5">
        <f t="array" ref="O212">IFERROR(AVERAGE(IF((ContinuousStatsTable[GroupByKey]=ContinuousStatsTable[[#This Row],[GroupByKey]]),(ContinuousStatsTable[GroupByKey]=ContinuousStatsTable[[#This Row],[GroupByKey]])*ContinuousStatsTable[Average])),0)</f>
        <v>0</v>
      </c>
      <c r="P212" s="5">
        <f t="array" ref="P212">IFERROR(_xlfn.STDEV.S(IF((ContinuousStatsTable[GroupByKey]=ContinuousStatsTable[[#This Row],[GroupByKey]]),(ContinuousStatsTable[GroupByKey]=ContinuousStatsTable[[#This Row],[GroupByKey]])*ContinuousStatsTable[Average])),0)</f>
        <v>0</v>
      </c>
      <c r="Q212" s="5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2" s="5">
        <f t="array" ref="S212">MIN(IF((ContinuousStatsTable[GroupByKey]=ContinuousStatsTable[[#This Row],[GroupByKey]]),(ContinuousStatsTable[GroupByKey]=ContinuousStatsTable[[#This Row],[GroupByKey]])*ContinuousStatsTable[Average]))</f>
        <v>0</v>
      </c>
      <c r="T212" s="5">
        <f t="array" ref="T212">MAX(IF((ContinuousStatsTable[GroupByKey]=ContinuousStatsTable[[#This Row],[GroupByKey]]),(ContinuousStatsTable[GroupByKey]=ContinuousStatsTable[[#This Row],[GroupByKey]])*ContinuousStatsTable[Average]))</f>
        <v>0</v>
      </c>
      <c r="U212" s="5">
        <f>IF((ContinuousStatsTable[[#This Row],[RepsRequested]]&gt;1),ContinuousStatsTable[[#This Row],[HalfWidth]],ContinuousStatsTable[[#This Row],[BatchMeansHalfWidth]])</f>
        <v>0</v>
      </c>
    </row>
    <row r="213" spans="1:21" x14ac:dyDescent="0.25">
      <c r="A213" t="s">
        <v>67</v>
      </c>
      <c r="B213" t="s">
        <v>70</v>
      </c>
      <c r="C213">
        <v>5</v>
      </c>
      <c r="D213" t="s">
        <v>90</v>
      </c>
      <c r="E213" t="s">
        <v>75</v>
      </c>
      <c r="F213" t="s">
        <v>73</v>
      </c>
      <c r="G213">
        <v>1</v>
      </c>
      <c r="H213">
        <v>2E+20</v>
      </c>
      <c r="I213">
        <v>1</v>
      </c>
      <c r="J213">
        <v>1</v>
      </c>
      <c r="K213">
        <v>1</v>
      </c>
      <c r="L213">
        <v>0</v>
      </c>
      <c r="M213" s="5" t="str">
        <f>ContinuousStatsTable[[#This Row],[ProjectName]]&amp;ContinuousStatsTable[[#This Row],[Name]]&amp;ContinuousStatsTable[[#This Row],[Type]]&amp;ContinuousStatsTable[[#This Row],[Source]]</f>
        <v>Unnamed ProjectsandblastmachineNumber ScheduledResource</v>
      </c>
      <c r="N213" s="5">
        <f t="array" ref="N213">MAX(IF((ProjectInfoTable[ProjectName]=ContinuousStatsTable[[#This Row],[ProjectName]]),(ProjectInfoTable[ProjectName]=ContinuousStatsTable[[#This Row],[ProjectName]])*ProjectInfoTable[NumberOfReplications]))</f>
        <v>15</v>
      </c>
      <c r="O213" s="5">
        <f t="array" ref="O213">IFERROR(AVERAGE(IF((ContinuousStatsTable[GroupByKey]=ContinuousStatsTable[[#This Row],[GroupByKey]]),(ContinuousStatsTable[GroupByKey]=ContinuousStatsTable[[#This Row],[GroupByKey]])*ContinuousStatsTable[Average])),0)</f>
        <v>1</v>
      </c>
      <c r="P213" s="5">
        <f t="array" ref="P213">IFERROR(_xlfn.STDEV.S(IF((ContinuousStatsTable[GroupByKey]=ContinuousStatsTable[[#This Row],[GroupByKey]]),(ContinuousStatsTable[GroupByKey]=ContinuousStatsTable[[#This Row],[GroupByKey]])*ContinuousStatsTable[Average])),0)</f>
        <v>0</v>
      </c>
      <c r="Q213" s="5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3" s="5">
        <f t="array" ref="S213">MIN(IF((ContinuousStatsTable[GroupByKey]=ContinuousStatsTable[[#This Row],[GroupByKey]]),(ContinuousStatsTable[GroupByKey]=ContinuousStatsTable[[#This Row],[GroupByKey]])*ContinuousStatsTable[Average]))</f>
        <v>1</v>
      </c>
      <c r="T213" s="5">
        <f t="array" ref="T213">MAX(IF((ContinuousStatsTable[GroupByKey]=ContinuousStatsTable[[#This Row],[GroupByKey]]),(ContinuousStatsTable[GroupByKey]=ContinuousStatsTable[[#This Row],[GroupByKey]])*ContinuousStatsTable[Average]))</f>
        <v>1</v>
      </c>
      <c r="U213" s="5">
        <f>IF((ContinuousStatsTable[[#This Row],[RepsRequested]]&gt;1),ContinuousStatsTable[[#This Row],[HalfWidth]],ContinuousStatsTable[[#This Row],[BatchMeansHalfWidth]])</f>
        <v>0</v>
      </c>
    </row>
    <row r="214" spans="1:21" x14ac:dyDescent="0.25">
      <c r="A214" t="s">
        <v>67</v>
      </c>
      <c r="B214" t="s">
        <v>70</v>
      </c>
      <c r="C214">
        <v>5</v>
      </c>
      <c r="D214" t="s">
        <v>91</v>
      </c>
      <c r="E214" t="s">
        <v>72</v>
      </c>
      <c r="F214" t="s">
        <v>73</v>
      </c>
      <c r="G214">
        <v>0</v>
      </c>
      <c r="H214">
        <v>2E+20</v>
      </c>
      <c r="I214">
        <v>0</v>
      </c>
      <c r="J214">
        <v>0</v>
      </c>
      <c r="K214">
        <v>0</v>
      </c>
      <c r="L214">
        <v>0</v>
      </c>
      <c r="M214" s="5" t="str">
        <f>ContinuousStatsTable[[#This Row],[ProjectName]]&amp;ContinuousStatsTable[[#This Row],[Name]]&amp;ContinuousStatsTable[[#This Row],[Type]]&amp;ContinuousStatsTable[[#This Row],[Source]]</f>
        <v>Unnamed ProjectsandblastoperatorInstantaneous UtilizationResource</v>
      </c>
      <c r="N214" s="5">
        <f t="array" ref="N214">MAX(IF((ProjectInfoTable[ProjectName]=ContinuousStatsTable[[#This Row],[ProjectName]]),(ProjectInfoTable[ProjectName]=ContinuousStatsTable[[#This Row],[ProjectName]])*ProjectInfoTable[NumberOfReplications]))</f>
        <v>15</v>
      </c>
      <c r="O214" s="5">
        <f t="array" ref="O214">IFERROR(AVERAGE(IF((ContinuousStatsTable[GroupByKey]=ContinuousStatsTable[[#This Row],[GroupByKey]]),(ContinuousStatsTable[GroupByKey]=ContinuousStatsTable[[#This Row],[GroupByKey]])*ContinuousStatsTable[Average])),0)</f>
        <v>0</v>
      </c>
      <c r="P214" s="5">
        <f t="array" ref="P214">IFERROR(_xlfn.STDEV.S(IF((ContinuousStatsTable[GroupByKey]=ContinuousStatsTable[[#This Row],[GroupByKey]]),(ContinuousStatsTable[GroupByKey]=ContinuousStatsTable[[#This Row],[GroupByKey]])*ContinuousStatsTable[Average])),0)</f>
        <v>0</v>
      </c>
      <c r="Q214" s="5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4" s="5">
        <f t="array" ref="S214">MIN(IF((ContinuousStatsTable[GroupByKey]=ContinuousStatsTable[[#This Row],[GroupByKey]]),(ContinuousStatsTable[GroupByKey]=ContinuousStatsTable[[#This Row],[GroupByKey]])*ContinuousStatsTable[Average]))</f>
        <v>0</v>
      </c>
      <c r="T214" s="5">
        <f t="array" ref="T214">MAX(IF((ContinuousStatsTable[GroupByKey]=ContinuousStatsTable[[#This Row],[GroupByKey]]),(ContinuousStatsTable[GroupByKey]=ContinuousStatsTable[[#This Row],[GroupByKey]])*ContinuousStatsTable[Average]))</f>
        <v>0</v>
      </c>
      <c r="U214" s="5">
        <f>IF((ContinuousStatsTable[[#This Row],[RepsRequested]]&gt;1),ContinuousStatsTable[[#This Row],[HalfWidth]],ContinuousStatsTable[[#This Row],[BatchMeansHalfWidth]])</f>
        <v>0</v>
      </c>
    </row>
    <row r="215" spans="1:21" x14ac:dyDescent="0.25">
      <c r="A215" t="s">
        <v>67</v>
      </c>
      <c r="B215" t="s">
        <v>70</v>
      </c>
      <c r="C215">
        <v>5</v>
      </c>
      <c r="D215" t="s">
        <v>91</v>
      </c>
      <c r="E215" t="s">
        <v>74</v>
      </c>
      <c r="F215" t="s">
        <v>73</v>
      </c>
      <c r="G215">
        <v>0</v>
      </c>
      <c r="H215">
        <v>2E+20</v>
      </c>
      <c r="I215">
        <v>0</v>
      </c>
      <c r="J215">
        <v>0</v>
      </c>
      <c r="K215">
        <v>0</v>
      </c>
      <c r="L215">
        <v>0</v>
      </c>
      <c r="M215" s="5" t="str">
        <f>ContinuousStatsTable[[#This Row],[ProjectName]]&amp;ContinuousStatsTable[[#This Row],[Name]]&amp;ContinuousStatsTable[[#This Row],[Type]]&amp;ContinuousStatsTable[[#This Row],[Source]]</f>
        <v>Unnamed ProjectsandblastoperatorNumber BusyResource</v>
      </c>
      <c r="N215" s="5">
        <f t="array" ref="N215">MAX(IF((ProjectInfoTable[ProjectName]=ContinuousStatsTable[[#This Row],[ProjectName]]),(ProjectInfoTable[ProjectName]=ContinuousStatsTable[[#This Row],[ProjectName]])*ProjectInfoTable[NumberOfReplications]))</f>
        <v>15</v>
      </c>
      <c r="O215" s="5">
        <f t="array" ref="O215">IFERROR(AVERAGE(IF((ContinuousStatsTable[GroupByKey]=ContinuousStatsTable[[#This Row],[GroupByKey]]),(ContinuousStatsTable[GroupByKey]=ContinuousStatsTable[[#This Row],[GroupByKey]])*ContinuousStatsTable[Average])),0)</f>
        <v>0</v>
      </c>
      <c r="P215" s="5">
        <f t="array" ref="P215">IFERROR(_xlfn.STDEV.S(IF((ContinuousStatsTable[GroupByKey]=ContinuousStatsTable[[#This Row],[GroupByKey]]),(ContinuousStatsTable[GroupByKey]=ContinuousStatsTable[[#This Row],[GroupByKey]])*ContinuousStatsTable[Average])),0)</f>
        <v>0</v>
      </c>
      <c r="Q215" s="5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5" s="5">
        <f t="array" ref="S215">MIN(IF((ContinuousStatsTable[GroupByKey]=ContinuousStatsTable[[#This Row],[GroupByKey]]),(ContinuousStatsTable[GroupByKey]=ContinuousStatsTable[[#This Row],[GroupByKey]])*ContinuousStatsTable[Average]))</f>
        <v>0</v>
      </c>
      <c r="T215" s="5">
        <f t="array" ref="T215">MAX(IF((ContinuousStatsTable[GroupByKey]=ContinuousStatsTable[[#This Row],[GroupByKey]]),(ContinuousStatsTable[GroupByKey]=ContinuousStatsTable[[#This Row],[GroupByKey]])*ContinuousStatsTable[Average]))</f>
        <v>0</v>
      </c>
      <c r="U215" s="5">
        <f>IF((ContinuousStatsTable[[#This Row],[RepsRequested]]&gt;1),ContinuousStatsTable[[#This Row],[HalfWidth]],ContinuousStatsTable[[#This Row],[BatchMeansHalfWidth]])</f>
        <v>0</v>
      </c>
    </row>
    <row r="216" spans="1:21" x14ac:dyDescent="0.25">
      <c r="A216" t="s">
        <v>67</v>
      </c>
      <c r="B216" t="s">
        <v>70</v>
      </c>
      <c r="C216">
        <v>5</v>
      </c>
      <c r="D216" t="s">
        <v>91</v>
      </c>
      <c r="E216" t="s">
        <v>75</v>
      </c>
      <c r="F216" t="s">
        <v>73</v>
      </c>
      <c r="G216">
        <v>1.5834999999999999</v>
      </c>
      <c r="H216">
        <v>3E+20</v>
      </c>
      <c r="I216">
        <v>1</v>
      </c>
      <c r="J216">
        <v>2</v>
      </c>
      <c r="K216">
        <v>2</v>
      </c>
      <c r="L216">
        <v>0</v>
      </c>
      <c r="M216" s="5" t="str">
        <f>ContinuousStatsTable[[#This Row],[ProjectName]]&amp;ContinuousStatsTable[[#This Row],[Name]]&amp;ContinuousStatsTable[[#This Row],[Type]]&amp;ContinuousStatsTable[[#This Row],[Source]]</f>
        <v>Unnamed ProjectsandblastoperatorNumber ScheduledResource</v>
      </c>
      <c r="N216" s="5">
        <f t="array" ref="N216">MAX(IF((ProjectInfoTable[ProjectName]=ContinuousStatsTable[[#This Row],[ProjectName]]),(ProjectInfoTable[ProjectName]=ContinuousStatsTable[[#This Row],[ProjectName]])*ProjectInfoTable[NumberOfReplications]))</f>
        <v>15</v>
      </c>
      <c r="O216" s="5">
        <f t="array" ref="O216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216" s="5">
        <f t="array" ref="P216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216" s="5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216" s="5">
        <f t="array" ref="S216">MIN(IF((ContinuousStatsTable[GroupByKey]=ContinuousStatsTable[[#This Row],[GroupByKey]]),(ContinuousStatsTable[GroupByKey]=ContinuousStatsTable[[#This Row],[GroupByKey]])*ContinuousStatsTable[Average]))</f>
        <v>1</v>
      </c>
      <c r="T216" s="5">
        <f t="array" ref="T216">MAX(IF((ContinuousStatsTable[GroupByKey]=ContinuousStatsTable[[#This Row],[GroupByKey]]),(ContinuousStatsTable[GroupByKey]=ContinuousStatsTable[[#This Row],[GroupByKey]])*ContinuousStatsTable[Average]))</f>
        <v>2</v>
      </c>
      <c r="U216" s="5">
        <f>IF((ContinuousStatsTable[[#This Row],[RepsRequested]]&gt;1),ContinuousStatsTable[[#This Row],[HalfWidth]],ContinuousStatsTable[[#This Row],[BatchMeansHalfWidth]])</f>
        <v>0.13376733135491528</v>
      </c>
    </row>
    <row r="217" spans="1:21" x14ac:dyDescent="0.25">
      <c r="A217" t="s">
        <v>67</v>
      </c>
      <c r="B217" t="s">
        <v>70</v>
      </c>
      <c r="C217">
        <v>5</v>
      </c>
      <c r="D217" t="s">
        <v>92</v>
      </c>
      <c r="E217" t="s">
        <v>84</v>
      </c>
      <c r="F217" t="s">
        <v>85</v>
      </c>
      <c r="G217">
        <v>0</v>
      </c>
      <c r="H217">
        <v>2E+20</v>
      </c>
      <c r="I217">
        <v>0</v>
      </c>
      <c r="J217">
        <v>0</v>
      </c>
      <c r="K217">
        <v>0</v>
      </c>
      <c r="L217">
        <v>0</v>
      </c>
      <c r="M217" s="5" t="str">
        <f>ContinuousStatsTable[[#This Row],[ProjectName]]&amp;ContinuousStatsTable[[#This Row],[Name]]&amp;ContinuousStatsTable[[#This Row],[Type]]&amp;ContinuousStatsTable[[#This Row],[Source]]</f>
        <v>Unnamed Projectseize_assembler.QueueNumber WaitingQueue</v>
      </c>
      <c r="N217" s="5">
        <f t="array" ref="N217">MAX(IF((ProjectInfoTable[ProjectName]=ContinuousStatsTable[[#This Row],[ProjectName]]),(ProjectInfoTable[ProjectName]=ContinuousStatsTable[[#This Row],[ProjectName]])*ProjectInfoTable[NumberOfReplications]))</f>
        <v>15</v>
      </c>
      <c r="O217" s="5">
        <f t="array" ref="O217">IFERROR(AVERAGE(IF((ContinuousStatsTable[GroupByKey]=ContinuousStatsTable[[#This Row],[GroupByKey]]),(ContinuousStatsTable[GroupByKey]=ContinuousStatsTable[[#This Row],[GroupByKey]])*ContinuousStatsTable[Average])),0)</f>
        <v>0</v>
      </c>
      <c r="P217" s="5">
        <f t="array" ref="P217">IFERROR(_xlfn.STDEV.S(IF((ContinuousStatsTable[GroupByKey]=ContinuousStatsTable[[#This Row],[GroupByKey]]),(ContinuousStatsTable[GroupByKey]=ContinuousStatsTable[[#This Row],[GroupByKey]])*ContinuousStatsTable[Average])),0)</f>
        <v>0</v>
      </c>
      <c r="Q217" s="5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7" s="5">
        <f t="array" ref="S217">MIN(IF((ContinuousStatsTable[GroupByKey]=ContinuousStatsTable[[#This Row],[GroupByKey]]),(ContinuousStatsTable[GroupByKey]=ContinuousStatsTable[[#This Row],[GroupByKey]])*ContinuousStatsTable[Average]))</f>
        <v>0</v>
      </c>
      <c r="T217" s="5">
        <f t="array" ref="T217">MAX(IF((ContinuousStatsTable[GroupByKey]=ContinuousStatsTable[[#This Row],[GroupByKey]]),(ContinuousStatsTable[GroupByKey]=ContinuousStatsTable[[#This Row],[GroupByKey]])*ContinuousStatsTable[Average]))</f>
        <v>0</v>
      </c>
      <c r="U217" s="5">
        <f>IF((ContinuousStatsTable[[#This Row],[RepsRequested]]&gt;1),ContinuousStatsTable[[#This Row],[HalfWidth]],ContinuousStatsTable[[#This Row],[BatchMeansHalfWidth]])</f>
        <v>0</v>
      </c>
    </row>
    <row r="218" spans="1:21" x14ac:dyDescent="0.25">
      <c r="A218" t="s">
        <v>67</v>
      </c>
      <c r="B218" t="s">
        <v>70</v>
      </c>
      <c r="C218">
        <v>5</v>
      </c>
      <c r="D218" t="s">
        <v>93</v>
      </c>
      <c r="E218" t="s">
        <v>84</v>
      </c>
      <c r="F218" t="s">
        <v>85</v>
      </c>
      <c r="G218">
        <v>0</v>
      </c>
      <c r="H218">
        <v>2E+20</v>
      </c>
      <c r="I218">
        <v>0</v>
      </c>
      <c r="J218">
        <v>0</v>
      </c>
      <c r="K218">
        <v>0</v>
      </c>
      <c r="L218">
        <v>0</v>
      </c>
      <c r="M218" s="5" t="str">
        <f>ContinuousStatsTable[[#This Row],[ProjectName]]&amp;ContinuousStatsTable[[#This Row],[Name]]&amp;ContinuousStatsTable[[#This Row],[Type]]&amp;ContinuousStatsTable[[#This Row],[Source]]</f>
        <v>Unnamed Projectseize_cutter.QueueNumber WaitingQueue</v>
      </c>
      <c r="N218" s="5">
        <f t="array" ref="N218">MAX(IF((ProjectInfoTable[ProjectName]=ContinuousStatsTable[[#This Row],[ProjectName]]),(ProjectInfoTable[ProjectName]=ContinuousStatsTable[[#This Row],[ProjectName]])*ProjectInfoTable[NumberOfReplications]))</f>
        <v>15</v>
      </c>
      <c r="O218" s="5">
        <f t="array" ref="O218">IFERROR(AVERAGE(IF((ContinuousStatsTable[GroupByKey]=ContinuousStatsTable[[#This Row],[GroupByKey]]),(ContinuousStatsTable[GroupByKey]=ContinuousStatsTable[[#This Row],[GroupByKey]])*ContinuousStatsTable[Average])),0)</f>
        <v>0</v>
      </c>
      <c r="P218" s="5">
        <f t="array" ref="P218">IFERROR(_xlfn.STDEV.S(IF((ContinuousStatsTable[GroupByKey]=ContinuousStatsTable[[#This Row],[GroupByKey]]),(ContinuousStatsTable[GroupByKey]=ContinuousStatsTable[[#This Row],[GroupByKey]])*ContinuousStatsTable[Average])),0)</f>
        <v>0</v>
      </c>
      <c r="Q218" s="5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8" s="5">
        <f t="array" ref="S218">MIN(IF((ContinuousStatsTable[GroupByKey]=ContinuousStatsTable[[#This Row],[GroupByKey]]),(ContinuousStatsTable[GroupByKey]=ContinuousStatsTable[[#This Row],[GroupByKey]])*ContinuousStatsTable[Average]))</f>
        <v>0</v>
      </c>
      <c r="T218" s="5">
        <f t="array" ref="T218">MAX(IF((ContinuousStatsTable[GroupByKey]=ContinuousStatsTable[[#This Row],[GroupByKey]]),(ContinuousStatsTable[GroupByKey]=ContinuousStatsTable[[#This Row],[GroupByKey]])*ContinuousStatsTable[Average]))</f>
        <v>0</v>
      </c>
      <c r="U218" s="5">
        <f>IF((ContinuousStatsTable[[#This Row],[RepsRequested]]&gt;1),ContinuousStatsTable[[#This Row],[HalfWidth]],ContinuousStatsTable[[#This Row],[BatchMeansHalfWidth]])</f>
        <v>0</v>
      </c>
    </row>
    <row r="219" spans="1:21" x14ac:dyDescent="0.25">
      <c r="A219" t="s">
        <v>67</v>
      </c>
      <c r="B219" t="s">
        <v>70</v>
      </c>
      <c r="C219">
        <v>5</v>
      </c>
      <c r="D219" t="s">
        <v>94</v>
      </c>
      <c r="E219" t="s">
        <v>84</v>
      </c>
      <c r="F219" t="s">
        <v>85</v>
      </c>
      <c r="G219">
        <v>0</v>
      </c>
      <c r="H219">
        <v>2E+20</v>
      </c>
      <c r="I219">
        <v>0</v>
      </c>
      <c r="J219">
        <v>0</v>
      </c>
      <c r="K219">
        <v>0</v>
      </c>
      <c r="L219">
        <v>0</v>
      </c>
      <c r="M219" s="5" t="str">
        <f>ContinuousStatsTable[[#This Row],[ProjectName]]&amp;ContinuousStatsTable[[#This Row],[Name]]&amp;ContinuousStatsTable[[#This Row],[Type]]&amp;ContinuousStatsTable[[#This Row],[Source]]</f>
        <v>Unnamed Projectseizeassemblyqcman.QueueNumber WaitingQueue</v>
      </c>
      <c r="N219" s="5">
        <f t="array" ref="N219">MAX(IF((ProjectInfoTable[ProjectName]=ContinuousStatsTable[[#This Row],[ProjectName]]),(ProjectInfoTable[ProjectName]=ContinuousStatsTable[[#This Row],[ProjectName]])*ProjectInfoTable[NumberOfReplications]))</f>
        <v>15</v>
      </c>
      <c r="O219" s="5">
        <f t="array" ref="O219">IFERROR(AVERAGE(IF((ContinuousStatsTable[GroupByKey]=ContinuousStatsTable[[#This Row],[GroupByKey]]),(ContinuousStatsTable[GroupByKey]=ContinuousStatsTable[[#This Row],[GroupByKey]])*ContinuousStatsTable[Average])),0)</f>
        <v>0</v>
      </c>
      <c r="P219" s="5">
        <f t="array" ref="P219">IFERROR(_xlfn.STDEV.S(IF((ContinuousStatsTable[GroupByKey]=ContinuousStatsTable[[#This Row],[GroupByKey]]),(ContinuousStatsTable[GroupByKey]=ContinuousStatsTable[[#This Row],[GroupByKey]])*ContinuousStatsTable[Average])),0)</f>
        <v>0</v>
      </c>
      <c r="Q219" s="5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9" s="5">
        <f t="array" ref="S219">MIN(IF((ContinuousStatsTable[GroupByKey]=ContinuousStatsTable[[#This Row],[GroupByKey]]),(ContinuousStatsTable[GroupByKey]=ContinuousStatsTable[[#This Row],[GroupByKey]])*ContinuousStatsTable[Average]))</f>
        <v>0</v>
      </c>
      <c r="T219" s="5">
        <f t="array" ref="T219">MAX(IF((ContinuousStatsTable[GroupByKey]=ContinuousStatsTable[[#This Row],[GroupByKey]]),(ContinuousStatsTable[GroupByKey]=ContinuousStatsTable[[#This Row],[GroupByKey]])*ContinuousStatsTable[Average]))</f>
        <v>0</v>
      </c>
      <c r="U219" s="5">
        <f>IF((ContinuousStatsTable[[#This Row],[RepsRequested]]&gt;1),ContinuousStatsTable[[#This Row],[HalfWidth]],ContinuousStatsTable[[#This Row],[BatchMeansHalfWidth]])</f>
        <v>0</v>
      </c>
    </row>
    <row r="220" spans="1:21" x14ac:dyDescent="0.25">
      <c r="A220" t="s">
        <v>67</v>
      </c>
      <c r="B220" t="s">
        <v>70</v>
      </c>
      <c r="C220">
        <v>5</v>
      </c>
      <c r="D220" t="s">
        <v>95</v>
      </c>
      <c r="E220" t="s">
        <v>84</v>
      </c>
      <c r="F220" t="s">
        <v>85</v>
      </c>
      <c r="G220">
        <v>0</v>
      </c>
      <c r="H220">
        <v>2E+20</v>
      </c>
      <c r="I220">
        <v>0</v>
      </c>
      <c r="J220">
        <v>0</v>
      </c>
      <c r="K220">
        <v>0</v>
      </c>
      <c r="L220">
        <v>0</v>
      </c>
      <c r="M220" s="5" t="str">
        <f>ContinuousStatsTable[[#This Row],[ProjectName]]&amp;ContinuousStatsTable[[#This Row],[Name]]&amp;ContinuousStatsTable[[#This Row],[Type]]&amp;ContinuousStatsTable[[#This Row],[Source]]</f>
        <v>Unnamed Projectseizecleaner.QueueNumber WaitingQueue</v>
      </c>
      <c r="N220" s="5">
        <f t="array" ref="N220">MAX(IF((ProjectInfoTable[ProjectName]=ContinuousStatsTable[[#This Row],[ProjectName]]),(ProjectInfoTable[ProjectName]=ContinuousStatsTable[[#This Row],[ProjectName]])*ProjectInfoTable[NumberOfReplications]))</f>
        <v>15</v>
      </c>
      <c r="O220" s="5">
        <f t="array" ref="O220">IFERROR(AVERAGE(IF((ContinuousStatsTable[GroupByKey]=ContinuousStatsTable[[#This Row],[GroupByKey]]),(ContinuousStatsTable[GroupByKey]=ContinuousStatsTable[[#This Row],[GroupByKey]])*ContinuousStatsTable[Average])),0)</f>
        <v>0</v>
      </c>
      <c r="P220" s="5">
        <f t="array" ref="P220">IFERROR(_xlfn.STDEV.S(IF((ContinuousStatsTable[GroupByKey]=ContinuousStatsTable[[#This Row],[GroupByKey]]),(ContinuousStatsTable[GroupByKey]=ContinuousStatsTable[[#This Row],[GroupByKey]])*ContinuousStatsTable[Average])),0)</f>
        <v>0</v>
      </c>
      <c r="Q220" s="5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0" s="5">
        <f t="array" ref="S220">MIN(IF((ContinuousStatsTable[GroupByKey]=ContinuousStatsTable[[#This Row],[GroupByKey]]),(ContinuousStatsTable[GroupByKey]=ContinuousStatsTable[[#This Row],[GroupByKey]])*ContinuousStatsTable[Average]))</f>
        <v>0</v>
      </c>
      <c r="T220" s="5">
        <f t="array" ref="T220">MAX(IF((ContinuousStatsTable[GroupByKey]=ContinuousStatsTable[[#This Row],[GroupByKey]]),(ContinuousStatsTable[GroupByKey]=ContinuousStatsTable[[#This Row],[GroupByKey]])*ContinuousStatsTable[Average]))</f>
        <v>0</v>
      </c>
      <c r="U220" s="5">
        <f>IF((ContinuousStatsTable[[#This Row],[RepsRequested]]&gt;1),ContinuousStatsTable[[#This Row],[HalfWidth]],ContinuousStatsTable[[#This Row],[BatchMeansHalfWidth]])</f>
        <v>0</v>
      </c>
    </row>
    <row r="221" spans="1:21" x14ac:dyDescent="0.25">
      <c r="A221" t="s">
        <v>67</v>
      </c>
      <c r="B221" t="s">
        <v>70</v>
      </c>
      <c r="C221">
        <v>5</v>
      </c>
      <c r="D221" t="s">
        <v>96</v>
      </c>
      <c r="E221" t="s">
        <v>84</v>
      </c>
      <c r="F221" t="s">
        <v>85</v>
      </c>
      <c r="G221">
        <v>0</v>
      </c>
      <c r="H221">
        <v>2E+20</v>
      </c>
      <c r="I221">
        <v>0</v>
      </c>
      <c r="J221">
        <v>0</v>
      </c>
      <c r="K221">
        <v>0</v>
      </c>
      <c r="L221">
        <v>0</v>
      </c>
      <c r="M221" s="5" t="str">
        <f>ContinuousStatsTable[[#This Row],[ProjectName]]&amp;ContinuousStatsTable[[#This Row],[Name]]&amp;ContinuousStatsTable[[#This Row],[Type]]&amp;ContinuousStatsTable[[#This Row],[Source]]</f>
        <v>Unnamed Projectseizepainter.QueueNumber WaitingQueue</v>
      </c>
      <c r="N221" s="5">
        <f t="array" ref="N221">MAX(IF((ProjectInfoTable[ProjectName]=ContinuousStatsTable[[#This Row],[ProjectName]]),(ProjectInfoTable[ProjectName]=ContinuousStatsTable[[#This Row],[ProjectName]])*ProjectInfoTable[NumberOfReplications]))</f>
        <v>15</v>
      </c>
      <c r="O221" s="5">
        <f t="array" ref="O221">IFERROR(AVERAGE(IF((ContinuousStatsTable[GroupByKey]=ContinuousStatsTable[[#This Row],[GroupByKey]]),(ContinuousStatsTable[GroupByKey]=ContinuousStatsTable[[#This Row],[GroupByKey]])*ContinuousStatsTable[Average])),0)</f>
        <v>0</v>
      </c>
      <c r="P221" s="5">
        <f t="array" ref="P221">IFERROR(_xlfn.STDEV.S(IF((ContinuousStatsTable[GroupByKey]=ContinuousStatsTable[[#This Row],[GroupByKey]]),(ContinuousStatsTable[GroupByKey]=ContinuousStatsTable[[#This Row],[GroupByKey]])*ContinuousStatsTable[Average])),0)</f>
        <v>0</v>
      </c>
      <c r="Q221" s="5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1" s="5">
        <f t="array" ref="S221">MIN(IF((ContinuousStatsTable[GroupByKey]=ContinuousStatsTable[[#This Row],[GroupByKey]]),(ContinuousStatsTable[GroupByKey]=ContinuousStatsTable[[#This Row],[GroupByKey]])*ContinuousStatsTable[Average]))</f>
        <v>0</v>
      </c>
      <c r="T221" s="5">
        <f t="array" ref="T221">MAX(IF((ContinuousStatsTable[GroupByKey]=ContinuousStatsTable[[#This Row],[GroupByKey]]),(ContinuousStatsTable[GroupByKey]=ContinuousStatsTable[[#This Row],[GroupByKey]])*ContinuousStatsTable[Average]))</f>
        <v>0</v>
      </c>
      <c r="U221" s="5">
        <f>IF((ContinuousStatsTable[[#This Row],[RepsRequested]]&gt;1),ContinuousStatsTable[[#This Row],[HalfWidth]],ContinuousStatsTable[[#This Row],[BatchMeansHalfWidth]])</f>
        <v>0</v>
      </c>
    </row>
    <row r="222" spans="1:21" x14ac:dyDescent="0.25">
      <c r="A222" t="s">
        <v>67</v>
      </c>
      <c r="B222" t="s">
        <v>70</v>
      </c>
      <c r="C222">
        <v>5</v>
      </c>
      <c r="D222" t="s">
        <v>97</v>
      </c>
      <c r="E222" t="s">
        <v>84</v>
      </c>
      <c r="F222" t="s">
        <v>85</v>
      </c>
      <c r="G222">
        <v>0</v>
      </c>
      <c r="H222">
        <v>2E+20</v>
      </c>
      <c r="I222">
        <v>0</v>
      </c>
      <c r="J222">
        <v>0</v>
      </c>
      <c r="K222">
        <v>0</v>
      </c>
      <c r="L222">
        <v>0</v>
      </c>
      <c r="M222" s="5" t="str">
        <f>ContinuousStatsTable[[#This Row],[ProjectName]]&amp;ContinuousStatsTable[[#This Row],[Name]]&amp;ContinuousStatsTable[[#This Row],[Type]]&amp;ContinuousStatsTable[[#This Row],[Source]]</f>
        <v>Unnamed Projectseizeqcman.QueueNumber WaitingQueue</v>
      </c>
      <c r="N222" s="5">
        <f t="array" ref="N222">MAX(IF((ProjectInfoTable[ProjectName]=ContinuousStatsTable[[#This Row],[ProjectName]]),(ProjectInfoTable[ProjectName]=ContinuousStatsTable[[#This Row],[ProjectName]])*ProjectInfoTable[NumberOfReplications]))</f>
        <v>15</v>
      </c>
      <c r="O222" s="5">
        <f t="array" ref="O222">IFERROR(AVERAGE(IF((ContinuousStatsTable[GroupByKey]=ContinuousStatsTable[[#This Row],[GroupByKey]]),(ContinuousStatsTable[GroupByKey]=ContinuousStatsTable[[#This Row],[GroupByKey]])*ContinuousStatsTable[Average])),0)</f>
        <v>0</v>
      </c>
      <c r="P222" s="5">
        <f t="array" ref="P222">IFERROR(_xlfn.STDEV.S(IF((ContinuousStatsTable[GroupByKey]=ContinuousStatsTable[[#This Row],[GroupByKey]]),(ContinuousStatsTable[GroupByKey]=ContinuousStatsTable[[#This Row],[GroupByKey]])*ContinuousStatsTable[Average])),0)</f>
        <v>0</v>
      </c>
      <c r="Q222" s="5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2" s="5">
        <f t="array" ref="S222">MIN(IF((ContinuousStatsTable[GroupByKey]=ContinuousStatsTable[[#This Row],[GroupByKey]]),(ContinuousStatsTable[GroupByKey]=ContinuousStatsTable[[#This Row],[GroupByKey]])*ContinuousStatsTable[Average]))</f>
        <v>0</v>
      </c>
      <c r="T222" s="5">
        <f t="array" ref="T222">MAX(IF((ContinuousStatsTable[GroupByKey]=ContinuousStatsTable[[#This Row],[GroupByKey]]),(ContinuousStatsTable[GroupByKey]=ContinuousStatsTable[[#This Row],[GroupByKey]])*ContinuousStatsTable[Average]))</f>
        <v>0</v>
      </c>
      <c r="U222" s="5">
        <f>IF((ContinuousStatsTable[[#This Row],[RepsRequested]]&gt;1),ContinuousStatsTable[[#This Row],[HalfWidth]],ContinuousStatsTable[[#This Row],[BatchMeansHalfWidth]])</f>
        <v>0</v>
      </c>
    </row>
    <row r="223" spans="1:21" x14ac:dyDescent="0.25">
      <c r="A223" t="s">
        <v>67</v>
      </c>
      <c r="B223" t="s">
        <v>70</v>
      </c>
      <c r="C223">
        <v>5</v>
      </c>
      <c r="D223" t="s">
        <v>98</v>
      </c>
      <c r="E223" t="s">
        <v>84</v>
      </c>
      <c r="F223" t="s">
        <v>85</v>
      </c>
      <c r="G223">
        <v>0</v>
      </c>
      <c r="H223">
        <v>2E+20</v>
      </c>
      <c r="I223">
        <v>0</v>
      </c>
      <c r="J223">
        <v>0</v>
      </c>
      <c r="K223">
        <v>0</v>
      </c>
      <c r="L223">
        <v>0</v>
      </c>
      <c r="M223" s="5" t="str">
        <f>ContinuousStatsTable[[#This Row],[ProjectName]]&amp;ContinuousStatsTable[[#This Row],[Name]]&amp;ContinuousStatsTable[[#This Row],[Type]]&amp;ContinuousStatsTable[[#This Row],[Source]]</f>
        <v>Unnamed Projectseizesandblaster.QueueNumber WaitingQueue</v>
      </c>
      <c r="N223" s="5">
        <f t="array" ref="N223">MAX(IF((ProjectInfoTable[ProjectName]=ContinuousStatsTable[[#This Row],[ProjectName]]),(ProjectInfoTable[ProjectName]=ContinuousStatsTable[[#This Row],[ProjectName]])*ProjectInfoTable[NumberOfReplications]))</f>
        <v>15</v>
      </c>
      <c r="O223" s="5">
        <f t="array" ref="O223">IFERROR(AVERAGE(IF((ContinuousStatsTable[GroupByKey]=ContinuousStatsTable[[#This Row],[GroupByKey]]),(ContinuousStatsTable[GroupByKey]=ContinuousStatsTable[[#This Row],[GroupByKey]])*ContinuousStatsTable[Average])),0)</f>
        <v>0</v>
      </c>
      <c r="P223" s="5">
        <f t="array" ref="P223">IFERROR(_xlfn.STDEV.S(IF((ContinuousStatsTable[GroupByKey]=ContinuousStatsTable[[#This Row],[GroupByKey]]),(ContinuousStatsTable[GroupByKey]=ContinuousStatsTable[[#This Row],[GroupByKey]])*ContinuousStatsTable[Average])),0)</f>
        <v>0</v>
      </c>
      <c r="Q223" s="5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3" s="5">
        <f t="array" ref="S223">MIN(IF((ContinuousStatsTable[GroupByKey]=ContinuousStatsTable[[#This Row],[GroupByKey]]),(ContinuousStatsTable[GroupByKey]=ContinuousStatsTable[[#This Row],[GroupByKey]])*ContinuousStatsTable[Average]))</f>
        <v>0</v>
      </c>
      <c r="T223" s="5">
        <f t="array" ref="T223">MAX(IF((ContinuousStatsTable[GroupByKey]=ContinuousStatsTable[[#This Row],[GroupByKey]]),(ContinuousStatsTable[GroupByKey]=ContinuousStatsTable[[#This Row],[GroupByKey]])*ContinuousStatsTable[Average]))</f>
        <v>0</v>
      </c>
      <c r="U223" s="5">
        <f>IF((ContinuousStatsTable[[#This Row],[RepsRequested]]&gt;1),ContinuousStatsTable[[#This Row],[HalfWidth]],ContinuousStatsTable[[#This Row],[BatchMeansHalfWidth]])</f>
        <v>0</v>
      </c>
    </row>
    <row r="224" spans="1:21" x14ac:dyDescent="0.25">
      <c r="A224" t="s">
        <v>67</v>
      </c>
      <c r="B224" t="s">
        <v>70</v>
      </c>
      <c r="C224">
        <v>5</v>
      </c>
      <c r="D224" t="s">
        <v>99</v>
      </c>
      <c r="E224" t="s">
        <v>84</v>
      </c>
      <c r="F224" t="s">
        <v>85</v>
      </c>
      <c r="G224">
        <v>0</v>
      </c>
      <c r="H224">
        <v>2E+20</v>
      </c>
      <c r="I224">
        <v>0</v>
      </c>
      <c r="J224">
        <v>0</v>
      </c>
      <c r="K224">
        <v>0</v>
      </c>
      <c r="L224">
        <v>0</v>
      </c>
      <c r="M224" s="5" t="str">
        <f>ContinuousStatsTable[[#This Row],[ProjectName]]&amp;ContinuousStatsTable[[#This Row],[Name]]&amp;ContinuousStatsTable[[#This Row],[Type]]&amp;ContinuousStatsTable[[#This Row],[Source]]</f>
        <v>Unnamed Projectseizewelder.QueueNumber WaitingQueue</v>
      </c>
      <c r="N224" s="5">
        <f t="array" ref="N224">MAX(IF((ProjectInfoTable[ProjectName]=ContinuousStatsTable[[#This Row],[ProjectName]]),(ProjectInfoTable[ProjectName]=ContinuousStatsTable[[#This Row],[ProjectName]])*ProjectInfoTable[NumberOfReplications]))</f>
        <v>15</v>
      </c>
      <c r="O224" s="5">
        <f t="array" ref="O224">IFERROR(AVERAGE(IF((ContinuousStatsTable[GroupByKey]=ContinuousStatsTable[[#This Row],[GroupByKey]]),(ContinuousStatsTable[GroupByKey]=ContinuousStatsTable[[#This Row],[GroupByKey]])*ContinuousStatsTable[Average])),0)</f>
        <v>0</v>
      </c>
      <c r="P224" s="5">
        <f t="array" ref="P224">IFERROR(_xlfn.STDEV.S(IF((ContinuousStatsTable[GroupByKey]=ContinuousStatsTable[[#This Row],[GroupByKey]]),(ContinuousStatsTable[GroupByKey]=ContinuousStatsTable[[#This Row],[GroupByKey]])*ContinuousStatsTable[Average])),0)</f>
        <v>0</v>
      </c>
      <c r="Q224" s="5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4" s="5">
        <f t="array" ref="S224">MIN(IF((ContinuousStatsTable[GroupByKey]=ContinuousStatsTable[[#This Row],[GroupByKey]]),(ContinuousStatsTable[GroupByKey]=ContinuousStatsTable[[#This Row],[GroupByKey]])*ContinuousStatsTable[Average]))</f>
        <v>0</v>
      </c>
      <c r="T224" s="5">
        <f t="array" ref="T224">MAX(IF((ContinuousStatsTable[GroupByKey]=ContinuousStatsTable[[#This Row],[GroupByKey]]),(ContinuousStatsTable[GroupByKey]=ContinuousStatsTable[[#This Row],[GroupByKey]])*ContinuousStatsTable[Average]))</f>
        <v>0</v>
      </c>
      <c r="U224" s="5">
        <f>IF((ContinuousStatsTable[[#This Row],[RepsRequested]]&gt;1),ContinuousStatsTable[[#This Row],[HalfWidth]],ContinuousStatsTable[[#This Row],[BatchMeansHalfWidth]])</f>
        <v>0</v>
      </c>
    </row>
    <row r="225" spans="1:21" x14ac:dyDescent="0.25">
      <c r="A225" t="s">
        <v>67</v>
      </c>
      <c r="B225" t="s">
        <v>70</v>
      </c>
      <c r="C225">
        <v>5</v>
      </c>
      <c r="D225" t="s">
        <v>100</v>
      </c>
      <c r="E225" t="s">
        <v>78</v>
      </c>
      <c r="F225" t="s">
        <v>79</v>
      </c>
      <c r="G225">
        <v>14</v>
      </c>
      <c r="H225">
        <v>2E+20</v>
      </c>
      <c r="I225">
        <v>14</v>
      </c>
      <c r="J225">
        <v>14</v>
      </c>
      <c r="K225">
        <v>14</v>
      </c>
      <c r="L225">
        <v>0</v>
      </c>
      <c r="M225" s="5" t="str">
        <f>ContinuousStatsTable[[#This Row],[ProjectName]]&amp;ContinuousStatsTable[[#This Row],[Name]]&amp;ContinuousStatsTable[[#This Row],[Type]]&amp;ContinuousStatsTable[[#This Row],[Source]]</f>
        <v>Unnamed ProjectsteelsheetWIPEntity</v>
      </c>
      <c r="N225" s="5">
        <f t="array" ref="N225">MAX(IF((ProjectInfoTable[ProjectName]=ContinuousStatsTable[[#This Row],[ProjectName]]),(ProjectInfoTable[ProjectName]=ContinuousStatsTable[[#This Row],[ProjectName]])*ProjectInfoTable[NumberOfReplications]))</f>
        <v>15</v>
      </c>
      <c r="O225" s="5">
        <f t="array" ref="O225">IFERROR(AVERAGE(IF((ContinuousStatsTable[GroupByKey]=ContinuousStatsTable[[#This Row],[GroupByKey]]),(ContinuousStatsTable[GroupByKey]=ContinuousStatsTable[[#This Row],[GroupByKey]])*ContinuousStatsTable[Average])),0)</f>
        <v>6.1333333333333337</v>
      </c>
      <c r="P225" s="5">
        <f t="array" ref="P225">IFERROR(_xlfn.STDEV.S(IF((ContinuousStatsTable[GroupByKey]=ContinuousStatsTable[[#This Row],[GroupByKey]]),(ContinuousStatsTable[GroupByKey]=ContinuousStatsTable[[#This Row],[GroupByKey]])*ContinuousStatsTable[Average])),0)</f>
        <v>5.3166405433005028</v>
      </c>
      <c r="Q225" s="5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2.944257396015229</v>
      </c>
      <c r="S225" s="5">
        <f t="array" ref="S225">MIN(IF((ContinuousStatsTable[GroupByKey]=ContinuousStatsTable[[#This Row],[GroupByKey]]),(ContinuousStatsTable[GroupByKey]=ContinuousStatsTable[[#This Row],[GroupByKey]])*ContinuousStatsTable[Average]))</f>
        <v>0</v>
      </c>
      <c r="T225" s="5">
        <f t="array" ref="T225">MAX(IF((ContinuousStatsTable[GroupByKey]=ContinuousStatsTable[[#This Row],[GroupByKey]]),(ContinuousStatsTable[GroupByKey]=ContinuousStatsTable[[#This Row],[GroupByKey]])*ContinuousStatsTable[Average]))</f>
        <v>16</v>
      </c>
      <c r="U225" s="5">
        <f>IF((ContinuousStatsTable[[#This Row],[RepsRequested]]&gt;1),ContinuousStatsTable[[#This Row],[HalfWidth]],ContinuousStatsTable[[#This Row],[BatchMeansHalfWidth]])</f>
        <v>2.944257396015229</v>
      </c>
    </row>
    <row r="226" spans="1:21" x14ac:dyDescent="0.25">
      <c r="A226" t="s">
        <v>67</v>
      </c>
      <c r="B226" t="s">
        <v>70</v>
      </c>
      <c r="C226">
        <v>5</v>
      </c>
      <c r="D226" t="s">
        <v>101</v>
      </c>
      <c r="E226" t="s">
        <v>72</v>
      </c>
      <c r="F226" t="s">
        <v>73</v>
      </c>
      <c r="G226">
        <v>0</v>
      </c>
      <c r="H226">
        <v>2E+20</v>
      </c>
      <c r="I226">
        <v>0</v>
      </c>
      <c r="J226">
        <v>0</v>
      </c>
      <c r="K226">
        <v>0</v>
      </c>
      <c r="L226">
        <v>0</v>
      </c>
      <c r="M226" s="5" t="str">
        <f>ContinuousStatsTable[[#This Row],[ProjectName]]&amp;ContinuousStatsTable[[#This Row],[Name]]&amp;ContinuousStatsTable[[#This Row],[Type]]&amp;ContinuousStatsTable[[#This Row],[Source]]</f>
        <v>Unnamed ProjectwelderInstantaneous UtilizationResource</v>
      </c>
      <c r="N226" s="5">
        <f t="array" ref="N226">MAX(IF((ProjectInfoTable[ProjectName]=ContinuousStatsTable[[#This Row],[ProjectName]]),(ProjectInfoTable[ProjectName]=ContinuousStatsTable[[#This Row],[ProjectName]])*ProjectInfoTable[NumberOfReplications]))</f>
        <v>15</v>
      </c>
      <c r="O226" s="5">
        <f t="array" ref="O226">IFERROR(AVERAGE(IF((ContinuousStatsTable[GroupByKey]=ContinuousStatsTable[[#This Row],[GroupByKey]]),(ContinuousStatsTable[GroupByKey]=ContinuousStatsTable[[#This Row],[GroupByKey]])*ContinuousStatsTable[Average])),0)</f>
        <v>0</v>
      </c>
      <c r="P226" s="5">
        <f t="array" ref="P226">IFERROR(_xlfn.STDEV.S(IF((ContinuousStatsTable[GroupByKey]=ContinuousStatsTable[[#This Row],[GroupByKey]]),(ContinuousStatsTable[GroupByKey]=ContinuousStatsTable[[#This Row],[GroupByKey]])*ContinuousStatsTable[Average])),0)</f>
        <v>0</v>
      </c>
      <c r="Q226" s="5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6" s="5">
        <f t="array" ref="S226">MIN(IF((ContinuousStatsTable[GroupByKey]=ContinuousStatsTable[[#This Row],[GroupByKey]]),(ContinuousStatsTable[GroupByKey]=ContinuousStatsTable[[#This Row],[GroupByKey]])*ContinuousStatsTable[Average]))</f>
        <v>0</v>
      </c>
      <c r="T226" s="5">
        <f t="array" ref="T226">MAX(IF((ContinuousStatsTable[GroupByKey]=ContinuousStatsTable[[#This Row],[GroupByKey]]),(ContinuousStatsTable[GroupByKey]=ContinuousStatsTable[[#This Row],[GroupByKey]])*ContinuousStatsTable[Average]))</f>
        <v>0</v>
      </c>
      <c r="U226" s="5">
        <f>IF((ContinuousStatsTable[[#This Row],[RepsRequested]]&gt;1),ContinuousStatsTable[[#This Row],[HalfWidth]],ContinuousStatsTable[[#This Row],[BatchMeansHalfWidth]])</f>
        <v>0</v>
      </c>
    </row>
    <row r="227" spans="1:21" x14ac:dyDescent="0.25">
      <c r="A227" t="s">
        <v>67</v>
      </c>
      <c r="B227" t="s">
        <v>70</v>
      </c>
      <c r="C227">
        <v>5</v>
      </c>
      <c r="D227" t="s">
        <v>101</v>
      </c>
      <c r="E227" t="s">
        <v>74</v>
      </c>
      <c r="F227" t="s">
        <v>73</v>
      </c>
      <c r="G227">
        <v>0</v>
      </c>
      <c r="H227">
        <v>2E+20</v>
      </c>
      <c r="I227">
        <v>0</v>
      </c>
      <c r="J227">
        <v>0</v>
      </c>
      <c r="K227">
        <v>0</v>
      </c>
      <c r="L227">
        <v>0</v>
      </c>
      <c r="M227" s="5" t="str">
        <f>ContinuousStatsTable[[#This Row],[ProjectName]]&amp;ContinuousStatsTable[[#This Row],[Name]]&amp;ContinuousStatsTable[[#This Row],[Type]]&amp;ContinuousStatsTable[[#This Row],[Source]]</f>
        <v>Unnamed ProjectwelderNumber BusyResource</v>
      </c>
      <c r="N227" s="5">
        <f t="array" ref="N227">MAX(IF((ProjectInfoTable[ProjectName]=ContinuousStatsTable[[#This Row],[ProjectName]]),(ProjectInfoTable[ProjectName]=ContinuousStatsTable[[#This Row],[ProjectName]])*ProjectInfoTable[NumberOfReplications]))</f>
        <v>15</v>
      </c>
      <c r="O227" s="5">
        <f t="array" ref="O227">IFERROR(AVERAGE(IF((ContinuousStatsTable[GroupByKey]=ContinuousStatsTable[[#This Row],[GroupByKey]]),(ContinuousStatsTable[GroupByKey]=ContinuousStatsTable[[#This Row],[GroupByKey]])*ContinuousStatsTable[Average])),0)</f>
        <v>0</v>
      </c>
      <c r="P227" s="5">
        <f t="array" ref="P227">IFERROR(_xlfn.STDEV.S(IF((ContinuousStatsTable[GroupByKey]=ContinuousStatsTable[[#This Row],[GroupByKey]]),(ContinuousStatsTable[GroupByKey]=ContinuousStatsTable[[#This Row],[GroupByKey]])*ContinuousStatsTable[Average])),0)</f>
        <v>0</v>
      </c>
      <c r="Q227" s="5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7" s="5">
        <f t="array" ref="S227">MIN(IF((ContinuousStatsTable[GroupByKey]=ContinuousStatsTable[[#This Row],[GroupByKey]]),(ContinuousStatsTable[GroupByKey]=ContinuousStatsTable[[#This Row],[GroupByKey]])*ContinuousStatsTable[Average]))</f>
        <v>0</v>
      </c>
      <c r="T227" s="5">
        <f t="array" ref="T227">MAX(IF((ContinuousStatsTable[GroupByKey]=ContinuousStatsTable[[#This Row],[GroupByKey]]),(ContinuousStatsTable[GroupByKey]=ContinuousStatsTable[[#This Row],[GroupByKey]])*ContinuousStatsTable[Average]))</f>
        <v>0</v>
      </c>
      <c r="U227" s="5">
        <f>IF((ContinuousStatsTable[[#This Row],[RepsRequested]]&gt;1),ContinuousStatsTable[[#This Row],[HalfWidth]],ContinuousStatsTable[[#This Row],[BatchMeansHalfWidth]])</f>
        <v>0</v>
      </c>
    </row>
    <row r="228" spans="1:21" x14ac:dyDescent="0.25">
      <c r="A228" t="s">
        <v>67</v>
      </c>
      <c r="B228" t="s">
        <v>70</v>
      </c>
      <c r="C228">
        <v>5</v>
      </c>
      <c r="D228" t="s">
        <v>101</v>
      </c>
      <c r="E228" t="s">
        <v>75</v>
      </c>
      <c r="F228" t="s">
        <v>73</v>
      </c>
      <c r="G228">
        <v>1.5834999999999999</v>
      </c>
      <c r="H228">
        <v>3E+20</v>
      </c>
      <c r="I228">
        <v>1</v>
      </c>
      <c r="J228">
        <v>2</v>
      </c>
      <c r="K228">
        <v>2</v>
      </c>
      <c r="L228">
        <v>0</v>
      </c>
      <c r="M228" s="5" t="str">
        <f>ContinuousStatsTable[[#This Row],[ProjectName]]&amp;ContinuousStatsTable[[#This Row],[Name]]&amp;ContinuousStatsTable[[#This Row],[Type]]&amp;ContinuousStatsTable[[#This Row],[Source]]</f>
        <v>Unnamed ProjectwelderNumber ScheduledResource</v>
      </c>
      <c r="N228" s="5">
        <f t="array" ref="N228">MAX(IF((ProjectInfoTable[ProjectName]=ContinuousStatsTable[[#This Row],[ProjectName]]),(ProjectInfoTable[ProjectName]=ContinuousStatsTable[[#This Row],[ProjectName]])*ProjectInfoTable[NumberOfReplications]))</f>
        <v>15</v>
      </c>
      <c r="O228" s="5">
        <f t="array" ref="O228">IFERROR(AVERAGE(IF((ContinuousStatsTable[GroupByKey]=ContinuousStatsTable[[#This Row],[GroupByKey]]),(ContinuousStatsTable[GroupByKey]=ContinuousStatsTable[[#This Row],[GroupByKey]])*ContinuousStatsTable[Average])),0)</f>
        <v>1.5334531146777051</v>
      </c>
      <c r="P228" s="5">
        <f t="array" ref="P228">IFERROR(_xlfn.STDEV.S(IF((ContinuousStatsTable[GroupByKey]=ContinuousStatsTable[[#This Row],[GroupByKey]]),(ContinuousStatsTable[GroupByKey]=ContinuousStatsTable[[#This Row],[GroupByKey]])*ContinuousStatsTable[Average])),0)</f>
        <v>0.24154952363702747</v>
      </c>
      <c r="Q228" s="5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0.13376566756397254</v>
      </c>
      <c r="S228" s="5">
        <f t="array" ref="S228">MIN(IF((ContinuousStatsTable[GroupByKey]=ContinuousStatsTable[[#This Row],[GroupByKey]]),(ContinuousStatsTable[GroupByKey]=ContinuousStatsTable[[#This Row],[GroupByKey]])*ContinuousStatsTable[Average]))</f>
        <v>1</v>
      </c>
      <c r="T228" s="5">
        <f t="array" ref="T228">MAX(IF((ContinuousStatsTable[GroupByKey]=ContinuousStatsTable[[#This Row],[GroupByKey]]),(ContinuousStatsTable[GroupByKey]=ContinuousStatsTable[[#This Row],[GroupByKey]])*ContinuousStatsTable[Average]))</f>
        <v>2</v>
      </c>
      <c r="U228" s="5">
        <f>IF((ContinuousStatsTable[[#This Row],[RepsRequested]]&gt;1),ContinuousStatsTable[[#This Row],[HalfWidth]],ContinuousStatsTable[[#This Row],[BatchMeansHalfWidth]])</f>
        <v>0.13376566756397254</v>
      </c>
    </row>
    <row r="229" spans="1:21" x14ac:dyDescent="0.25">
      <c r="A229" t="s">
        <v>67</v>
      </c>
      <c r="B229" t="s">
        <v>70</v>
      </c>
      <c r="C229">
        <v>5</v>
      </c>
      <c r="D229" t="s">
        <v>102</v>
      </c>
      <c r="E229" t="s">
        <v>72</v>
      </c>
      <c r="F229" t="s">
        <v>73</v>
      </c>
      <c r="G229">
        <v>0</v>
      </c>
      <c r="H229">
        <v>2E+20</v>
      </c>
      <c r="I229">
        <v>0</v>
      </c>
      <c r="J229">
        <v>0</v>
      </c>
      <c r="K229">
        <v>0</v>
      </c>
      <c r="L229">
        <v>0</v>
      </c>
      <c r="M229" s="5" t="str">
        <f>ContinuousStatsTable[[#This Row],[ProjectName]]&amp;ContinuousStatsTable[[#This Row],[Name]]&amp;ContinuousStatsTable[[#This Row],[Type]]&amp;ContinuousStatsTable[[#This Row],[Source]]</f>
        <v>Unnamed ProjectweldingqcworkerInstantaneous UtilizationResource</v>
      </c>
      <c r="N229" s="5">
        <f t="array" ref="N229">MAX(IF((ProjectInfoTable[ProjectName]=ContinuousStatsTable[[#This Row],[ProjectName]]),(ProjectInfoTable[ProjectName]=ContinuousStatsTable[[#This Row],[ProjectName]])*ProjectInfoTable[NumberOfReplications]))</f>
        <v>15</v>
      </c>
      <c r="O229" s="5">
        <f t="array" ref="O229">IFERROR(AVERAGE(IF((ContinuousStatsTable[GroupByKey]=ContinuousStatsTable[[#This Row],[GroupByKey]]),(ContinuousStatsTable[GroupByKey]=ContinuousStatsTable[[#This Row],[GroupByKey]])*ContinuousStatsTable[Average])),0)</f>
        <v>0</v>
      </c>
      <c r="P229" s="5">
        <f t="array" ref="P229">IFERROR(_xlfn.STDEV.S(IF((ContinuousStatsTable[GroupByKey]=ContinuousStatsTable[[#This Row],[GroupByKey]]),(ContinuousStatsTable[GroupByKey]=ContinuousStatsTable[[#This Row],[GroupByKey]])*ContinuousStatsTable[Average])),0)</f>
        <v>0</v>
      </c>
      <c r="Q229" s="5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9" s="5">
        <f t="array" ref="S229">MIN(IF((ContinuousStatsTable[GroupByKey]=ContinuousStatsTable[[#This Row],[GroupByKey]]),(ContinuousStatsTable[GroupByKey]=ContinuousStatsTable[[#This Row],[GroupByKey]])*ContinuousStatsTable[Average]))</f>
        <v>0</v>
      </c>
      <c r="T229" s="5">
        <f t="array" ref="T229">MAX(IF((ContinuousStatsTable[GroupByKey]=ContinuousStatsTable[[#This Row],[GroupByKey]]),(ContinuousStatsTable[GroupByKey]=ContinuousStatsTable[[#This Row],[GroupByKey]])*ContinuousStatsTable[Average]))</f>
        <v>0</v>
      </c>
      <c r="U229" s="5">
        <f>IF((ContinuousStatsTable[[#This Row],[RepsRequested]]&gt;1),ContinuousStatsTable[[#This Row],[HalfWidth]],ContinuousStatsTable[[#This Row],[BatchMeansHalfWidth]])</f>
        <v>0</v>
      </c>
    </row>
    <row r="230" spans="1:21" x14ac:dyDescent="0.25">
      <c r="A230" t="s">
        <v>67</v>
      </c>
      <c r="B230" t="s">
        <v>70</v>
      </c>
      <c r="C230">
        <v>5</v>
      </c>
      <c r="D230" t="s">
        <v>102</v>
      </c>
      <c r="E230" t="s">
        <v>74</v>
      </c>
      <c r="F230" t="s">
        <v>73</v>
      </c>
      <c r="G230">
        <v>0</v>
      </c>
      <c r="H230">
        <v>2E+20</v>
      </c>
      <c r="I230">
        <v>0</v>
      </c>
      <c r="J230">
        <v>0</v>
      </c>
      <c r="K230">
        <v>0</v>
      </c>
      <c r="L230">
        <v>0</v>
      </c>
      <c r="M230" s="5" t="str">
        <f>ContinuousStatsTable[[#This Row],[ProjectName]]&amp;ContinuousStatsTable[[#This Row],[Name]]&amp;ContinuousStatsTable[[#This Row],[Type]]&amp;ContinuousStatsTable[[#This Row],[Source]]</f>
        <v>Unnamed ProjectweldingqcworkerNumber BusyResource</v>
      </c>
      <c r="N230" s="5">
        <f t="array" ref="N230">MAX(IF((ProjectInfoTable[ProjectName]=ContinuousStatsTable[[#This Row],[ProjectName]]),(ProjectInfoTable[ProjectName]=ContinuousStatsTable[[#This Row],[ProjectName]])*ProjectInfoTable[NumberOfReplications]))</f>
        <v>15</v>
      </c>
      <c r="O230" s="5">
        <f t="array" ref="O230">IFERROR(AVERAGE(IF((ContinuousStatsTable[GroupByKey]=ContinuousStatsTable[[#This Row],[GroupByKey]]),(ContinuousStatsTable[GroupByKey]=ContinuousStatsTable[[#This Row],[GroupByKey]])*ContinuousStatsTable[Average])),0)</f>
        <v>0</v>
      </c>
      <c r="P230" s="5">
        <f t="array" ref="P230">IFERROR(_xlfn.STDEV.S(IF((ContinuousStatsTable[GroupByKey]=ContinuousStatsTable[[#This Row],[GroupByKey]]),(ContinuousStatsTable[GroupByKey]=ContinuousStatsTable[[#This Row],[GroupByKey]])*ContinuousStatsTable[Average])),0)</f>
        <v>0</v>
      </c>
      <c r="Q230" s="5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0" s="5">
        <f t="array" ref="S230">MIN(IF((ContinuousStatsTable[GroupByKey]=ContinuousStatsTable[[#This Row],[GroupByKey]]),(ContinuousStatsTable[GroupByKey]=ContinuousStatsTable[[#This Row],[GroupByKey]])*ContinuousStatsTable[Average]))</f>
        <v>0</v>
      </c>
      <c r="T230" s="5">
        <f t="array" ref="T230">MAX(IF((ContinuousStatsTable[GroupByKey]=ContinuousStatsTable[[#This Row],[GroupByKey]]),(ContinuousStatsTable[GroupByKey]=ContinuousStatsTable[[#This Row],[GroupByKey]])*ContinuousStatsTable[Average]))</f>
        <v>0</v>
      </c>
      <c r="U230" s="5">
        <f>IF((ContinuousStatsTable[[#This Row],[RepsRequested]]&gt;1),ContinuousStatsTable[[#This Row],[HalfWidth]],ContinuousStatsTable[[#This Row],[BatchMeansHalfWidth]])</f>
        <v>0</v>
      </c>
    </row>
    <row r="231" spans="1:21" x14ac:dyDescent="0.25">
      <c r="A231" t="s">
        <v>67</v>
      </c>
      <c r="B231" t="s">
        <v>70</v>
      </c>
      <c r="C231">
        <v>5</v>
      </c>
      <c r="D231" t="s">
        <v>102</v>
      </c>
      <c r="E231" t="s">
        <v>75</v>
      </c>
      <c r="F231" t="s">
        <v>73</v>
      </c>
      <c r="G231">
        <v>1.5834999999999999</v>
      </c>
      <c r="H231">
        <v>3E+20</v>
      </c>
      <c r="I231">
        <v>1</v>
      </c>
      <c r="J231">
        <v>2</v>
      </c>
      <c r="K231">
        <v>2</v>
      </c>
      <c r="L231">
        <v>0</v>
      </c>
      <c r="M231" s="5" t="str">
        <f>ContinuousStatsTable[[#This Row],[ProjectName]]&amp;ContinuousStatsTable[[#This Row],[Name]]&amp;ContinuousStatsTable[[#This Row],[Type]]&amp;ContinuousStatsTable[[#This Row],[Source]]</f>
        <v>Unnamed ProjectweldingqcworkerNumber ScheduledResource</v>
      </c>
      <c r="N231" s="5">
        <f t="array" ref="N231">MAX(IF((ProjectInfoTable[ProjectName]=ContinuousStatsTable[[#This Row],[ProjectName]]),(ProjectInfoTable[ProjectName]=ContinuousStatsTable[[#This Row],[ProjectName]])*ProjectInfoTable[NumberOfReplications]))</f>
        <v>15</v>
      </c>
      <c r="O231" s="5">
        <f t="array" ref="O231">IFERROR(AVERAGE(IF((ContinuousStatsTable[GroupByKey]=ContinuousStatsTable[[#This Row],[GroupByKey]]),(ContinuousStatsTable[GroupByKey]=ContinuousStatsTable[[#This Row],[GroupByKey]])*ContinuousStatsTable[Average])),0)</f>
        <v>1.5334635492504263</v>
      </c>
      <c r="P231" s="5">
        <f t="array" ref="P231">IFERROR(_xlfn.STDEV.S(IF((ContinuousStatsTable[GroupByKey]=ContinuousStatsTable[[#This Row],[GroupByKey]]),(ContinuousStatsTable[GroupByKey]=ContinuousStatsTable[[#This Row],[GroupByKey]])*ContinuousStatsTable[Average])),0)</f>
        <v>0.24155183649982462</v>
      </c>
      <c r="Q231" s="5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0.1337669483846978</v>
      </c>
      <c r="S231" s="5">
        <f t="array" ref="S231">MIN(IF((ContinuousStatsTable[GroupByKey]=ContinuousStatsTable[[#This Row],[GroupByKey]]),(ContinuousStatsTable[GroupByKey]=ContinuousStatsTable[[#This Row],[GroupByKey]])*ContinuousStatsTable[Average]))</f>
        <v>1</v>
      </c>
      <c r="T231" s="5">
        <f t="array" ref="T231">MAX(IF((ContinuousStatsTable[GroupByKey]=ContinuousStatsTable[[#This Row],[GroupByKey]]),(ContinuousStatsTable[GroupByKey]=ContinuousStatsTable[[#This Row],[GroupByKey]])*ContinuousStatsTable[Average]))</f>
        <v>2</v>
      </c>
      <c r="U231" s="5">
        <f>IF((ContinuousStatsTable[[#This Row],[RepsRequested]]&gt;1),ContinuousStatsTable[[#This Row],[HalfWidth]],ContinuousStatsTable[[#This Row],[BatchMeansHalfWidth]])</f>
        <v>0.1337669483846978</v>
      </c>
    </row>
    <row r="232" spans="1:21" x14ac:dyDescent="0.25">
      <c r="A232" t="s">
        <v>67</v>
      </c>
      <c r="B232" t="s">
        <v>70</v>
      </c>
      <c r="C232">
        <v>6</v>
      </c>
      <c r="D232" t="s">
        <v>71</v>
      </c>
      <c r="E232" t="s">
        <v>72</v>
      </c>
      <c r="F232" t="s">
        <v>73</v>
      </c>
      <c r="G232">
        <v>0</v>
      </c>
      <c r="H232">
        <v>2E+20</v>
      </c>
      <c r="I232">
        <v>0</v>
      </c>
      <c r="J232">
        <v>0</v>
      </c>
      <c r="K232">
        <v>0</v>
      </c>
      <c r="L232">
        <v>0</v>
      </c>
      <c r="M232" s="5" t="str">
        <f>ContinuousStatsTable[[#This Row],[ProjectName]]&amp;ContinuousStatsTable[[#This Row],[Name]]&amp;ContinuousStatsTable[[#This Row],[Type]]&amp;ContinuousStatsTable[[#This Row],[Source]]</f>
        <v>Unnamed ProjectassemblerInstantaneous UtilizationResource</v>
      </c>
      <c r="N232" s="5">
        <f t="array" ref="N232">MAX(IF((ProjectInfoTable[ProjectName]=ContinuousStatsTable[[#This Row],[ProjectName]]),(ProjectInfoTable[ProjectName]=ContinuousStatsTable[[#This Row],[ProjectName]])*ProjectInfoTable[NumberOfReplications]))</f>
        <v>15</v>
      </c>
      <c r="O232" s="5">
        <f t="array" ref="O232">IFERROR(AVERAGE(IF((ContinuousStatsTable[GroupByKey]=ContinuousStatsTable[[#This Row],[GroupByKey]]),(ContinuousStatsTable[GroupByKey]=ContinuousStatsTable[[#This Row],[GroupByKey]])*ContinuousStatsTable[Average])),0)</f>
        <v>0</v>
      </c>
      <c r="P232" s="5">
        <f t="array" ref="P232">IFERROR(_xlfn.STDEV.S(IF((ContinuousStatsTable[GroupByKey]=ContinuousStatsTable[[#This Row],[GroupByKey]]),(ContinuousStatsTable[GroupByKey]=ContinuousStatsTable[[#This Row],[GroupByKey]])*ContinuousStatsTable[Average])),0)</f>
        <v>0</v>
      </c>
      <c r="Q232" s="5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2" s="5">
        <f t="array" ref="S232">MIN(IF((ContinuousStatsTable[GroupByKey]=ContinuousStatsTable[[#This Row],[GroupByKey]]),(ContinuousStatsTable[GroupByKey]=ContinuousStatsTable[[#This Row],[GroupByKey]])*ContinuousStatsTable[Average]))</f>
        <v>0</v>
      </c>
      <c r="T232" s="5">
        <f t="array" ref="T232">MAX(IF((ContinuousStatsTable[GroupByKey]=ContinuousStatsTable[[#This Row],[GroupByKey]]),(ContinuousStatsTable[GroupByKey]=ContinuousStatsTable[[#This Row],[GroupByKey]])*ContinuousStatsTable[Average]))</f>
        <v>0</v>
      </c>
      <c r="U232" s="5">
        <f>IF((ContinuousStatsTable[[#This Row],[RepsRequested]]&gt;1),ContinuousStatsTable[[#This Row],[HalfWidth]],ContinuousStatsTable[[#This Row],[BatchMeansHalfWidth]])</f>
        <v>0</v>
      </c>
    </row>
    <row r="233" spans="1:21" x14ac:dyDescent="0.25">
      <c r="A233" t="s">
        <v>67</v>
      </c>
      <c r="B233" t="s">
        <v>70</v>
      </c>
      <c r="C233">
        <v>6</v>
      </c>
      <c r="D233" t="s">
        <v>71</v>
      </c>
      <c r="E233" t="s">
        <v>74</v>
      </c>
      <c r="F233" t="s">
        <v>73</v>
      </c>
      <c r="G233">
        <v>0</v>
      </c>
      <c r="H233">
        <v>2E+20</v>
      </c>
      <c r="I233">
        <v>0</v>
      </c>
      <c r="J233">
        <v>0</v>
      </c>
      <c r="K233">
        <v>0</v>
      </c>
      <c r="L233">
        <v>0</v>
      </c>
      <c r="M233" s="5" t="str">
        <f>ContinuousStatsTable[[#This Row],[ProjectName]]&amp;ContinuousStatsTable[[#This Row],[Name]]&amp;ContinuousStatsTable[[#This Row],[Type]]&amp;ContinuousStatsTable[[#This Row],[Source]]</f>
        <v>Unnamed ProjectassemblerNumber BusyResource</v>
      </c>
      <c r="N233" s="5">
        <f t="array" ref="N233">MAX(IF((ProjectInfoTable[ProjectName]=ContinuousStatsTable[[#This Row],[ProjectName]]),(ProjectInfoTable[ProjectName]=ContinuousStatsTable[[#This Row],[ProjectName]])*ProjectInfoTable[NumberOfReplications]))</f>
        <v>15</v>
      </c>
      <c r="O233" s="5">
        <f t="array" ref="O233">IFERROR(AVERAGE(IF((ContinuousStatsTable[GroupByKey]=ContinuousStatsTable[[#This Row],[GroupByKey]]),(ContinuousStatsTable[GroupByKey]=ContinuousStatsTable[[#This Row],[GroupByKey]])*ContinuousStatsTable[Average])),0)</f>
        <v>0</v>
      </c>
      <c r="P233" s="5">
        <f t="array" ref="P233">IFERROR(_xlfn.STDEV.S(IF((ContinuousStatsTable[GroupByKey]=ContinuousStatsTable[[#This Row],[GroupByKey]]),(ContinuousStatsTable[GroupByKey]=ContinuousStatsTable[[#This Row],[GroupByKey]])*ContinuousStatsTable[Average])),0)</f>
        <v>0</v>
      </c>
      <c r="Q233" s="5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3" s="5">
        <f t="array" ref="S233">MIN(IF((ContinuousStatsTable[GroupByKey]=ContinuousStatsTable[[#This Row],[GroupByKey]]),(ContinuousStatsTable[GroupByKey]=ContinuousStatsTable[[#This Row],[GroupByKey]])*ContinuousStatsTable[Average]))</f>
        <v>0</v>
      </c>
      <c r="T233" s="5">
        <f t="array" ref="T233">MAX(IF((ContinuousStatsTable[GroupByKey]=ContinuousStatsTable[[#This Row],[GroupByKey]]),(ContinuousStatsTable[GroupByKey]=ContinuousStatsTable[[#This Row],[GroupByKey]])*ContinuousStatsTable[Average]))</f>
        <v>0</v>
      </c>
      <c r="U233" s="5">
        <f>IF((ContinuousStatsTable[[#This Row],[RepsRequested]]&gt;1),ContinuousStatsTable[[#This Row],[HalfWidth]],ContinuousStatsTable[[#This Row],[BatchMeansHalfWidth]])</f>
        <v>0</v>
      </c>
    </row>
    <row r="234" spans="1:21" x14ac:dyDescent="0.25">
      <c r="A234" t="s">
        <v>67</v>
      </c>
      <c r="B234" t="s">
        <v>70</v>
      </c>
      <c r="C234">
        <v>6</v>
      </c>
      <c r="D234" t="s">
        <v>71</v>
      </c>
      <c r="E234" t="s">
        <v>75</v>
      </c>
      <c r="F234" t="s">
        <v>73</v>
      </c>
      <c r="G234">
        <v>1.5830343829462901</v>
      </c>
      <c r="H234">
        <v>3E+20</v>
      </c>
      <c r="I234">
        <v>1</v>
      </c>
      <c r="J234">
        <v>2</v>
      </c>
      <c r="K234">
        <v>2</v>
      </c>
      <c r="L234">
        <v>0</v>
      </c>
      <c r="M234" s="5" t="str">
        <f>ContinuousStatsTable[[#This Row],[ProjectName]]&amp;ContinuousStatsTable[[#This Row],[Name]]&amp;ContinuousStatsTable[[#This Row],[Type]]&amp;ContinuousStatsTable[[#This Row],[Source]]</f>
        <v>Unnamed ProjectassemblerNumber ScheduledResource</v>
      </c>
      <c r="N234" s="5">
        <f t="array" ref="N234">MAX(IF((ProjectInfoTable[ProjectName]=ContinuousStatsTable[[#This Row],[ProjectName]]),(ProjectInfoTable[ProjectName]=ContinuousStatsTable[[#This Row],[ProjectName]])*ProjectInfoTable[NumberOfReplications]))</f>
        <v>15</v>
      </c>
      <c r="O234" s="5">
        <f t="array" ref="O234">IFERROR(AVERAGE(IF((ContinuousStatsTable[GroupByKey]=ContinuousStatsTable[[#This Row],[GroupByKey]]),(ContinuousStatsTable[GroupByKey]=ContinuousStatsTable[[#This Row],[GroupByKey]])*ContinuousStatsTable[Average])),0)</f>
        <v>1.5333142680768803</v>
      </c>
      <c r="P234" s="5">
        <f t="array" ref="P234">IFERROR(_xlfn.STDEV.S(IF((ContinuousStatsTable[GroupByKey]=ContinuousStatsTable[[#This Row],[GroupByKey]]),(ContinuousStatsTable[GroupByKey]=ContinuousStatsTable[[#This Row],[GroupByKey]])*ContinuousStatsTable[Average])),0)</f>
        <v>0.24151891999367611</v>
      </c>
      <c r="Q234" s="5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0.13374871983117992</v>
      </c>
      <c r="S234" s="5">
        <f t="array" ref="S234">MIN(IF((ContinuousStatsTable[GroupByKey]=ContinuousStatsTable[[#This Row],[GroupByKey]]),(ContinuousStatsTable[GroupByKey]=ContinuousStatsTable[[#This Row],[GroupByKey]])*ContinuousStatsTable[Average]))</f>
        <v>1</v>
      </c>
      <c r="T234" s="5">
        <f t="array" ref="T234">MAX(IF((ContinuousStatsTable[GroupByKey]=ContinuousStatsTable[[#This Row],[GroupByKey]]),(ContinuousStatsTable[GroupByKey]=ContinuousStatsTable[[#This Row],[GroupByKey]])*ContinuousStatsTable[Average]))</f>
        <v>2</v>
      </c>
      <c r="U234" s="5">
        <f>IF((ContinuousStatsTable[[#This Row],[RepsRequested]]&gt;1),ContinuousStatsTable[[#This Row],[HalfWidth]],ContinuousStatsTable[[#This Row],[BatchMeansHalfWidth]])</f>
        <v>0.13374871983117992</v>
      </c>
    </row>
    <row r="235" spans="1:21" x14ac:dyDescent="0.25">
      <c r="A235" t="s">
        <v>67</v>
      </c>
      <c r="B235" t="s">
        <v>70</v>
      </c>
      <c r="C235">
        <v>6</v>
      </c>
      <c r="D235" t="s">
        <v>76</v>
      </c>
      <c r="E235" t="s">
        <v>72</v>
      </c>
      <c r="F235" t="s">
        <v>73</v>
      </c>
      <c r="G235">
        <v>0</v>
      </c>
      <c r="H235">
        <v>2E+20</v>
      </c>
      <c r="I235">
        <v>0</v>
      </c>
      <c r="J235">
        <v>0</v>
      </c>
      <c r="K235">
        <v>0</v>
      </c>
      <c r="L235">
        <v>0</v>
      </c>
      <c r="M235" s="5" t="str">
        <f>ContinuousStatsTable[[#This Row],[ProjectName]]&amp;ContinuousStatsTable[[#This Row],[Name]]&amp;ContinuousStatsTable[[#This Row],[Type]]&amp;ContinuousStatsTable[[#This Row],[Source]]</f>
        <v>Unnamed ProjectassemblyqcworkerInstantaneous UtilizationResource</v>
      </c>
      <c r="N235" s="5">
        <f t="array" ref="N235">MAX(IF((ProjectInfoTable[ProjectName]=ContinuousStatsTable[[#This Row],[ProjectName]]),(ProjectInfoTable[ProjectName]=ContinuousStatsTable[[#This Row],[ProjectName]])*ProjectInfoTable[NumberOfReplications]))</f>
        <v>15</v>
      </c>
      <c r="O235" s="5">
        <f t="array" ref="O235">IFERROR(AVERAGE(IF((ContinuousStatsTable[GroupByKey]=ContinuousStatsTable[[#This Row],[GroupByKey]]),(ContinuousStatsTable[GroupByKey]=ContinuousStatsTable[[#This Row],[GroupByKey]])*ContinuousStatsTable[Average])),0)</f>
        <v>0</v>
      </c>
      <c r="P235" s="5">
        <f t="array" ref="P235">IFERROR(_xlfn.STDEV.S(IF((ContinuousStatsTable[GroupByKey]=ContinuousStatsTable[[#This Row],[GroupByKey]]),(ContinuousStatsTable[GroupByKey]=ContinuousStatsTable[[#This Row],[GroupByKey]])*ContinuousStatsTable[Average])),0)</f>
        <v>0</v>
      </c>
      <c r="Q235" s="5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5" s="5">
        <f t="array" ref="S235">MIN(IF((ContinuousStatsTable[GroupByKey]=ContinuousStatsTable[[#This Row],[GroupByKey]]),(ContinuousStatsTable[GroupByKey]=ContinuousStatsTable[[#This Row],[GroupByKey]])*ContinuousStatsTable[Average]))</f>
        <v>0</v>
      </c>
      <c r="T235" s="5">
        <f t="array" ref="T235">MAX(IF((ContinuousStatsTable[GroupByKey]=ContinuousStatsTable[[#This Row],[GroupByKey]]),(ContinuousStatsTable[GroupByKey]=ContinuousStatsTable[[#This Row],[GroupByKey]])*ContinuousStatsTable[Average]))</f>
        <v>0</v>
      </c>
      <c r="U235" s="5">
        <f>IF((ContinuousStatsTable[[#This Row],[RepsRequested]]&gt;1),ContinuousStatsTable[[#This Row],[HalfWidth]],ContinuousStatsTable[[#This Row],[BatchMeansHalfWidth]])</f>
        <v>0</v>
      </c>
    </row>
    <row r="236" spans="1:21" x14ac:dyDescent="0.25">
      <c r="A236" t="s">
        <v>67</v>
      </c>
      <c r="B236" t="s">
        <v>70</v>
      </c>
      <c r="C236">
        <v>6</v>
      </c>
      <c r="D236" t="s">
        <v>76</v>
      </c>
      <c r="E236" t="s">
        <v>74</v>
      </c>
      <c r="F236" t="s">
        <v>73</v>
      </c>
      <c r="G236">
        <v>0</v>
      </c>
      <c r="H236">
        <v>2E+20</v>
      </c>
      <c r="I236">
        <v>0</v>
      </c>
      <c r="J236">
        <v>0</v>
      </c>
      <c r="K236">
        <v>0</v>
      </c>
      <c r="L236">
        <v>0</v>
      </c>
      <c r="M236" s="5" t="str">
        <f>ContinuousStatsTable[[#This Row],[ProjectName]]&amp;ContinuousStatsTable[[#This Row],[Name]]&amp;ContinuousStatsTable[[#This Row],[Type]]&amp;ContinuousStatsTable[[#This Row],[Source]]</f>
        <v>Unnamed ProjectassemblyqcworkerNumber BusyResource</v>
      </c>
      <c r="N236" s="5">
        <f t="array" ref="N236">MAX(IF((ProjectInfoTable[ProjectName]=ContinuousStatsTable[[#This Row],[ProjectName]]),(ProjectInfoTable[ProjectName]=ContinuousStatsTable[[#This Row],[ProjectName]])*ProjectInfoTable[NumberOfReplications]))</f>
        <v>15</v>
      </c>
      <c r="O236" s="5">
        <f t="array" ref="O236">IFERROR(AVERAGE(IF((ContinuousStatsTable[GroupByKey]=ContinuousStatsTable[[#This Row],[GroupByKey]]),(ContinuousStatsTable[GroupByKey]=ContinuousStatsTable[[#This Row],[GroupByKey]])*ContinuousStatsTable[Average])),0)</f>
        <v>0</v>
      </c>
      <c r="P236" s="5">
        <f t="array" ref="P236">IFERROR(_xlfn.STDEV.S(IF((ContinuousStatsTable[GroupByKey]=ContinuousStatsTable[[#This Row],[GroupByKey]]),(ContinuousStatsTable[GroupByKey]=ContinuousStatsTable[[#This Row],[GroupByKey]])*ContinuousStatsTable[Average])),0)</f>
        <v>0</v>
      </c>
      <c r="Q236" s="5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6" s="5">
        <f t="array" ref="S236">MIN(IF((ContinuousStatsTable[GroupByKey]=ContinuousStatsTable[[#This Row],[GroupByKey]]),(ContinuousStatsTable[GroupByKey]=ContinuousStatsTable[[#This Row],[GroupByKey]])*ContinuousStatsTable[Average]))</f>
        <v>0</v>
      </c>
      <c r="T236" s="5">
        <f t="array" ref="T236">MAX(IF((ContinuousStatsTable[GroupByKey]=ContinuousStatsTable[[#This Row],[GroupByKey]]),(ContinuousStatsTable[GroupByKey]=ContinuousStatsTable[[#This Row],[GroupByKey]])*ContinuousStatsTable[Average]))</f>
        <v>0</v>
      </c>
      <c r="U236" s="5">
        <f>IF((ContinuousStatsTable[[#This Row],[RepsRequested]]&gt;1),ContinuousStatsTable[[#This Row],[HalfWidth]],ContinuousStatsTable[[#This Row],[BatchMeansHalfWidth]])</f>
        <v>0</v>
      </c>
    </row>
    <row r="237" spans="1:21" x14ac:dyDescent="0.25">
      <c r="A237" t="s">
        <v>67</v>
      </c>
      <c r="B237" t="s">
        <v>70</v>
      </c>
      <c r="C237">
        <v>6</v>
      </c>
      <c r="D237" t="s">
        <v>76</v>
      </c>
      <c r="E237" t="s">
        <v>75</v>
      </c>
      <c r="F237" t="s">
        <v>73</v>
      </c>
      <c r="G237">
        <v>1.5834999999999999</v>
      </c>
      <c r="H237">
        <v>3E+20</v>
      </c>
      <c r="I237">
        <v>1</v>
      </c>
      <c r="J237">
        <v>2</v>
      </c>
      <c r="K237">
        <v>2</v>
      </c>
      <c r="L237">
        <v>0</v>
      </c>
      <c r="M237" s="5" t="str">
        <f>ContinuousStatsTable[[#This Row],[ProjectName]]&amp;ContinuousStatsTable[[#This Row],[Name]]&amp;ContinuousStatsTable[[#This Row],[Type]]&amp;ContinuousStatsTable[[#This Row],[Source]]</f>
        <v>Unnamed ProjectassemblyqcworkerNumber ScheduledResource</v>
      </c>
      <c r="N237" s="5">
        <f t="array" ref="N237">MAX(IF((ProjectInfoTable[ProjectName]=ContinuousStatsTable[[#This Row],[ProjectName]]),(ProjectInfoTable[ProjectName]=ContinuousStatsTable[[#This Row],[ProjectName]])*ProjectInfoTable[NumberOfReplications]))</f>
        <v>15</v>
      </c>
      <c r="O237" s="5">
        <f t="array" ref="O237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237" s="5">
        <f t="array" ref="P237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237" s="5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237" s="5">
        <f t="array" ref="S237">MIN(IF((ContinuousStatsTable[GroupByKey]=ContinuousStatsTable[[#This Row],[GroupByKey]]),(ContinuousStatsTable[GroupByKey]=ContinuousStatsTable[[#This Row],[GroupByKey]])*ContinuousStatsTable[Average]))</f>
        <v>1</v>
      </c>
      <c r="T237" s="5">
        <f t="array" ref="T237">MAX(IF((ContinuousStatsTable[GroupByKey]=ContinuousStatsTable[[#This Row],[GroupByKey]]),(ContinuousStatsTable[GroupByKey]=ContinuousStatsTable[[#This Row],[GroupByKey]])*ContinuousStatsTable[Average]))</f>
        <v>2</v>
      </c>
      <c r="U237" s="5">
        <f>IF((ContinuousStatsTable[[#This Row],[RepsRequested]]&gt;1),ContinuousStatsTable[[#This Row],[HalfWidth]],ContinuousStatsTable[[#This Row],[BatchMeansHalfWidth]])</f>
        <v>0.13376733135491528</v>
      </c>
    </row>
    <row r="238" spans="1:21" x14ac:dyDescent="0.25">
      <c r="A238" t="s">
        <v>67</v>
      </c>
      <c r="B238" t="s">
        <v>70</v>
      </c>
      <c r="C238">
        <v>6</v>
      </c>
      <c r="D238" t="s">
        <v>77</v>
      </c>
      <c r="E238" t="s">
        <v>78</v>
      </c>
      <c r="F238" t="s">
        <v>79</v>
      </c>
      <c r="G238">
        <v>0</v>
      </c>
      <c r="H238">
        <v>2E+20</v>
      </c>
      <c r="I238">
        <v>0</v>
      </c>
      <c r="J238">
        <v>0</v>
      </c>
      <c r="K238">
        <v>0</v>
      </c>
      <c r="L238">
        <v>0</v>
      </c>
      <c r="M238" s="5" t="str">
        <f>ContinuousStatsTable[[#This Row],[ProjectName]]&amp;ContinuousStatsTable[[#This Row],[Name]]&amp;ContinuousStatsTable[[#This Row],[Type]]&amp;ContinuousStatsTable[[#This Row],[Source]]</f>
        <v>Unnamed Projectbatched_partsWIPEntity</v>
      </c>
      <c r="N238" s="5">
        <f t="array" ref="N238">MAX(IF((ProjectInfoTable[ProjectName]=ContinuousStatsTable[[#This Row],[ProjectName]]),(ProjectInfoTable[ProjectName]=ContinuousStatsTable[[#This Row],[ProjectName]])*ProjectInfoTable[NumberOfReplications]))</f>
        <v>15</v>
      </c>
      <c r="O238" s="5">
        <f t="array" ref="O238">IFERROR(AVERAGE(IF((ContinuousStatsTable[GroupByKey]=ContinuousStatsTable[[#This Row],[GroupByKey]]),(ContinuousStatsTable[GroupByKey]=ContinuousStatsTable[[#This Row],[GroupByKey]])*ContinuousStatsTable[Average])),0)</f>
        <v>0</v>
      </c>
      <c r="P238" s="5">
        <f t="array" ref="P238">IFERROR(_xlfn.STDEV.S(IF((ContinuousStatsTable[GroupByKey]=ContinuousStatsTable[[#This Row],[GroupByKey]]),(ContinuousStatsTable[GroupByKey]=ContinuousStatsTable[[#This Row],[GroupByKey]])*ContinuousStatsTable[Average])),0)</f>
        <v>0</v>
      </c>
      <c r="Q238" s="5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8" s="5">
        <f t="array" ref="S238">MIN(IF((ContinuousStatsTable[GroupByKey]=ContinuousStatsTable[[#This Row],[GroupByKey]]),(ContinuousStatsTable[GroupByKey]=ContinuousStatsTable[[#This Row],[GroupByKey]])*ContinuousStatsTable[Average]))</f>
        <v>0</v>
      </c>
      <c r="T238" s="5">
        <f t="array" ref="T238">MAX(IF((ContinuousStatsTable[GroupByKey]=ContinuousStatsTable[[#This Row],[GroupByKey]]),(ContinuousStatsTable[GroupByKey]=ContinuousStatsTable[[#This Row],[GroupByKey]])*ContinuousStatsTable[Average]))</f>
        <v>0</v>
      </c>
      <c r="U238" s="5">
        <f>IF((ContinuousStatsTable[[#This Row],[RepsRequested]]&gt;1),ContinuousStatsTable[[#This Row],[HalfWidth]],ContinuousStatsTable[[#This Row],[BatchMeansHalfWidth]])</f>
        <v>0</v>
      </c>
    </row>
    <row r="239" spans="1:21" x14ac:dyDescent="0.25">
      <c r="A239" t="s">
        <v>67</v>
      </c>
      <c r="B239" t="s">
        <v>70</v>
      </c>
      <c r="C239">
        <v>6</v>
      </c>
      <c r="D239" t="s">
        <v>80</v>
      </c>
      <c r="E239" t="s">
        <v>72</v>
      </c>
      <c r="F239" t="s">
        <v>73</v>
      </c>
      <c r="G239">
        <v>0</v>
      </c>
      <c r="H239">
        <v>2E+20</v>
      </c>
      <c r="I239">
        <v>0</v>
      </c>
      <c r="J239">
        <v>0</v>
      </c>
      <c r="K239">
        <v>0</v>
      </c>
      <c r="L239">
        <v>0</v>
      </c>
      <c r="M239" s="5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239" s="5">
        <f t="array" ref="N239">MAX(IF((ProjectInfoTable[ProjectName]=ContinuousStatsTable[[#This Row],[ProjectName]]),(ProjectInfoTable[ProjectName]=ContinuousStatsTable[[#This Row],[ProjectName]])*ProjectInfoTable[NumberOfReplications]))</f>
        <v>15</v>
      </c>
      <c r="O239" s="5">
        <f t="array" ref="O239">IFERROR(AVERAGE(IF((ContinuousStatsTable[GroupByKey]=ContinuousStatsTable[[#This Row],[GroupByKey]]),(ContinuousStatsTable[GroupByKey]=ContinuousStatsTable[[#This Row],[GroupByKey]])*ContinuousStatsTable[Average])),0)</f>
        <v>0</v>
      </c>
      <c r="P239" s="5">
        <f t="array" ref="P239">IFERROR(_xlfn.STDEV.S(IF((ContinuousStatsTable[GroupByKey]=ContinuousStatsTable[[#This Row],[GroupByKey]]),(ContinuousStatsTable[GroupByKey]=ContinuousStatsTable[[#This Row],[GroupByKey]])*ContinuousStatsTable[Average])),0)</f>
        <v>0</v>
      </c>
      <c r="Q239" s="5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9" s="5">
        <f t="array" ref="S239">MIN(IF((ContinuousStatsTable[GroupByKey]=ContinuousStatsTable[[#This Row],[GroupByKey]]),(ContinuousStatsTable[GroupByKey]=ContinuousStatsTable[[#This Row],[GroupByKey]])*ContinuousStatsTable[Average]))</f>
        <v>0</v>
      </c>
      <c r="T239" s="5">
        <f t="array" ref="T239">MAX(IF((ContinuousStatsTable[GroupByKey]=ContinuousStatsTable[[#This Row],[GroupByKey]]),(ContinuousStatsTable[GroupByKey]=ContinuousStatsTable[[#This Row],[GroupByKey]])*ContinuousStatsTable[Average]))</f>
        <v>0</v>
      </c>
      <c r="U239" s="5">
        <f>IF((ContinuousStatsTable[[#This Row],[RepsRequested]]&gt;1),ContinuousStatsTable[[#This Row],[HalfWidth]],ContinuousStatsTable[[#This Row],[BatchMeansHalfWidth]])</f>
        <v>0</v>
      </c>
    </row>
    <row r="240" spans="1:21" x14ac:dyDescent="0.25">
      <c r="A240" t="s">
        <v>67</v>
      </c>
      <c r="B240" t="s">
        <v>70</v>
      </c>
      <c r="C240">
        <v>6</v>
      </c>
      <c r="D240" t="s">
        <v>80</v>
      </c>
      <c r="E240" t="s">
        <v>74</v>
      </c>
      <c r="F240" t="s">
        <v>73</v>
      </c>
      <c r="G240">
        <v>0</v>
      </c>
      <c r="H240">
        <v>2E+20</v>
      </c>
      <c r="I240">
        <v>0</v>
      </c>
      <c r="J240">
        <v>0</v>
      </c>
      <c r="K240">
        <v>0</v>
      </c>
      <c r="L240">
        <v>0</v>
      </c>
      <c r="M240" s="5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240" s="5">
        <f t="array" ref="N240">MAX(IF((ProjectInfoTable[ProjectName]=ContinuousStatsTable[[#This Row],[ProjectName]]),(ProjectInfoTable[ProjectName]=ContinuousStatsTable[[#This Row],[ProjectName]])*ProjectInfoTable[NumberOfReplications]))</f>
        <v>15</v>
      </c>
      <c r="O240" s="5">
        <f t="array" ref="O240">IFERROR(AVERAGE(IF((ContinuousStatsTable[GroupByKey]=ContinuousStatsTable[[#This Row],[GroupByKey]]),(ContinuousStatsTable[GroupByKey]=ContinuousStatsTable[[#This Row],[GroupByKey]])*ContinuousStatsTable[Average])),0)</f>
        <v>0</v>
      </c>
      <c r="P240" s="5">
        <f t="array" ref="P240">IFERROR(_xlfn.STDEV.S(IF((ContinuousStatsTable[GroupByKey]=ContinuousStatsTable[[#This Row],[GroupByKey]]),(ContinuousStatsTable[GroupByKey]=ContinuousStatsTable[[#This Row],[GroupByKey]])*ContinuousStatsTable[Average])),0)</f>
        <v>0</v>
      </c>
      <c r="Q240" s="5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0" s="5">
        <f t="array" ref="S240">MIN(IF((ContinuousStatsTable[GroupByKey]=ContinuousStatsTable[[#This Row],[GroupByKey]]),(ContinuousStatsTable[GroupByKey]=ContinuousStatsTable[[#This Row],[GroupByKey]])*ContinuousStatsTable[Average]))</f>
        <v>0</v>
      </c>
      <c r="T240" s="5">
        <f t="array" ref="T240">MAX(IF((ContinuousStatsTable[GroupByKey]=ContinuousStatsTable[[#This Row],[GroupByKey]]),(ContinuousStatsTable[GroupByKey]=ContinuousStatsTable[[#This Row],[GroupByKey]])*ContinuousStatsTable[Average]))</f>
        <v>0</v>
      </c>
      <c r="U240" s="5">
        <f>IF((ContinuousStatsTable[[#This Row],[RepsRequested]]&gt;1),ContinuousStatsTable[[#This Row],[HalfWidth]],ContinuousStatsTable[[#This Row],[BatchMeansHalfWidth]])</f>
        <v>0</v>
      </c>
    </row>
    <row r="241" spans="1:21" x14ac:dyDescent="0.25">
      <c r="A241" t="s">
        <v>67</v>
      </c>
      <c r="B241" t="s">
        <v>70</v>
      </c>
      <c r="C241">
        <v>6</v>
      </c>
      <c r="D241" t="s">
        <v>80</v>
      </c>
      <c r="E241" t="s">
        <v>75</v>
      </c>
      <c r="F241" t="s">
        <v>73</v>
      </c>
      <c r="G241">
        <v>1.58345576199227</v>
      </c>
      <c r="H241">
        <v>3E+20</v>
      </c>
      <c r="I241">
        <v>1</v>
      </c>
      <c r="J241">
        <v>2</v>
      </c>
      <c r="K241">
        <v>2</v>
      </c>
      <c r="L241">
        <v>0</v>
      </c>
      <c r="M241" s="5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241" s="5">
        <f t="array" ref="N241">MAX(IF((ProjectInfoTable[ProjectName]=ContinuousStatsTable[[#This Row],[ProjectName]]),(ProjectInfoTable[ProjectName]=ContinuousStatsTable[[#This Row],[ProjectName]])*ProjectInfoTable[NumberOfReplications]))</f>
        <v>15</v>
      </c>
      <c r="O241" s="5">
        <f t="array" ref="O241">IFERROR(AVERAGE(IF((ContinuousStatsTable[GroupByKey]=ContinuousStatsTable[[#This Row],[GroupByKey]]),(ContinuousStatsTable[GroupByKey]=ContinuousStatsTable[[#This Row],[GroupByKey]])*ContinuousStatsTable[Average])),0)</f>
        <v>1.5334471868881776</v>
      </c>
      <c r="P241" s="5">
        <f t="array" ref="P241">IFERROR(_xlfn.STDEV.S(IF((ContinuousStatsTable[GroupByKey]=ContinuousStatsTable[[#This Row],[GroupByKey]]),(ContinuousStatsTable[GroupByKey]=ContinuousStatsTable[[#This Row],[GroupByKey]])*ContinuousStatsTable[Average])),0)</f>
        <v>0.24154821158553658</v>
      </c>
      <c r="Q241" s="5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0.13376494097407529</v>
      </c>
      <c r="S241" s="5">
        <f t="array" ref="S241">MIN(IF((ContinuousStatsTable[GroupByKey]=ContinuousStatsTable[[#This Row],[GroupByKey]]),(ContinuousStatsTable[GroupByKey]=ContinuousStatsTable[[#This Row],[GroupByKey]])*ContinuousStatsTable[Average]))</f>
        <v>1</v>
      </c>
      <c r="T241" s="5">
        <f t="array" ref="T241">MAX(IF((ContinuousStatsTable[GroupByKey]=ContinuousStatsTable[[#This Row],[GroupByKey]]),(ContinuousStatsTable[GroupByKey]=ContinuousStatsTable[[#This Row],[GroupByKey]])*ContinuousStatsTable[Average]))</f>
        <v>2</v>
      </c>
      <c r="U241" s="5">
        <f>IF((ContinuousStatsTable[[#This Row],[RepsRequested]]&gt;1),ContinuousStatsTable[[#This Row],[HalfWidth]],ContinuousStatsTable[[#This Row],[BatchMeansHalfWidth]])</f>
        <v>0.13376494097407529</v>
      </c>
    </row>
    <row r="242" spans="1:21" x14ac:dyDescent="0.25">
      <c r="A242" t="s">
        <v>67</v>
      </c>
      <c r="B242" t="s">
        <v>70</v>
      </c>
      <c r="C242">
        <v>6</v>
      </c>
      <c r="D242" t="s">
        <v>81</v>
      </c>
      <c r="E242" t="s">
        <v>72</v>
      </c>
      <c r="F242" t="s">
        <v>73</v>
      </c>
      <c r="G242">
        <v>0</v>
      </c>
      <c r="H242">
        <v>2E+20</v>
      </c>
      <c r="I242">
        <v>0</v>
      </c>
      <c r="J242">
        <v>0</v>
      </c>
      <c r="K242">
        <v>0</v>
      </c>
      <c r="L242">
        <v>0</v>
      </c>
      <c r="M242" s="5" t="str">
        <f>ContinuousStatsTable[[#This Row],[ProjectName]]&amp;ContinuousStatsTable[[#This Row],[Name]]&amp;ContinuousStatsTable[[#This Row],[Type]]&amp;ContinuousStatsTable[[#This Row],[Source]]</f>
        <v>Unnamed ProjectcutterInstantaneous UtilizationResource</v>
      </c>
      <c r="N242" s="5">
        <f t="array" ref="N242">MAX(IF((ProjectInfoTable[ProjectName]=ContinuousStatsTable[[#This Row],[ProjectName]]),(ProjectInfoTable[ProjectName]=ContinuousStatsTable[[#This Row],[ProjectName]])*ProjectInfoTable[NumberOfReplications]))</f>
        <v>15</v>
      </c>
      <c r="O242" s="5">
        <f t="array" ref="O242">IFERROR(AVERAGE(IF((ContinuousStatsTable[GroupByKey]=ContinuousStatsTable[[#This Row],[GroupByKey]]),(ContinuousStatsTable[GroupByKey]=ContinuousStatsTable[[#This Row],[GroupByKey]])*ContinuousStatsTable[Average])),0)</f>
        <v>0</v>
      </c>
      <c r="P242" s="5">
        <f t="array" ref="P242">IFERROR(_xlfn.STDEV.S(IF((ContinuousStatsTable[GroupByKey]=ContinuousStatsTable[[#This Row],[GroupByKey]]),(ContinuousStatsTable[GroupByKey]=ContinuousStatsTable[[#This Row],[GroupByKey]])*ContinuousStatsTable[Average])),0)</f>
        <v>0</v>
      </c>
      <c r="Q242" s="5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2" s="5">
        <f t="array" ref="S242">MIN(IF((ContinuousStatsTable[GroupByKey]=ContinuousStatsTable[[#This Row],[GroupByKey]]),(ContinuousStatsTable[GroupByKey]=ContinuousStatsTable[[#This Row],[GroupByKey]])*ContinuousStatsTable[Average]))</f>
        <v>0</v>
      </c>
      <c r="T242" s="5">
        <f t="array" ref="T242">MAX(IF((ContinuousStatsTable[GroupByKey]=ContinuousStatsTable[[#This Row],[GroupByKey]]),(ContinuousStatsTable[GroupByKey]=ContinuousStatsTable[[#This Row],[GroupByKey]])*ContinuousStatsTable[Average]))</f>
        <v>0</v>
      </c>
      <c r="U242" s="5">
        <f>IF((ContinuousStatsTable[[#This Row],[RepsRequested]]&gt;1),ContinuousStatsTable[[#This Row],[HalfWidth]],ContinuousStatsTable[[#This Row],[BatchMeansHalfWidth]])</f>
        <v>0</v>
      </c>
    </row>
    <row r="243" spans="1:21" x14ac:dyDescent="0.25">
      <c r="A243" t="s">
        <v>67</v>
      </c>
      <c r="B243" t="s">
        <v>70</v>
      </c>
      <c r="C243">
        <v>6</v>
      </c>
      <c r="D243" t="s">
        <v>81</v>
      </c>
      <c r="E243" t="s">
        <v>74</v>
      </c>
      <c r="F243" t="s">
        <v>73</v>
      </c>
      <c r="G243">
        <v>0</v>
      </c>
      <c r="H243">
        <v>2E+20</v>
      </c>
      <c r="I243">
        <v>0</v>
      </c>
      <c r="J243">
        <v>0</v>
      </c>
      <c r="K243">
        <v>0</v>
      </c>
      <c r="L243">
        <v>0</v>
      </c>
      <c r="M243" s="5" t="str">
        <f>ContinuousStatsTable[[#This Row],[ProjectName]]&amp;ContinuousStatsTable[[#This Row],[Name]]&amp;ContinuousStatsTable[[#This Row],[Type]]&amp;ContinuousStatsTable[[#This Row],[Source]]</f>
        <v>Unnamed ProjectcutterNumber BusyResource</v>
      </c>
      <c r="N243" s="5">
        <f t="array" ref="N243">MAX(IF((ProjectInfoTable[ProjectName]=ContinuousStatsTable[[#This Row],[ProjectName]]),(ProjectInfoTable[ProjectName]=ContinuousStatsTable[[#This Row],[ProjectName]])*ProjectInfoTable[NumberOfReplications]))</f>
        <v>15</v>
      </c>
      <c r="O243" s="5">
        <f t="array" ref="O243">IFERROR(AVERAGE(IF((ContinuousStatsTable[GroupByKey]=ContinuousStatsTable[[#This Row],[GroupByKey]]),(ContinuousStatsTable[GroupByKey]=ContinuousStatsTable[[#This Row],[GroupByKey]])*ContinuousStatsTable[Average])),0)</f>
        <v>0</v>
      </c>
      <c r="P243" s="5">
        <f t="array" ref="P243">IFERROR(_xlfn.STDEV.S(IF((ContinuousStatsTable[GroupByKey]=ContinuousStatsTable[[#This Row],[GroupByKey]]),(ContinuousStatsTable[GroupByKey]=ContinuousStatsTable[[#This Row],[GroupByKey]])*ContinuousStatsTable[Average])),0)</f>
        <v>0</v>
      </c>
      <c r="Q243" s="5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3" s="5">
        <f t="array" ref="S243">MIN(IF((ContinuousStatsTable[GroupByKey]=ContinuousStatsTable[[#This Row],[GroupByKey]]),(ContinuousStatsTable[GroupByKey]=ContinuousStatsTable[[#This Row],[GroupByKey]])*ContinuousStatsTable[Average]))</f>
        <v>0</v>
      </c>
      <c r="T243" s="5">
        <f t="array" ref="T243">MAX(IF((ContinuousStatsTable[GroupByKey]=ContinuousStatsTable[[#This Row],[GroupByKey]]),(ContinuousStatsTable[GroupByKey]=ContinuousStatsTable[[#This Row],[GroupByKey]])*ContinuousStatsTable[Average]))</f>
        <v>0</v>
      </c>
      <c r="U243" s="5">
        <f>IF((ContinuousStatsTable[[#This Row],[RepsRequested]]&gt;1),ContinuousStatsTable[[#This Row],[HalfWidth]],ContinuousStatsTable[[#This Row],[BatchMeansHalfWidth]])</f>
        <v>0</v>
      </c>
    </row>
    <row r="244" spans="1:21" x14ac:dyDescent="0.25">
      <c r="A244" t="s">
        <v>67</v>
      </c>
      <c r="B244" t="s">
        <v>70</v>
      </c>
      <c r="C244">
        <v>6</v>
      </c>
      <c r="D244" t="s">
        <v>81</v>
      </c>
      <c r="E244" t="s">
        <v>75</v>
      </c>
      <c r="F244" t="s">
        <v>73</v>
      </c>
      <c r="G244">
        <v>1.58325</v>
      </c>
      <c r="H244">
        <v>3E+20</v>
      </c>
      <c r="I244">
        <v>1</v>
      </c>
      <c r="J244">
        <v>2</v>
      </c>
      <c r="K244">
        <v>2</v>
      </c>
      <c r="L244">
        <v>0</v>
      </c>
      <c r="M244" s="5" t="str">
        <f>ContinuousStatsTable[[#This Row],[ProjectName]]&amp;ContinuousStatsTable[[#This Row],[Name]]&amp;ContinuousStatsTable[[#This Row],[Type]]&amp;ContinuousStatsTable[[#This Row],[Source]]</f>
        <v>Unnamed ProjectcutterNumber ScheduledResource</v>
      </c>
      <c r="N244" s="5">
        <f t="array" ref="N244">MAX(IF((ProjectInfoTable[ProjectName]=ContinuousStatsTable[[#This Row],[ProjectName]]),(ProjectInfoTable[ProjectName]=ContinuousStatsTable[[#This Row],[ProjectName]])*ProjectInfoTable[NumberOfReplications]))</f>
        <v>15</v>
      </c>
      <c r="O244" s="5">
        <f t="array" ref="O244">IFERROR(AVERAGE(IF((ContinuousStatsTable[GroupByKey]=ContinuousStatsTable[[#This Row],[GroupByKey]]),(ContinuousStatsTable[GroupByKey]=ContinuousStatsTable[[#This Row],[GroupByKey]])*ContinuousStatsTable[Average])),0)</f>
        <v>1.5332999999999999</v>
      </c>
      <c r="P244" s="5">
        <f t="array" ref="P244">IFERROR(_xlfn.STDEV.S(IF((ContinuousStatsTable[GroupByKey]=ContinuousStatsTable[[#This Row],[GroupByKey]]),(ContinuousStatsTable[GroupByKey]=ContinuousStatsTable[[#This Row],[GroupByKey]])*ContinuousStatsTable[Average])),0)</f>
        <v>0.24151556349584294</v>
      </c>
      <c r="Q244" s="5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0.1337468610646356</v>
      </c>
      <c r="S244" s="5">
        <f t="array" ref="S244">MIN(IF((ContinuousStatsTable[GroupByKey]=ContinuousStatsTable[[#This Row],[GroupByKey]]),(ContinuousStatsTable[GroupByKey]=ContinuousStatsTable[[#This Row],[GroupByKey]])*ContinuousStatsTable[Average]))</f>
        <v>1</v>
      </c>
      <c r="T244" s="5">
        <f t="array" ref="T244">MAX(IF((ContinuousStatsTable[GroupByKey]=ContinuousStatsTable[[#This Row],[GroupByKey]]),(ContinuousStatsTable[GroupByKey]=ContinuousStatsTable[[#This Row],[GroupByKey]])*ContinuousStatsTable[Average]))</f>
        <v>2</v>
      </c>
      <c r="U244" s="5">
        <f>IF((ContinuousStatsTable[[#This Row],[RepsRequested]]&gt;1),ContinuousStatsTable[[#This Row],[HalfWidth]],ContinuousStatsTable[[#This Row],[BatchMeansHalfWidth]])</f>
        <v>0.1337468610646356</v>
      </c>
    </row>
    <row r="245" spans="1:21" x14ac:dyDescent="0.25">
      <c r="A245" t="s">
        <v>67</v>
      </c>
      <c r="B245" t="s">
        <v>70</v>
      </c>
      <c r="C245">
        <v>6</v>
      </c>
      <c r="D245" t="s">
        <v>82</v>
      </c>
      <c r="E245" t="s">
        <v>72</v>
      </c>
      <c r="F245" t="s">
        <v>73</v>
      </c>
      <c r="G245">
        <v>0</v>
      </c>
      <c r="H245">
        <v>2E+20</v>
      </c>
      <c r="I245">
        <v>0</v>
      </c>
      <c r="J245">
        <v>0</v>
      </c>
      <c r="K245">
        <v>0</v>
      </c>
      <c r="L245">
        <v>0</v>
      </c>
      <c r="M245" s="5" t="str">
        <f>ContinuousStatsTable[[#This Row],[ProjectName]]&amp;ContinuousStatsTable[[#This Row],[Name]]&amp;ContinuousStatsTable[[#This Row],[Type]]&amp;ContinuousStatsTable[[#This Row],[Source]]</f>
        <v>Unnamed ProjectfinalqcmanInstantaneous UtilizationResource</v>
      </c>
      <c r="N245" s="5">
        <f t="array" ref="N245">MAX(IF((ProjectInfoTable[ProjectName]=ContinuousStatsTable[[#This Row],[ProjectName]]),(ProjectInfoTable[ProjectName]=ContinuousStatsTable[[#This Row],[ProjectName]])*ProjectInfoTable[NumberOfReplications]))</f>
        <v>15</v>
      </c>
      <c r="O245" s="5">
        <f t="array" ref="O245">IFERROR(AVERAGE(IF((ContinuousStatsTable[GroupByKey]=ContinuousStatsTable[[#This Row],[GroupByKey]]),(ContinuousStatsTable[GroupByKey]=ContinuousStatsTable[[#This Row],[GroupByKey]])*ContinuousStatsTable[Average])),0)</f>
        <v>0</v>
      </c>
      <c r="P245" s="5">
        <f t="array" ref="P245">IFERROR(_xlfn.STDEV.S(IF((ContinuousStatsTable[GroupByKey]=ContinuousStatsTable[[#This Row],[GroupByKey]]),(ContinuousStatsTable[GroupByKey]=ContinuousStatsTable[[#This Row],[GroupByKey]])*ContinuousStatsTable[Average])),0)</f>
        <v>0</v>
      </c>
      <c r="Q245" s="5">
        <f t="array" ref="Q245">MAX(IF((ProjectInfoTable[ProjectName]=ContinuousStatsTable[[#This Row],[ProjectName]]),(ProjectInfoTable[ProjectName]=ContinuousStatsTable[[#This Row],[ProjectName]])*ProjectInfoTable[ConfidenceInterval]))</f>
        <v>0.95</v>
      </c>
      <c r="R2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5" s="5">
        <f t="array" ref="S245">MIN(IF((ContinuousStatsTable[GroupByKey]=ContinuousStatsTable[[#This Row],[GroupByKey]]),(ContinuousStatsTable[GroupByKey]=ContinuousStatsTable[[#This Row],[GroupByKey]])*ContinuousStatsTable[Average]))</f>
        <v>0</v>
      </c>
      <c r="T245" s="5">
        <f t="array" ref="T245">MAX(IF((ContinuousStatsTable[GroupByKey]=ContinuousStatsTable[[#This Row],[GroupByKey]]),(ContinuousStatsTable[GroupByKey]=ContinuousStatsTable[[#This Row],[GroupByKey]])*ContinuousStatsTable[Average]))</f>
        <v>0</v>
      </c>
      <c r="U245" s="5">
        <f>IF((ContinuousStatsTable[[#This Row],[RepsRequested]]&gt;1),ContinuousStatsTable[[#This Row],[HalfWidth]],ContinuousStatsTable[[#This Row],[BatchMeansHalfWidth]])</f>
        <v>0</v>
      </c>
    </row>
    <row r="246" spans="1:21" x14ac:dyDescent="0.25">
      <c r="A246" t="s">
        <v>67</v>
      </c>
      <c r="B246" t="s">
        <v>70</v>
      </c>
      <c r="C246">
        <v>6</v>
      </c>
      <c r="D246" t="s">
        <v>82</v>
      </c>
      <c r="E246" t="s">
        <v>74</v>
      </c>
      <c r="F246" t="s">
        <v>73</v>
      </c>
      <c r="G246">
        <v>0</v>
      </c>
      <c r="H246">
        <v>2E+20</v>
      </c>
      <c r="I246">
        <v>0</v>
      </c>
      <c r="J246">
        <v>0</v>
      </c>
      <c r="K246">
        <v>0</v>
      </c>
      <c r="L246">
        <v>0</v>
      </c>
      <c r="M246" s="5" t="str">
        <f>ContinuousStatsTable[[#This Row],[ProjectName]]&amp;ContinuousStatsTable[[#This Row],[Name]]&amp;ContinuousStatsTable[[#This Row],[Type]]&amp;ContinuousStatsTable[[#This Row],[Source]]</f>
        <v>Unnamed ProjectfinalqcmanNumber BusyResource</v>
      </c>
      <c r="N246" s="5">
        <f t="array" ref="N246">MAX(IF((ProjectInfoTable[ProjectName]=ContinuousStatsTable[[#This Row],[ProjectName]]),(ProjectInfoTable[ProjectName]=ContinuousStatsTable[[#This Row],[ProjectName]])*ProjectInfoTable[NumberOfReplications]))</f>
        <v>15</v>
      </c>
      <c r="O246" s="5">
        <f t="array" ref="O246">IFERROR(AVERAGE(IF((ContinuousStatsTable[GroupByKey]=ContinuousStatsTable[[#This Row],[GroupByKey]]),(ContinuousStatsTable[GroupByKey]=ContinuousStatsTable[[#This Row],[GroupByKey]])*ContinuousStatsTable[Average])),0)</f>
        <v>0</v>
      </c>
      <c r="P246" s="5">
        <f t="array" ref="P246">IFERROR(_xlfn.STDEV.S(IF((ContinuousStatsTable[GroupByKey]=ContinuousStatsTable[[#This Row],[GroupByKey]]),(ContinuousStatsTable[GroupByKey]=ContinuousStatsTable[[#This Row],[GroupByKey]])*ContinuousStatsTable[Average])),0)</f>
        <v>0</v>
      </c>
      <c r="Q246" s="5">
        <f t="array" ref="Q246">MAX(IF((ProjectInfoTable[ProjectName]=ContinuousStatsTable[[#This Row],[ProjectName]]),(ProjectInfoTable[ProjectName]=ContinuousStatsTable[[#This Row],[ProjectName]])*ProjectInfoTable[ConfidenceInterval]))</f>
        <v>0.95</v>
      </c>
      <c r="R2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6" s="5">
        <f t="array" ref="S246">MIN(IF((ContinuousStatsTable[GroupByKey]=ContinuousStatsTable[[#This Row],[GroupByKey]]),(ContinuousStatsTable[GroupByKey]=ContinuousStatsTable[[#This Row],[GroupByKey]])*ContinuousStatsTable[Average]))</f>
        <v>0</v>
      </c>
      <c r="T246" s="5">
        <f t="array" ref="T246">MAX(IF((ContinuousStatsTable[GroupByKey]=ContinuousStatsTable[[#This Row],[GroupByKey]]),(ContinuousStatsTable[GroupByKey]=ContinuousStatsTable[[#This Row],[GroupByKey]])*ContinuousStatsTable[Average]))</f>
        <v>0</v>
      </c>
      <c r="U246" s="5">
        <f>IF((ContinuousStatsTable[[#This Row],[RepsRequested]]&gt;1),ContinuousStatsTable[[#This Row],[HalfWidth]],ContinuousStatsTable[[#This Row],[BatchMeansHalfWidth]])</f>
        <v>0</v>
      </c>
    </row>
    <row r="247" spans="1:21" x14ac:dyDescent="0.25">
      <c r="A247" t="s">
        <v>67</v>
      </c>
      <c r="B247" t="s">
        <v>70</v>
      </c>
      <c r="C247">
        <v>6</v>
      </c>
      <c r="D247" t="s">
        <v>82</v>
      </c>
      <c r="E247" t="s">
        <v>75</v>
      </c>
      <c r="F247" t="s">
        <v>73</v>
      </c>
      <c r="G247">
        <v>1.5834999999999999</v>
      </c>
      <c r="H247">
        <v>3E+20</v>
      </c>
      <c r="I247">
        <v>1</v>
      </c>
      <c r="J247">
        <v>2</v>
      </c>
      <c r="K247">
        <v>2</v>
      </c>
      <c r="L247">
        <v>0</v>
      </c>
      <c r="M247" s="5" t="str">
        <f>ContinuousStatsTable[[#This Row],[ProjectName]]&amp;ContinuousStatsTable[[#This Row],[Name]]&amp;ContinuousStatsTable[[#This Row],[Type]]&amp;ContinuousStatsTable[[#This Row],[Source]]</f>
        <v>Unnamed ProjectfinalqcmanNumber ScheduledResource</v>
      </c>
      <c r="N247" s="5">
        <f t="array" ref="N247">MAX(IF((ProjectInfoTable[ProjectName]=ContinuousStatsTable[[#This Row],[ProjectName]]),(ProjectInfoTable[ProjectName]=ContinuousStatsTable[[#This Row],[ProjectName]])*ProjectInfoTable[NumberOfReplications]))</f>
        <v>15</v>
      </c>
      <c r="O247" s="5">
        <f t="array" ref="O247">IFERROR(AVERAGE(IF((ContinuousStatsTable[GroupByKey]=ContinuousStatsTable[[#This Row],[GroupByKey]]),(ContinuousStatsTable[GroupByKey]=ContinuousStatsTable[[#This Row],[GroupByKey]])*ContinuousStatsTable[Average])),0)</f>
        <v>1.5334510661643974</v>
      </c>
      <c r="P247" s="5">
        <f t="array" ref="P247">IFERROR(_xlfn.STDEV.S(IF((ContinuousStatsTable[GroupByKey]=ContinuousStatsTable[[#This Row],[GroupByKey]]),(ContinuousStatsTable[GroupByKey]=ContinuousStatsTable[[#This Row],[GroupByKey]])*ContinuousStatsTable[Average])),0)</f>
        <v>0.24154906725932371</v>
      </c>
      <c r="Q247" s="5">
        <f t="array" ref="Q247">MAX(IF((ProjectInfoTable[ProjectName]=ContinuousStatsTable[[#This Row],[ProjectName]]),(ProjectInfoTable[ProjectName]=ContinuousStatsTable[[#This Row],[ProjectName]])*ProjectInfoTable[ConfidenceInterval]))</f>
        <v>0.95</v>
      </c>
      <c r="R2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0.13376541483042423</v>
      </c>
      <c r="S247" s="5">
        <f t="array" ref="S247">MIN(IF((ContinuousStatsTable[GroupByKey]=ContinuousStatsTable[[#This Row],[GroupByKey]]),(ContinuousStatsTable[GroupByKey]=ContinuousStatsTable[[#This Row],[GroupByKey]])*ContinuousStatsTable[Average]))</f>
        <v>1</v>
      </c>
      <c r="T247" s="5">
        <f t="array" ref="T247">MAX(IF((ContinuousStatsTable[GroupByKey]=ContinuousStatsTable[[#This Row],[GroupByKey]]),(ContinuousStatsTable[GroupByKey]=ContinuousStatsTable[[#This Row],[GroupByKey]])*ContinuousStatsTable[Average]))</f>
        <v>2</v>
      </c>
      <c r="U247" s="5">
        <f>IF((ContinuousStatsTable[[#This Row],[RepsRequested]]&gt;1),ContinuousStatsTable[[#This Row],[HalfWidth]],ContinuousStatsTable[[#This Row],[BatchMeansHalfWidth]])</f>
        <v>0.13376541483042423</v>
      </c>
    </row>
    <row r="248" spans="1:21" x14ac:dyDescent="0.25">
      <c r="A248" t="s">
        <v>67</v>
      </c>
      <c r="B248" t="s">
        <v>70</v>
      </c>
      <c r="C248">
        <v>6</v>
      </c>
      <c r="D248" t="s">
        <v>83</v>
      </c>
      <c r="E248" t="s">
        <v>84</v>
      </c>
      <c r="F248" t="s">
        <v>85</v>
      </c>
      <c r="G248">
        <v>0</v>
      </c>
      <c r="H248">
        <v>2E+20</v>
      </c>
      <c r="I248">
        <v>0</v>
      </c>
      <c r="J248">
        <v>0</v>
      </c>
      <c r="K248">
        <v>0</v>
      </c>
      <c r="L248">
        <v>0</v>
      </c>
      <c r="M248" s="5" t="str">
        <f>ContinuousStatsTable[[#This Row],[ProjectName]]&amp;ContinuousStatsTable[[#This Row],[Name]]&amp;ContinuousStatsTable[[#This Row],[Type]]&amp;ContinuousStatsTable[[#This Row],[Source]]</f>
        <v>Unnamed Projectinspectorseize.QueueNumber WaitingQueue</v>
      </c>
      <c r="N248" s="5">
        <f t="array" ref="N248">MAX(IF((ProjectInfoTable[ProjectName]=ContinuousStatsTable[[#This Row],[ProjectName]]),(ProjectInfoTable[ProjectName]=ContinuousStatsTable[[#This Row],[ProjectName]])*ProjectInfoTable[NumberOfReplications]))</f>
        <v>15</v>
      </c>
      <c r="O248" s="5">
        <f t="array" ref="O248">IFERROR(AVERAGE(IF((ContinuousStatsTable[GroupByKey]=ContinuousStatsTable[[#This Row],[GroupByKey]]),(ContinuousStatsTable[GroupByKey]=ContinuousStatsTable[[#This Row],[GroupByKey]])*ContinuousStatsTable[Average])),0)</f>
        <v>0</v>
      </c>
      <c r="P248" s="5">
        <f t="array" ref="P248">IFERROR(_xlfn.STDEV.S(IF((ContinuousStatsTable[GroupByKey]=ContinuousStatsTable[[#This Row],[GroupByKey]]),(ContinuousStatsTable[GroupByKey]=ContinuousStatsTable[[#This Row],[GroupByKey]])*ContinuousStatsTable[Average])),0)</f>
        <v>0</v>
      </c>
      <c r="Q248" s="5">
        <f t="array" ref="Q248">MAX(IF((ProjectInfoTable[ProjectName]=ContinuousStatsTable[[#This Row],[ProjectName]]),(ProjectInfoTable[ProjectName]=ContinuousStatsTable[[#This Row],[ProjectName]])*ProjectInfoTable[ConfidenceInterval]))</f>
        <v>0.95</v>
      </c>
      <c r="R2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8" s="5">
        <f t="array" ref="S248">MIN(IF((ContinuousStatsTable[GroupByKey]=ContinuousStatsTable[[#This Row],[GroupByKey]]),(ContinuousStatsTable[GroupByKey]=ContinuousStatsTable[[#This Row],[GroupByKey]])*ContinuousStatsTable[Average]))</f>
        <v>0</v>
      </c>
      <c r="T248" s="5">
        <f t="array" ref="T248">MAX(IF((ContinuousStatsTable[GroupByKey]=ContinuousStatsTable[[#This Row],[GroupByKey]]),(ContinuousStatsTable[GroupByKey]=ContinuousStatsTable[[#This Row],[GroupByKey]])*ContinuousStatsTable[Average]))</f>
        <v>0</v>
      </c>
      <c r="U248" s="5">
        <f>IF((ContinuousStatsTable[[#This Row],[RepsRequested]]&gt;1),ContinuousStatsTable[[#This Row],[HalfWidth]],ContinuousStatsTable[[#This Row],[BatchMeansHalfWidth]])</f>
        <v>0</v>
      </c>
    </row>
    <row r="249" spans="1:21" x14ac:dyDescent="0.25">
      <c r="A249" t="s">
        <v>67</v>
      </c>
      <c r="B249" t="s">
        <v>70</v>
      </c>
      <c r="C249">
        <v>6</v>
      </c>
      <c r="D249" t="s">
        <v>86</v>
      </c>
      <c r="E249" t="s">
        <v>84</v>
      </c>
      <c r="F249" t="s">
        <v>85</v>
      </c>
      <c r="G249">
        <v>6</v>
      </c>
      <c r="H249">
        <v>2E+20</v>
      </c>
      <c r="I249">
        <v>6</v>
      </c>
      <c r="J249">
        <v>6</v>
      </c>
      <c r="K249">
        <v>6</v>
      </c>
      <c r="L249">
        <v>0</v>
      </c>
      <c r="M249" s="5" t="str">
        <f>ContinuousStatsTable[[#This Row],[ProjectName]]&amp;ContinuousStatsTable[[#This Row],[Name]]&amp;ContinuousStatsTable[[#This Row],[Type]]&amp;ContinuousStatsTable[[#This Row],[Source]]</f>
        <v>Unnamed Projectmatch_truckcombo.Queue1Number WaitingQueue</v>
      </c>
      <c r="N249" s="5">
        <f t="array" ref="N249">MAX(IF((ProjectInfoTable[ProjectName]=ContinuousStatsTable[[#This Row],[ProjectName]]),(ProjectInfoTable[ProjectName]=ContinuousStatsTable[[#This Row],[ProjectName]])*ProjectInfoTable[NumberOfReplications]))</f>
        <v>15</v>
      </c>
      <c r="O249" s="5">
        <f t="array" ref="O249">IFERROR(AVERAGE(IF((ContinuousStatsTable[GroupByKey]=ContinuousStatsTable[[#This Row],[GroupByKey]]),(ContinuousStatsTable[GroupByKey]=ContinuousStatsTable[[#This Row],[GroupByKey]])*ContinuousStatsTable[Average])),0)</f>
        <v>3.3333333333333335</v>
      </c>
      <c r="P249" s="5">
        <f t="array" ref="P249">IFERROR(_xlfn.STDEV.S(IF((ContinuousStatsTable[GroupByKey]=ContinuousStatsTable[[#This Row],[GroupByKey]]),(ContinuousStatsTable[GroupByKey]=ContinuousStatsTable[[#This Row],[GroupByKey]])*ContinuousStatsTable[Average])),0)</f>
        <v>4.577377082170635</v>
      </c>
      <c r="Q249" s="5">
        <f t="array" ref="Q249">MAX(IF((ProjectInfoTable[ProjectName]=ContinuousStatsTable[[#This Row],[ProjectName]]),(ProjectInfoTable[ProjectName]=ContinuousStatsTable[[#This Row],[ProjectName]])*ProjectInfoTable[ConfidenceInterval]))</f>
        <v>0.95</v>
      </c>
      <c r="R2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2.5348669368881507</v>
      </c>
      <c r="S249" s="5">
        <f t="array" ref="S249">MIN(IF((ContinuousStatsTable[GroupByKey]=ContinuousStatsTable[[#This Row],[GroupByKey]]),(ContinuousStatsTable[GroupByKey]=ContinuousStatsTable[[#This Row],[GroupByKey]])*ContinuousStatsTable[Average]))</f>
        <v>0</v>
      </c>
      <c r="T249" s="5">
        <f t="array" ref="T249">MAX(IF((ContinuousStatsTable[GroupByKey]=ContinuousStatsTable[[#This Row],[GroupByKey]]),(ContinuousStatsTable[GroupByKey]=ContinuousStatsTable[[#This Row],[GroupByKey]])*ContinuousStatsTable[Average]))</f>
        <v>12</v>
      </c>
      <c r="U249" s="5">
        <f>IF((ContinuousStatsTable[[#This Row],[RepsRequested]]&gt;1),ContinuousStatsTable[[#This Row],[HalfWidth]],ContinuousStatsTable[[#This Row],[BatchMeansHalfWidth]])</f>
        <v>2.5348669368881507</v>
      </c>
    </row>
    <row r="250" spans="1:21" x14ac:dyDescent="0.25">
      <c r="A250" t="s">
        <v>67</v>
      </c>
      <c r="B250" t="s">
        <v>70</v>
      </c>
      <c r="C250">
        <v>6</v>
      </c>
      <c r="D250" t="s">
        <v>87</v>
      </c>
      <c r="E250" t="s">
        <v>84</v>
      </c>
      <c r="F250" t="s">
        <v>85</v>
      </c>
      <c r="G250">
        <v>0</v>
      </c>
      <c r="H250">
        <v>2E+20</v>
      </c>
      <c r="I250">
        <v>0</v>
      </c>
      <c r="J250">
        <v>0</v>
      </c>
      <c r="K250">
        <v>0</v>
      </c>
      <c r="L250">
        <v>0</v>
      </c>
      <c r="M250" s="5" t="str">
        <f>ContinuousStatsTable[[#This Row],[ProjectName]]&amp;ContinuousStatsTable[[#This Row],[Name]]&amp;ContinuousStatsTable[[#This Row],[Type]]&amp;ContinuousStatsTable[[#This Row],[Source]]</f>
        <v>Unnamed Projectmatch_truckcombo.Queue2Number WaitingQueue</v>
      </c>
      <c r="N250" s="5">
        <f t="array" ref="N250">MAX(IF((ProjectInfoTable[ProjectName]=ContinuousStatsTable[[#This Row],[ProjectName]]),(ProjectInfoTable[ProjectName]=ContinuousStatsTable[[#This Row],[ProjectName]])*ProjectInfoTable[NumberOfReplications]))</f>
        <v>15</v>
      </c>
      <c r="O250" s="5">
        <f t="array" ref="O250">IFERROR(AVERAGE(IF((ContinuousStatsTable[GroupByKey]=ContinuousStatsTable[[#This Row],[GroupByKey]]),(ContinuousStatsTable[GroupByKey]=ContinuousStatsTable[[#This Row],[GroupByKey]])*ContinuousStatsTable[Average])),0)</f>
        <v>2.8</v>
      </c>
      <c r="P250" s="5">
        <f t="array" ref="P250">IFERROR(_xlfn.STDEV.S(IF((ContinuousStatsTable[GroupByKey]=ContinuousStatsTable[[#This Row],[GroupByKey]]),(ContinuousStatsTable[GroupByKey]=ContinuousStatsTable[[#This Row],[GroupByKey]])*ContinuousStatsTable[Average])),0)</f>
        <v>5.226307081896902</v>
      </c>
      <c r="Q250" s="5">
        <f t="array" ref="Q250">MAX(IF((ProjectInfoTable[ProjectName]=ContinuousStatsTable[[#This Row],[ProjectName]]),(ProjectInfoTable[ProjectName]=ContinuousStatsTable[[#This Row],[ProjectName]])*ProjectInfoTable[ConfidenceInterval]))</f>
        <v>0.95</v>
      </c>
      <c r="R2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2.8942323925042523</v>
      </c>
      <c r="S250" s="5">
        <f t="array" ref="S250">MIN(IF((ContinuousStatsTable[GroupByKey]=ContinuousStatsTable[[#This Row],[GroupByKey]]),(ContinuousStatsTable[GroupByKey]=ContinuousStatsTable[[#This Row],[GroupByKey]])*ContinuousStatsTable[Average]))</f>
        <v>0</v>
      </c>
      <c r="T250" s="5">
        <f t="array" ref="T250">MAX(IF((ContinuousStatsTable[GroupByKey]=ContinuousStatsTable[[#This Row],[GroupByKey]]),(ContinuousStatsTable[GroupByKey]=ContinuousStatsTable[[#This Row],[GroupByKey]])*ContinuousStatsTable[Average]))</f>
        <v>16</v>
      </c>
      <c r="U250" s="5">
        <f>IF((ContinuousStatsTable[[#This Row],[RepsRequested]]&gt;1),ContinuousStatsTable[[#This Row],[HalfWidth]],ContinuousStatsTable[[#This Row],[BatchMeansHalfWidth]])</f>
        <v>2.8942323925042523</v>
      </c>
    </row>
    <row r="251" spans="1:21" x14ac:dyDescent="0.25">
      <c r="A251" t="s">
        <v>67</v>
      </c>
      <c r="B251" t="s">
        <v>70</v>
      </c>
      <c r="C251">
        <v>6</v>
      </c>
      <c r="D251" t="s">
        <v>88</v>
      </c>
      <c r="E251" t="s">
        <v>72</v>
      </c>
      <c r="F251" t="s">
        <v>73</v>
      </c>
      <c r="G251">
        <v>0</v>
      </c>
      <c r="H251">
        <v>2E+20</v>
      </c>
      <c r="I251">
        <v>0</v>
      </c>
      <c r="J251">
        <v>0</v>
      </c>
      <c r="K251">
        <v>0</v>
      </c>
      <c r="L251">
        <v>0</v>
      </c>
      <c r="M251" s="5" t="str">
        <f>ContinuousStatsTable[[#This Row],[ProjectName]]&amp;ContinuousStatsTable[[#This Row],[Name]]&amp;ContinuousStatsTable[[#This Row],[Type]]&amp;ContinuousStatsTable[[#This Row],[Source]]</f>
        <v>Unnamed ProjectpaintingmachineInstantaneous UtilizationResource</v>
      </c>
      <c r="N251" s="5">
        <f t="array" ref="N251">MAX(IF((ProjectInfoTable[ProjectName]=ContinuousStatsTable[[#This Row],[ProjectName]]),(ProjectInfoTable[ProjectName]=ContinuousStatsTable[[#This Row],[ProjectName]])*ProjectInfoTable[NumberOfReplications]))</f>
        <v>15</v>
      </c>
      <c r="O251" s="5">
        <f t="array" ref="O251">IFERROR(AVERAGE(IF((ContinuousStatsTable[GroupByKey]=ContinuousStatsTable[[#This Row],[GroupByKey]]),(ContinuousStatsTable[GroupByKey]=ContinuousStatsTable[[#This Row],[GroupByKey]])*ContinuousStatsTable[Average])),0)</f>
        <v>0</v>
      </c>
      <c r="P251" s="5">
        <f t="array" ref="P251">IFERROR(_xlfn.STDEV.S(IF((ContinuousStatsTable[GroupByKey]=ContinuousStatsTable[[#This Row],[GroupByKey]]),(ContinuousStatsTable[GroupByKey]=ContinuousStatsTable[[#This Row],[GroupByKey]])*ContinuousStatsTable[Average])),0)</f>
        <v>0</v>
      </c>
      <c r="Q251" s="5">
        <f t="array" ref="Q251">MAX(IF((ProjectInfoTable[ProjectName]=ContinuousStatsTable[[#This Row],[ProjectName]]),(ProjectInfoTable[ProjectName]=ContinuousStatsTable[[#This Row],[ProjectName]])*ProjectInfoTable[ConfidenceInterval]))</f>
        <v>0.95</v>
      </c>
      <c r="R2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1" s="5">
        <f t="array" ref="S251">MIN(IF((ContinuousStatsTable[GroupByKey]=ContinuousStatsTable[[#This Row],[GroupByKey]]),(ContinuousStatsTable[GroupByKey]=ContinuousStatsTable[[#This Row],[GroupByKey]])*ContinuousStatsTable[Average]))</f>
        <v>0</v>
      </c>
      <c r="T251" s="5">
        <f t="array" ref="T251">MAX(IF((ContinuousStatsTable[GroupByKey]=ContinuousStatsTable[[#This Row],[GroupByKey]]),(ContinuousStatsTable[GroupByKey]=ContinuousStatsTable[[#This Row],[GroupByKey]])*ContinuousStatsTable[Average]))</f>
        <v>0</v>
      </c>
      <c r="U251" s="5">
        <f>IF((ContinuousStatsTable[[#This Row],[RepsRequested]]&gt;1),ContinuousStatsTable[[#This Row],[HalfWidth]],ContinuousStatsTable[[#This Row],[BatchMeansHalfWidth]])</f>
        <v>0</v>
      </c>
    </row>
    <row r="252" spans="1:21" x14ac:dyDescent="0.25">
      <c r="A252" t="s">
        <v>67</v>
      </c>
      <c r="B252" t="s">
        <v>70</v>
      </c>
      <c r="C252">
        <v>6</v>
      </c>
      <c r="D252" t="s">
        <v>88</v>
      </c>
      <c r="E252" t="s">
        <v>74</v>
      </c>
      <c r="F252" t="s">
        <v>73</v>
      </c>
      <c r="G252">
        <v>0</v>
      </c>
      <c r="H252">
        <v>2E+20</v>
      </c>
      <c r="I252">
        <v>0</v>
      </c>
      <c r="J252">
        <v>0</v>
      </c>
      <c r="K252">
        <v>0</v>
      </c>
      <c r="L252">
        <v>0</v>
      </c>
      <c r="M252" s="5" t="str">
        <f>ContinuousStatsTable[[#This Row],[ProjectName]]&amp;ContinuousStatsTable[[#This Row],[Name]]&amp;ContinuousStatsTable[[#This Row],[Type]]&amp;ContinuousStatsTable[[#This Row],[Source]]</f>
        <v>Unnamed ProjectpaintingmachineNumber BusyResource</v>
      </c>
      <c r="N252" s="5">
        <f t="array" ref="N252">MAX(IF((ProjectInfoTable[ProjectName]=ContinuousStatsTable[[#This Row],[ProjectName]]),(ProjectInfoTable[ProjectName]=ContinuousStatsTable[[#This Row],[ProjectName]])*ProjectInfoTable[NumberOfReplications]))</f>
        <v>15</v>
      </c>
      <c r="O252" s="5">
        <f t="array" ref="O252">IFERROR(AVERAGE(IF((ContinuousStatsTable[GroupByKey]=ContinuousStatsTable[[#This Row],[GroupByKey]]),(ContinuousStatsTable[GroupByKey]=ContinuousStatsTable[[#This Row],[GroupByKey]])*ContinuousStatsTable[Average])),0)</f>
        <v>0</v>
      </c>
      <c r="P252" s="5">
        <f t="array" ref="P252">IFERROR(_xlfn.STDEV.S(IF((ContinuousStatsTable[GroupByKey]=ContinuousStatsTable[[#This Row],[GroupByKey]]),(ContinuousStatsTable[GroupByKey]=ContinuousStatsTable[[#This Row],[GroupByKey]])*ContinuousStatsTable[Average])),0)</f>
        <v>0</v>
      </c>
      <c r="Q252" s="5">
        <f t="array" ref="Q252">MAX(IF((ProjectInfoTable[ProjectName]=ContinuousStatsTable[[#This Row],[ProjectName]]),(ProjectInfoTable[ProjectName]=ContinuousStatsTable[[#This Row],[ProjectName]])*ProjectInfoTable[ConfidenceInterval]))</f>
        <v>0.95</v>
      </c>
      <c r="R2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2" s="5">
        <f t="array" ref="S252">MIN(IF((ContinuousStatsTable[GroupByKey]=ContinuousStatsTable[[#This Row],[GroupByKey]]),(ContinuousStatsTable[GroupByKey]=ContinuousStatsTable[[#This Row],[GroupByKey]])*ContinuousStatsTable[Average]))</f>
        <v>0</v>
      </c>
      <c r="T252" s="5">
        <f t="array" ref="T252">MAX(IF((ContinuousStatsTable[GroupByKey]=ContinuousStatsTable[[#This Row],[GroupByKey]]),(ContinuousStatsTable[GroupByKey]=ContinuousStatsTable[[#This Row],[GroupByKey]])*ContinuousStatsTable[Average]))</f>
        <v>0</v>
      </c>
      <c r="U252" s="5">
        <f>IF((ContinuousStatsTable[[#This Row],[RepsRequested]]&gt;1),ContinuousStatsTable[[#This Row],[HalfWidth]],ContinuousStatsTable[[#This Row],[BatchMeansHalfWidth]])</f>
        <v>0</v>
      </c>
    </row>
    <row r="253" spans="1:21" x14ac:dyDescent="0.25">
      <c r="A253" t="s">
        <v>67</v>
      </c>
      <c r="B253" t="s">
        <v>70</v>
      </c>
      <c r="C253">
        <v>6</v>
      </c>
      <c r="D253" t="s">
        <v>88</v>
      </c>
      <c r="E253" t="s">
        <v>75</v>
      </c>
      <c r="F253" t="s">
        <v>73</v>
      </c>
      <c r="G253">
        <v>1</v>
      </c>
      <c r="H253">
        <v>2E+20</v>
      </c>
      <c r="I253">
        <v>1</v>
      </c>
      <c r="J253">
        <v>1</v>
      </c>
      <c r="K253">
        <v>1</v>
      </c>
      <c r="L253">
        <v>0</v>
      </c>
      <c r="M253" s="5" t="str">
        <f>ContinuousStatsTable[[#This Row],[ProjectName]]&amp;ContinuousStatsTable[[#This Row],[Name]]&amp;ContinuousStatsTable[[#This Row],[Type]]&amp;ContinuousStatsTable[[#This Row],[Source]]</f>
        <v>Unnamed ProjectpaintingmachineNumber ScheduledResource</v>
      </c>
      <c r="N253" s="5">
        <f t="array" ref="N253">MAX(IF((ProjectInfoTable[ProjectName]=ContinuousStatsTable[[#This Row],[ProjectName]]),(ProjectInfoTable[ProjectName]=ContinuousStatsTable[[#This Row],[ProjectName]])*ProjectInfoTable[NumberOfReplications]))</f>
        <v>15</v>
      </c>
      <c r="O253" s="5">
        <f t="array" ref="O253">IFERROR(AVERAGE(IF((ContinuousStatsTable[GroupByKey]=ContinuousStatsTable[[#This Row],[GroupByKey]]),(ContinuousStatsTable[GroupByKey]=ContinuousStatsTable[[#This Row],[GroupByKey]])*ContinuousStatsTable[Average])),0)</f>
        <v>1</v>
      </c>
      <c r="P253" s="5">
        <f t="array" ref="P253">IFERROR(_xlfn.STDEV.S(IF((ContinuousStatsTable[GroupByKey]=ContinuousStatsTable[[#This Row],[GroupByKey]]),(ContinuousStatsTable[GroupByKey]=ContinuousStatsTable[[#This Row],[GroupByKey]])*ContinuousStatsTable[Average])),0)</f>
        <v>0</v>
      </c>
      <c r="Q253" s="5">
        <f t="array" ref="Q253">MAX(IF((ProjectInfoTable[ProjectName]=ContinuousStatsTable[[#This Row],[ProjectName]]),(ProjectInfoTable[ProjectName]=ContinuousStatsTable[[#This Row],[ProjectName]])*ProjectInfoTable[ConfidenceInterval]))</f>
        <v>0.95</v>
      </c>
      <c r="R2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3" s="5">
        <f t="array" ref="S253">MIN(IF((ContinuousStatsTable[GroupByKey]=ContinuousStatsTable[[#This Row],[GroupByKey]]),(ContinuousStatsTable[GroupByKey]=ContinuousStatsTable[[#This Row],[GroupByKey]])*ContinuousStatsTable[Average]))</f>
        <v>1</v>
      </c>
      <c r="T253" s="5">
        <f t="array" ref="T253">MAX(IF((ContinuousStatsTable[GroupByKey]=ContinuousStatsTable[[#This Row],[GroupByKey]]),(ContinuousStatsTable[GroupByKey]=ContinuousStatsTable[[#This Row],[GroupByKey]])*ContinuousStatsTable[Average]))</f>
        <v>1</v>
      </c>
      <c r="U253" s="5">
        <f>IF((ContinuousStatsTable[[#This Row],[RepsRequested]]&gt;1),ContinuousStatsTable[[#This Row],[HalfWidth]],ContinuousStatsTable[[#This Row],[BatchMeansHalfWidth]])</f>
        <v>0</v>
      </c>
    </row>
    <row r="254" spans="1:21" x14ac:dyDescent="0.25">
      <c r="A254" t="s">
        <v>67</v>
      </c>
      <c r="B254" t="s">
        <v>70</v>
      </c>
      <c r="C254">
        <v>6</v>
      </c>
      <c r="D254" t="s">
        <v>89</v>
      </c>
      <c r="E254" t="s">
        <v>72</v>
      </c>
      <c r="F254" t="s">
        <v>73</v>
      </c>
      <c r="G254">
        <v>0</v>
      </c>
      <c r="H254">
        <v>2E+20</v>
      </c>
      <c r="I254">
        <v>0</v>
      </c>
      <c r="J254">
        <v>0</v>
      </c>
      <c r="K254">
        <v>0</v>
      </c>
      <c r="L254">
        <v>0</v>
      </c>
      <c r="M254" s="5" t="str">
        <f>ContinuousStatsTable[[#This Row],[ProjectName]]&amp;ContinuousStatsTable[[#This Row],[Name]]&amp;ContinuousStatsTable[[#This Row],[Type]]&amp;ContinuousStatsTable[[#This Row],[Source]]</f>
        <v>Unnamed ProjectpaintingoperatorInstantaneous UtilizationResource</v>
      </c>
      <c r="N254" s="5">
        <f t="array" ref="N254">MAX(IF((ProjectInfoTable[ProjectName]=ContinuousStatsTable[[#This Row],[ProjectName]]),(ProjectInfoTable[ProjectName]=ContinuousStatsTable[[#This Row],[ProjectName]])*ProjectInfoTable[NumberOfReplications]))</f>
        <v>15</v>
      </c>
      <c r="O254" s="5">
        <f t="array" ref="O254">IFERROR(AVERAGE(IF((ContinuousStatsTable[GroupByKey]=ContinuousStatsTable[[#This Row],[GroupByKey]]),(ContinuousStatsTable[GroupByKey]=ContinuousStatsTable[[#This Row],[GroupByKey]])*ContinuousStatsTable[Average])),0)</f>
        <v>0</v>
      </c>
      <c r="P254" s="5">
        <f t="array" ref="P254">IFERROR(_xlfn.STDEV.S(IF((ContinuousStatsTable[GroupByKey]=ContinuousStatsTable[[#This Row],[GroupByKey]]),(ContinuousStatsTable[GroupByKey]=ContinuousStatsTable[[#This Row],[GroupByKey]])*ContinuousStatsTable[Average])),0)</f>
        <v>0</v>
      </c>
      <c r="Q254" s="5">
        <f t="array" ref="Q254">MAX(IF((ProjectInfoTable[ProjectName]=ContinuousStatsTable[[#This Row],[ProjectName]]),(ProjectInfoTable[ProjectName]=ContinuousStatsTable[[#This Row],[ProjectName]])*ProjectInfoTable[ConfidenceInterval]))</f>
        <v>0.95</v>
      </c>
      <c r="R2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4" s="5">
        <f t="array" ref="S254">MIN(IF((ContinuousStatsTable[GroupByKey]=ContinuousStatsTable[[#This Row],[GroupByKey]]),(ContinuousStatsTable[GroupByKey]=ContinuousStatsTable[[#This Row],[GroupByKey]])*ContinuousStatsTable[Average]))</f>
        <v>0</v>
      </c>
      <c r="T254" s="5">
        <f t="array" ref="T254">MAX(IF((ContinuousStatsTable[GroupByKey]=ContinuousStatsTable[[#This Row],[GroupByKey]]),(ContinuousStatsTable[GroupByKey]=ContinuousStatsTable[[#This Row],[GroupByKey]])*ContinuousStatsTable[Average]))</f>
        <v>0</v>
      </c>
      <c r="U254" s="5">
        <f>IF((ContinuousStatsTable[[#This Row],[RepsRequested]]&gt;1),ContinuousStatsTable[[#This Row],[HalfWidth]],ContinuousStatsTable[[#This Row],[BatchMeansHalfWidth]])</f>
        <v>0</v>
      </c>
    </row>
    <row r="255" spans="1:21" x14ac:dyDescent="0.25">
      <c r="A255" t="s">
        <v>67</v>
      </c>
      <c r="B255" t="s">
        <v>70</v>
      </c>
      <c r="C255">
        <v>6</v>
      </c>
      <c r="D255" t="s">
        <v>89</v>
      </c>
      <c r="E255" t="s">
        <v>74</v>
      </c>
      <c r="F255" t="s">
        <v>73</v>
      </c>
      <c r="G255">
        <v>0</v>
      </c>
      <c r="H255">
        <v>2E+20</v>
      </c>
      <c r="I255">
        <v>0</v>
      </c>
      <c r="J255">
        <v>0</v>
      </c>
      <c r="K255">
        <v>0</v>
      </c>
      <c r="L255">
        <v>0</v>
      </c>
      <c r="M255" s="5" t="str">
        <f>ContinuousStatsTable[[#This Row],[ProjectName]]&amp;ContinuousStatsTable[[#This Row],[Name]]&amp;ContinuousStatsTable[[#This Row],[Type]]&amp;ContinuousStatsTable[[#This Row],[Source]]</f>
        <v>Unnamed ProjectpaintingoperatorNumber BusyResource</v>
      </c>
      <c r="N255" s="5">
        <f t="array" ref="N255">MAX(IF((ProjectInfoTable[ProjectName]=ContinuousStatsTable[[#This Row],[ProjectName]]),(ProjectInfoTable[ProjectName]=ContinuousStatsTable[[#This Row],[ProjectName]])*ProjectInfoTable[NumberOfReplications]))</f>
        <v>15</v>
      </c>
      <c r="O255" s="5">
        <f t="array" ref="O255">IFERROR(AVERAGE(IF((ContinuousStatsTable[GroupByKey]=ContinuousStatsTable[[#This Row],[GroupByKey]]),(ContinuousStatsTable[GroupByKey]=ContinuousStatsTable[[#This Row],[GroupByKey]])*ContinuousStatsTable[Average])),0)</f>
        <v>0</v>
      </c>
      <c r="P255" s="5">
        <f t="array" ref="P255">IFERROR(_xlfn.STDEV.S(IF((ContinuousStatsTable[GroupByKey]=ContinuousStatsTable[[#This Row],[GroupByKey]]),(ContinuousStatsTable[GroupByKey]=ContinuousStatsTable[[#This Row],[GroupByKey]])*ContinuousStatsTable[Average])),0)</f>
        <v>0</v>
      </c>
      <c r="Q255" s="5">
        <f t="array" ref="Q255">MAX(IF((ProjectInfoTable[ProjectName]=ContinuousStatsTable[[#This Row],[ProjectName]]),(ProjectInfoTable[ProjectName]=ContinuousStatsTable[[#This Row],[ProjectName]])*ProjectInfoTable[ConfidenceInterval]))</f>
        <v>0.95</v>
      </c>
      <c r="R2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5" s="5">
        <f t="array" ref="S255">MIN(IF((ContinuousStatsTable[GroupByKey]=ContinuousStatsTable[[#This Row],[GroupByKey]]),(ContinuousStatsTable[GroupByKey]=ContinuousStatsTable[[#This Row],[GroupByKey]])*ContinuousStatsTable[Average]))</f>
        <v>0</v>
      </c>
      <c r="T255" s="5">
        <f t="array" ref="T255">MAX(IF((ContinuousStatsTable[GroupByKey]=ContinuousStatsTable[[#This Row],[GroupByKey]]),(ContinuousStatsTable[GroupByKey]=ContinuousStatsTable[[#This Row],[GroupByKey]])*ContinuousStatsTable[Average]))</f>
        <v>0</v>
      </c>
      <c r="U255" s="5">
        <f>IF((ContinuousStatsTable[[#This Row],[RepsRequested]]&gt;1),ContinuousStatsTable[[#This Row],[HalfWidth]],ContinuousStatsTable[[#This Row],[BatchMeansHalfWidth]])</f>
        <v>0</v>
      </c>
    </row>
    <row r="256" spans="1:21" x14ac:dyDescent="0.25">
      <c r="A256" t="s">
        <v>67</v>
      </c>
      <c r="B256" t="s">
        <v>70</v>
      </c>
      <c r="C256">
        <v>6</v>
      </c>
      <c r="D256" t="s">
        <v>89</v>
      </c>
      <c r="E256" t="s">
        <v>75</v>
      </c>
      <c r="F256" t="s">
        <v>73</v>
      </c>
      <c r="G256">
        <v>1.5834999999999999</v>
      </c>
      <c r="H256">
        <v>3E+20</v>
      </c>
      <c r="I256">
        <v>1</v>
      </c>
      <c r="J256">
        <v>2</v>
      </c>
      <c r="K256">
        <v>2</v>
      </c>
      <c r="L256">
        <v>0</v>
      </c>
      <c r="M256" s="5" t="str">
        <f>ContinuousStatsTable[[#This Row],[ProjectName]]&amp;ContinuousStatsTable[[#This Row],[Name]]&amp;ContinuousStatsTable[[#This Row],[Type]]&amp;ContinuousStatsTable[[#This Row],[Source]]</f>
        <v>Unnamed ProjectpaintingoperatorNumber ScheduledResource</v>
      </c>
      <c r="N256" s="5">
        <f t="array" ref="N256">MAX(IF((ProjectInfoTable[ProjectName]=ContinuousStatsTable[[#This Row],[ProjectName]]),(ProjectInfoTable[ProjectName]=ContinuousStatsTable[[#This Row],[ProjectName]])*ProjectInfoTable[NumberOfReplications]))</f>
        <v>15</v>
      </c>
      <c r="O256" s="5">
        <f t="array" ref="O256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256" s="5">
        <f t="array" ref="P256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256" s="5">
        <f t="array" ref="Q256">MAX(IF((ProjectInfoTable[ProjectName]=ContinuousStatsTable[[#This Row],[ProjectName]]),(ProjectInfoTable[ProjectName]=ContinuousStatsTable[[#This Row],[ProjectName]])*ProjectInfoTable[ConfidenceInterval]))</f>
        <v>0.95</v>
      </c>
      <c r="R2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256" s="5">
        <f t="array" ref="S256">MIN(IF((ContinuousStatsTable[GroupByKey]=ContinuousStatsTable[[#This Row],[GroupByKey]]),(ContinuousStatsTable[GroupByKey]=ContinuousStatsTable[[#This Row],[GroupByKey]])*ContinuousStatsTable[Average]))</f>
        <v>1</v>
      </c>
      <c r="T256" s="5">
        <f t="array" ref="T256">MAX(IF((ContinuousStatsTable[GroupByKey]=ContinuousStatsTable[[#This Row],[GroupByKey]]),(ContinuousStatsTable[GroupByKey]=ContinuousStatsTable[[#This Row],[GroupByKey]])*ContinuousStatsTable[Average]))</f>
        <v>2</v>
      </c>
      <c r="U256" s="5">
        <f>IF((ContinuousStatsTable[[#This Row],[RepsRequested]]&gt;1),ContinuousStatsTable[[#This Row],[HalfWidth]],ContinuousStatsTable[[#This Row],[BatchMeansHalfWidth]])</f>
        <v>0.13376733135491528</v>
      </c>
    </row>
    <row r="257" spans="1:21" x14ac:dyDescent="0.25">
      <c r="A257" t="s">
        <v>67</v>
      </c>
      <c r="B257" t="s">
        <v>70</v>
      </c>
      <c r="C257">
        <v>6</v>
      </c>
      <c r="D257" t="s">
        <v>90</v>
      </c>
      <c r="E257" t="s">
        <v>72</v>
      </c>
      <c r="F257" t="s">
        <v>73</v>
      </c>
      <c r="G257">
        <v>0</v>
      </c>
      <c r="H257">
        <v>2E+20</v>
      </c>
      <c r="I257">
        <v>0</v>
      </c>
      <c r="J257">
        <v>0</v>
      </c>
      <c r="K257">
        <v>0</v>
      </c>
      <c r="L257">
        <v>0</v>
      </c>
      <c r="M257" s="5" t="str">
        <f>ContinuousStatsTable[[#This Row],[ProjectName]]&amp;ContinuousStatsTable[[#This Row],[Name]]&amp;ContinuousStatsTable[[#This Row],[Type]]&amp;ContinuousStatsTable[[#This Row],[Source]]</f>
        <v>Unnamed ProjectsandblastmachineInstantaneous UtilizationResource</v>
      </c>
      <c r="N257" s="5">
        <f t="array" ref="N257">MAX(IF((ProjectInfoTable[ProjectName]=ContinuousStatsTable[[#This Row],[ProjectName]]),(ProjectInfoTable[ProjectName]=ContinuousStatsTable[[#This Row],[ProjectName]])*ProjectInfoTable[NumberOfReplications]))</f>
        <v>15</v>
      </c>
      <c r="O257" s="5">
        <f t="array" ref="O257">IFERROR(AVERAGE(IF((ContinuousStatsTable[GroupByKey]=ContinuousStatsTable[[#This Row],[GroupByKey]]),(ContinuousStatsTable[GroupByKey]=ContinuousStatsTable[[#This Row],[GroupByKey]])*ContinuousStatsTable[Average])),0)</f>
        <v>0</v>
      </c>
      <c r="P257" s="5">
        <f t="array" ref="P257">IFERROR(_xlfn.STDEV.S(IF((ContinuousStatsTable[GroupByKey]=ContinuousStatsTable[[#This Row],[GroupByKey]]),(ContinuousStatsTable[GroupByKey]=ContinuousStatsTable[[#This Row],[GroupByKey]])*ContinuousStatsTable[Average])),0)</f>
        <v>0</v>
      </c>
      <c r="Q257" s="5">
        <f t="array" ref="Q257">MAX(IF((ProjectInfoTable[ProjectName]=ContinuousStatsTable[[#This Row],[ProjectName]]),(ProjectInfoTable[ProjectName]=ContinuousStatsTable[[#This Row],[ProjectName]])*ProjectInfoTable[ConfidenceInterval]))</f>
        <v>0.95</v>
      </c>
      <c r="R2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7" s="5">
        <f t="array" ref="S257">MIN(IF((ContinuousStatsTable[GroupByKey]=ContinuousStatsTable[[#This Row],[GroupByKey]]),(ContinuousStatsTable[GroupByKey]=ContinuousStatsTable[[#This Row],[GroupByKey]])*ContinuousStatsTable[Average]))</f>
        <v>0</v>
      </c>
      <c r="T257" s="5">
        <f t="array" ref="T257">MAX(IF((ContinuousStatsTable[GroupByKey]=ContinuousStatsTable[[#This Row],[GroupByKey]]),(ContinuousStatsTable[GroupByKey]=ContinuousStatsTable[[#This Row],[GroupByKey]])*ContinuousStatsTable[Average]))</f>
        <v>0</v>
      </c>
      <c r="U257" s="5">
        <f>IF((ContinuousStatsTable[[#This Row],[RepsRequested]]&gt;1),ContinuousStatsTable[[#This Row],[HalfWidth]],ContinuousStatsTable[[#This Row],[BatchMeansHalfWidth]])</f>
        <v>0</v>
      </c>
    </row>
    <row r="258" spans="1:21" x14ac:dyDescent="0.25">
      <c r="A258" t="s">
        <v>67</v>
      </c>
      <c r="B258" t="s">
        <v>70</v>
      </c>
      <c r="C258">
        <v>6</v>
      </c>
      <c r="D258" t="s">
        <v>90</v>
      </c>
      <c r="E258" t="s">
        <v>74</v>
      </c>
      <c r="F258" t="s">
        <v>73</v>
      </c>
      <c r="G258">
        <v>0</v>
      </c>
      <c r="H258">
        <v>2E+20</v>
      </c>
      <c r="I258">
        <v>0</v>
      </c>
      <c r="J258">
        <v>0</v>
      </c>
      <c r="K258">
        <v>0</v>
      </c>
      <c r="L258">
        <v>0</v>
      </c>
      <c r="M258" s="5" t="str">
        <f>ContinuousStatsTable[[#This Row],[ProjectName]]&amp;ContinuousStatsTable[[#This Row],[Name]]&amp;ContinuousStatsTable[[#This Row],[Type]]&amp;ContinuousStatsTable[[#This Row],[Source]]</f>
        <v>Unnamed ProjectsandblastmachineNumber BusyResource</v>
      </c>
      <c r="N258" s="5">
        <f t="array" ref="N258">MAX(IF((ProjectInfoTable[ProjectName]=ContinuousStatsTable[[#This Row],[ProjectName]]),(ProjectInfoTable[ProjectName]=ContinuousStatsTable[[#This Row],[ProjectName]])*ProjectInfoTable[NumberOfReplications]))</f>
        <v>15</v>
      </c>
      <c r="O258" s="5">
        <f t="array" ref="O258">IFERROR(AVERAGE(IF((ContinuousStatsTable[GroupByKey]=ContinuousStatsTable[[#This Row],[GroupByKey]]),(ContinuousStatsTable[GroupByKey]=ContinuousStatsTable[[#This Row],[GroupByKey]])*ContinuousStatsTable[Average])),0)</f>
        <v>0</v>
      </c>
      <c r="P258" s="5">
        <f t="array" ref="P258">IFERROR(_xlfn.STDEV.S(IF((ContinuousStatsTable[GroupByKey]=ContinuousStatsTable[[#This Row],[GroupByKey]]),(ContinuousStatsTable[GroupByKey]=ContinuousStatsTable[[#This Row],[GroupByKey]])*ContinuousStatsTable[Average])),0)</f>
        <v>0</v>
      </c>
      <c r="Q258" s="5">
        <f t="array" ref="Q258">MAX(IF((ProjectInfoTable[ProjectName]=ContinuousStatsTable[[#This Row],[ProjectName]]),(ProjectInfoTable[ProjectName]=ContinuousStatsTable[[#This Row],[ProjectName]])*ProjectInfoTable[ConfidenceInterval]))</f>
        <v>0.95</v>
      </c>
      <c r="R2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8" s="5">
        <f t="array" ref="S258">MIN(IF((ContinuousStatsTable[GroupByKey]=ContinuousStatsTable[[#This Row],[GroupByKey]]),(ContinuousStatsTable[GroupByKey]=ContinuousStatsTable[[#This Row],[GroupByKey]])*ContinuousStatsTable[Average]))</f>
        <v>0</v>
      </c>
      <c r="T258" s="5">
        <f t="array" ref="T258">MAX(IF((ContinuousStatsTable[GroupByKey]=ContinuousStatsTable[[#This Row],[GroupByKey]]),(ContinuousStatsTable[GroupByKey]=ContinuousStatsTable[[#This Row],[GroupByKey]])*ContinuousStatsTable[Average]))</f>
        <v>0</v>
      </c>
      <c r="U258" s="5">
        <f>IF((ContinuousStatsTable[[#This Row],[RepsRequested]]&gt;1),ContinuousStatsTable[[#This Row],[HalfWidth]],ContinuousStatsTable[[#This Row],[BatchMeansHalfWidth]])</f>
        <v>0</v>
      </c>
    </row>
    <row r="259" spans="1:21" x14ac:dyDescent="0.25">
      <c r="A259" t="s">
        <v>67</v>
      </c>
      <c r="B259" t="s">
        <v>70</v>
      </c>
      <c r="C259">
        <v>6</v>
      </c>
      <c r="D259" t="s">
        <v>90</v>
      </c>
      <c r="E259" t="s">
        <v>75</v>
      </c>
      <c r="F259" t="s">
        <v>73</v>
      </c>
      <c r="G259">
        <v>1</v>
      </c>
      <c r="H259">
        <v>2E+20</v>
      </c>
      <c r="I259">
        <v>1</v>
      </c>
      <c r="J259">
        <v>1</v>
      </c>
      <c r="K259">
        <v>1</v>
      </c>
      <c r="L259">
        <v>0</v>
      </c>
      <c r="M259" s="5" t="str">
        <f>ContinuousStatsTable[[#This Row],[ProjectName]]&amp;ContinuousStatsTable[[#This Row],[Name]]&amp;ContinuousStatsTable[[#This Row],[Type]]&amp;ContinuousStatsTable[[#This Row],[Source]]</f>
        <v>Unnamed ProjectsandblastmachineNumber ScheduledResource</v>
      </c>
      <c r="N259" s="5">
        <f t="array" ref="N259">MAX(IF((ProjectInfoTable[ProjectName]=ContinuousStatsTable[[#This Row],[ProjectName]]),(ProjectInfoTable[ProjectName]=ContinuousStatsTable[[#This Row],[ProjectName]])*ProjectInfoTable[NumberOfReplications]))</f>
        <v>15</v>
      </c>
      <c r="O259" s="5">
        <f t="array" ref="O259">IFERROR(AVERAGE(IF((ContinuousStatsTable[GroupByKey]=ContinuousStatsTable[[#This Row],[GroupByKey]]),(ContinuousStatsTable[GroupByKey]=ContinuousStatsTable[[#This Row],[GroupByKey]])*ContinuousStatsTable[Average])),0)</f>
        <v>1</v>
      </c>
      <c r="P259" s="5">
        <f t="array" ref="P259">IFERROR(_xlfn.STDEV.S(IF((ContinuousStatsTable[GroupByKey]=ContinuousStatsTable[[#This Row],[GroupByKey]]),(ContinuousStatsTable[GroupByKey]=ContinuousStatsTable[[#This Row],[GroupByKey]])*ContinuousStatsTable[Average])),0)</f>
        <v>0</v>
      </c>
      <c r="Q259" s="5">
        <f t="array" ref="Q259">MAX(IF((ProjectInfoTable[ProjectName]=ContinuousStatsTable[[#This Row],[ProjectName]]),(ProjectInfoTable[ProjectName]=ContinuousStatsTable[[#This Row],[ProjectName]])*ProjectInfoTable[ConfidenceInterval]))</f>
        <v>0.95</v>
      </c>
      <c r="R2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9" s="5">
        <f t="array" ref="S259">MIN(IF((ContinuousStatsTable[GroupByKey]=ContinuousStatsTable[[#This Row],[GroupByKey]]),(ContinuousStatsTable[GroupByKey]=ContinuousStatsTable[[#This Row],[GroupByKey]])*ContinuousStatsTable[Average]))</f>
        <v>1</v>
      </c>
      <c r="T259" s="5">
        <f t="array" ref="T259">MAX(IF((ContinuousStatsTable[GroupByKey]=ContinuousStatsTable[[#This Row],[GroupByKey]]),(ContinuousStatsTable[GroupByKey]=ContinuousStatsTable[[#This Row],[GroupByKey]])*ContinuousStatsTable[Average]))</f>
        <v>1</v>
      </c>
      <c r="U259" s="5">
        <f>IF((ContinuousStatsTable[[#This Row],[RepsRequested]]&gt;1),ContinuousStatsTable[[#This Row],[HalfWidth]],ContinuousStatsTable[[#This Row],[BatchMeansHalfWidth]])</f>
        <v>0</v>
      </c>
    </row>
    <row r="260" spans="1:21" x14ac:dyDescent="0.25">
      <c r="A260" t="s">
        <v>67</v>
      </c>
      <c r="B260" t="s">
        <v>70</v>
      </c>
      <c r="C260">
        <v>6</v>
      </c>
      <c r="D260" t="s">
        <v>91</v>
      </c>
      <c r="E260" t="s">
        <v>72</v>
      </c>
      <c r="F260" t="s">
        <v>73</v>
      </c>
      <c r="G260">
        <v>0</v>
      </c>
      <c r="H260">
        <v>2E+20</v>
      </c>
      <c r="I260">
        <v>0</v>
      </c>
      <c r="J260">
        <v>0</v>
      </c>
      <c r="K260">
        <v>0</v>
      </c>
      <c r="L260">
        <v>0</v>
      </c>
      <c r="M260" s="5" t="str">
        <f>ContinuousStatsTable[[#This Row],[ProjectName]]&amp;ContinuousStatsTable[[#This Row],[Name]]&amp;ContinuousStatsTable[[#This Row],[Type]]&amp;ContinuousStatsTable[[#This Row],[Source]]</f>
        <v>Unnamed ProjectsandblastoperatorInstantaneous UtilizationResource</v>
      </c>
      <c r="N260" s="5">
        <f t="array" ref="N260">MAX(IF((ProjectInfoTable[ProjectName]=ContinuousStatsTable[[#This Row],[ProjectName]]),(ProjectInfoTable[ProjectName]=ContinuousStatsTable[[#This Row],[ProjectName]])*ProjectInfoTable[NumberOfReplications]))</f>
        <v>15</v>
      </c>
      <c r="O260" s="5">
        <f t="array" ref="O260">IFERROR(AVERAGE(IF((ContinuousStatsTable[GroupByKey]=ContinuousStatsTable[[#This Row],[GroupByKey]]),(ContinuousStatsTable[GroupByKey]=ContinuousStatsTable[[#This Row],[GroupByKey]])*ContinuousStatsTable[Average])),0)</f>
        <v>0</v>
      </c>
      <c r="P260" s="5">
        <f t="array" ref="P260">IFERROR(_xlfn.STDEV.S(IF((ContinuousStatsTable[GroupByKey]=ContinuousStatsTable[[#This Row],[GroupByKey]]),(ContinuousStatsTable[GroupByKey]=ContinuousStatsTable[[#This Row],[GroupByKey]])*ContinuousStatsTable[Average])),0)</f>
        <v>0</v>
      </c>
      <c r="Q260" s="5">
        <f t="array" ref="Q260">MAX(IF((ProjectInfoTable[ProjectName]=ContinuousStatsTable[[#This Row],[ProjectName]]),(ProjectInfoTable[ProjectName]=ContinuousStatsTable[[#This Row],[ProjectName]])*ProjectInfoTable[ConfidenceInterval]))</f>
        <v>0.95</v>
      </c>
      <c r="R2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0" s="5">
        <f t="array" ref="S260">MIN(IF((ContinuousStatsTable[GroupByKey]=ContinuousStatsTable[[#This Row],[GroupByKey]]),(ContinuousStatsTable[GroupByKey]=ContinuousStatsTable[[#This Row],[GroupByKey]])*ContinuousStatsTable[Average]))</f>
        <v>0</v>
      </c>
      <c r="T260" s="5">
        <f t="array" ref="T260">MAX(IF((ContinuousStatsTable[GroupByKey]=ContinuousStatsTable[[#This Row],[GroupByKey]]),(ContinuousStatsTable[GroupByKey]=ContinuousStatsTable[[#This Row],[GroupByKey]])*ContinuousStatsTable[Average]))</f>
        <v>0</v>
      </c>
      <c r="U260" s="5">
        <f>IF((ContinuousStatsTable[[#This Row],[RepsRequested]]&gt;1),ContinuousStatsTable[[#This Row],[HalfWidth]],ContinuousStatsTable[[#This Row],[BatchMeansHalfWidth]])</f>
        <v>0</v>
      </c>
    </row>
    <row r="261" spans="1:21" x14ac:dyDescent="0.25">
      <c r="A261" t="s">
        <v>67</v>
      </c>
      <c r="B261" t="s">
        <v>70</v>
      </c>
      <c r="C261">
        <v>6</v>
      </c>
      <c r="D261" t="s">
        <v>91</v>
      </c>
      <c r="E261" t="s">
        <v>74</v>
      </c>
      <c r="F261" t="s">
        <v>73</v>
      </c>
      <c r="G261">
        <v>0</v>
      </c>
      <c r="H261">
        <v>2E+20</v>
      </c>
      <c r="I261">
        <v>0</v>
      </c>
      <c r="J261">
        <v>0</v>
      </c>
      <c r="K261">
        <v>0</v>
      </c>
      <c r="L261">
        <v>0</v>
      </c>
      <c r="M261" s="5" t="str">
        <f>ContinuousStatsTable[[#This Row],[ProjectName]]&amp;ContinuousStatsTable[[#This Row],[Name]]&amp;ContinuousStatsTable[[#This Row],[Type]]&amp;ContinuousStatsTable[[#This Row],[Source]]</f>
        <v>Unnamed ProjectsandblastoperatorNumber BusyResource</v>
      </c>
      <c r="N261" s="5">
        <f t="array" ref="N261">MAX(IF((ProjectInfoTable[ProjectName]=ContinuousStatsTable[[#This Row],[ProjectName]]),(ProjectInfoTable[ProjectName]=ContinuousStatsTable[[#This Row],[ProjectName]])*ProjectInfoTable[NumberOfReplications]))</f>
        <v>15</v>
      </c>
      <c r="O261" s="5">
        <f t="array" ref="O261">IFERROR(AVERAGE(IF((ContinuousStatsTable[GroupByKey]=ContinuousStatsTable[[#This Row],[GroupByKey]]),(ContinuousStatsTable[GroupByKey]=ContinuousStatsTable[[#This Row],[GroupByKey]])*ContinuousStatsTable[Average])),0)</f>
        <v>0</v>
      </c>
      <c r="P261" s="5">
        <f t="array" ref="P261">IFERROR(_xlfn.STDEV.S(IF((ContinuousStatsTable[GroupByKey]=ContinuousStatsTable[[#This Row],[GroupByKey]]),(ContinuousStatsTable[GroupByKey]=ContinuousStatsTable[[#This Row],[GroupByKey]])*ContinuousStatsTable[Average])),0)</f>
        <v>0</v>
      </c>
      <c r="Q261" s="5">
        <f t="array" ref="Q261">MAX(IF((ProjectInfoTable[ProjectName]=ContinuousStatsTable[[#This Row],[ProjectName]]),(ProjectInfoTable[ProjectName]=ContinuousStatsTable[[#This Row],[ProjectName]])*ProjectInfoTable[ConfidenceInterval]))</f>
        <v>0.95</v>
      </c>
      <c r="R2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1" s="5">
        <f t="array" ref="S261">MIN(IF((ContinuousStatsTable[GroupByKey]=ContinuousStatsTable[[#This Row],[GroupByKey]]),(ContinuousStatsTable[GroupByKey]=ContinuousStatsTable[[#This Row],[GroupByKey]])*ContinuousStatsTable[Average]))</f>
        <v>0</v>
      </c>
      <c r="T261" s="5">
        <f t="array" ref="T261">MAX(IF((ContinuousStatsTable[GroupByKey]=ContinuousStatsTable[[#This Row],[GroupByKey]]),(ContinuousStatsTable[GroupByKey]=ContinuousStatsTable[[#This Row],[GroupByKey]])*ContinuousStatsTable[Average]))</f>
        <v>0</v>
      </c>
      <c r="U261" s="5">
        <f>IF((ContinuousStatsTable[[#This Row],[RepsRequested]]&gt;1),ContinuousStatsTable[[#This Row],[HalfWidth]],ContinuousStatsTable[[#This Row],[BatchMeansHalfWidth]])</f>
        <v>0</v>
      </c>
    </row>
    <row r="262" spans="1:21" x14ac:dyDescent="0.25">
      <c r="A262" t="s">
        <v>67</v>
      </c>
      <c r="B262" t="s">
        <v>70</v>
      </c>
      <c r="C262">
        <v>6</v>
      </c>
      <c r="D262" t="s">
        <v>91</v>
      </c>
      <c r="E262" t="s">
        <v>75</v>
      </c>
      <c r="F262" t="s">
        <v>73</v>
      </c>
      <c r="G262">
        <v>1.5834999999999999</v>
      </c>
      <c r="H262">
        <v>3E+20</v>
      </c>
      <c r="I262">
        <v>1</v>
      </c>
      <c r="J262">
        <v>2</v>
      </c>
      <c r="K262">
        <v>2</v>
      </c>
      <c r="L262">
        <v>0</v>
      </c>
      <c r="M262" s="5" t="str">
        <f>ContinuousStatsTable[[#This Row],[ProjectName]]&amp;ContinuousStatsTable[[#This Row],[Name]]&amp;ContinuousStatsTable[[#This Row],[Type]]&amp;ContinuousStatsTable[[#This Row],[Source]]</f>
        <v>Unnamed ProjectsandblastoperatorNumber ScheduledResource</v>
      </c>
      <c r="N262" s="5">
        <f t="array" ref="N262">MAX(IF((ProjectInfoTable[ProjectName]=ContinuousStatsTable[[#This Row],[ProjectName]]),(ProjectInfoTable[ProjectName]=ContinuousStatsTable[[#This Row],[ProjectName]])*ProjectInfoTable[NumberOfReplications]))</f>
        <v>15</v>
      </c>
      <c r="O262" s="5">
        <f t="array" ref="O262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262" s="5">
        <f t="array" ref="P262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262" s="5">
        <f t="array" ref="Q262">MAX(IF((ProjectInfoTable[ProjectName]=ContinuousStatsTable[[#This Row],[ProjectName]]),(ProjectInfoTable[ProjectName]=ContinuousStatsTable[[#This Row],[ProjectName]])*ProjectInfoTable[ConfidenceInterval]))</f>
        <v>0.95</v>
      </c>
      <c r="R2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262" s="5">
        <f t="array" ref="S262">MIN(IF((ContinuousStatsTable[GroupByKey]=ContinuousStatsTable[[#This Row],[GroupByKey]]),(ContinuousStatsTable[GroupByKey]=ContinuousStatsTable[[#This Row],[GroupByKey]])*ContinuousStatsTable[Average]))</f>
        <v>1</v>
      </c>
      <c r="T262" s="5">
        <f t="array" ref="T262">MAX(IF((ContinuousStatsTable[GroupByKey]=ContinuousStatsTable[[#This Row],[GroupByKey]]),(ContinuousStatsTable[GroupByKey]=ContinuousStatsTable[[#This Row],[GroupByKey]])*ContinuousStatsTable[Average]))</f>
        <v>2</v>
      </c>
      <c r="U262" s="5">
        <f>IF((ContinuousStatsTable[[#This Row],[RepsRequested]]&gt;1),ContinuousStatsTable[[#This Row],[HalfWidth]],ContinuousStatsTable[[#This Row],[BatchMeansHalfWidth]])</f>
        <v>0.13376733135491528</v>
      </c>
    </row>
    <row r="263" spans="1:21" x14ac:dyDescent="0.25">
      <c r="A263" t="s">
        <v>67</v>
      </c>
      <c r="B263" t="s">
        <v>70</v>
      </c>
      <c r="C263">
        <v>6</v>
      </c>
      <c r="D263" t="s">
        <v>92</v>
      </c>
      <c r="E263" t="s">
        <v>84</v>
      </c>
      <c r="F263" t="s">
        <v>85</v>
      </c>
      <c r="G263">
        <v>0</v>
      </c>
      <c r="H263">
        <v>2E+20</v>
      </c>
      <c r="I263">
        <v>0</v>
      </c>
      <c r="J263">
        <v>0</v>
      </c>
      <c r="K263">
        <v>0</v>
      </c>
      <c r="L263">
        <v>0</v>
      </c>
      <c r="M263" s="5" t="str">
        <f>ContinuousStatsTable[[#This Row],[ProjectName]]&amp;ContinuousStatsTable[[#This Row],[Name]]&amp;ContinuousStatsTable[[#This Row],[Type]]&amp;ContinuousStatsTable[[#This Row],[Source]]</f>
        <v>Unnamed Projectseize_assembler.QueueNumber WaitingQueue</v>
      </c>
      <c r="N263" s="5">
        <f t="array" ref="N263">MAX(IF((ProjectInfoTable[ProjectName]=ContinuousStatsTable[[#This Row],[ProjectName]]),(ProjectInfoTable[ProjectName]=ContinuousStatsTable[[#This Row],[ProjectName]])*ProjectInfoTable[NumberOfReplications]))</f>
        <v>15</v>
      </c>
      <c r="O263" s="5">
        <f t="array" ref="O263">IFERROR(AVERAGE(IF((ContinuousStatsTable[GroupByKey]=ContinuousStatsTable[[#This Row],[GroupByKey]]),(ContinuousStatsTable[GroupByKey]=ContinuousStatsTable[[#This Row],[GroupByKey]])*ContinuousStatsTable[Average])),0)</f>
        <v>0</v>
      </c>
      <c r="P263" s="5">
        <f t="array" ref="P263">IFERROR(_xlfn.STDEV.S(IF((ContinuousStatsTable[GroupByKey]=ContinuousStatsTable[[#This Row],[GroupByKey]]),(ContinuousStatsTable[GroupByKey]=ContinuousStatsTable[[#This Row],[GroupByKey]])*ContinuousStatsTable[Average])),0)</f>
        <v>0</v>
      </c>
      <c r="Q263" s="5">
        <f t="array" ref="Q263">MAX(IF((ProjectInfoTable[ProjectName]=ContinuousStatsTable[[#This Row],[ProjectName]]),(ProjectInfoTable[ProjectName]=ContinuousStatsTable[[#This Row],[ProjectName]])*ProjectInfoTable[ConfidenceInterval]))</f>
        <v>0.95</v>
      </c>
      <c r="R2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3" s="5">
        <f t="array" ref="S263">MIN(IF((ContinuousStatsTable[GroupByKey]=ContinuousStatsTable[[#This Row],[GroupByKey]]),(ContinuousStatsTable[GroupByKey]=ContinuousStatsTable[[#This Row],[GroupByKey]])*ContinuousStatsTable[Average]))</f>
        <v>0</v>
      </c>
      <c r="T263" s="5">
        <f t="array" ref="T263">MAX(IF((ContinuousStatsTable[GroupByKey]=ContinuousStatsTable[[#This Row],[GroupByKey]]),(ContinuousStatsTable[GroupByKey]=ContinuousStatsTable[[#This Row],[GroupByKey]])*ContinuousStatsTable[Average]))</f>
        <v>0</v>
      </c>
      <c r="U263" s="5">
        <f>IF((ContinuousStatsTable[[#This Row],[RepsRequested]]&gt;1),ContinuousStatsTable[[#This Row],[HalfWidth]],ContinuousStatsTable[[#This Row],[BatchMeansHalfWidth]])</f>
        <v>0</v>
      </c>
    </row>
    <row r="264" spans="1:21" x14ac:dyDescent="0.25">
      <c r="A264" t="s">
        <v>67</v>
      </c>
      <c r="B264" t="s">
        <v>70</v>
      </c>
      <c r="C264">
        <v>6</v>
      </c>
      <c r="D264" t="s">
        <v>93</v>
      </c>
      <c r="E264" t="s">
        <v>84</v>
      </c>
      <c r="F264" t="s">
        <v>85</v>
      </c>
      <c r="G264">
        <v>0</v>
      </c>
      <c r="H264">
        <v>2E+20</v>
      </c>
      <c r="I264">
        <v>0</v>
      </c>
      <c r="J264">
        <v>0</v>
      </c>
      <c r="K264">
        <v>0</v>
      </c>
      <c r="L264">
        <v>0</v>
      </c>
      <c r="M264" s="5" t="str">
        <f>ContinuousStatsTable[[#This Row],[ProjectName]]&amp;ContinuousStatsTable[[#This Row],[Name]]&amp;ContinuousStatsTable[[#This Row],[Type]]&amp;ContinuousStatsTable[[#This Row],[Source]]</f>
        <v>Unnamed Projectseize_cutter.QueueNumber WaitingQueue</v>
      </c>
      <c r="N264" s="5">
        <f t="array" ref="N264">MAX(IF((ProjectInfoTable[ProjectName]=ContinuousStatsTable[[#This Row],[ProjectName]]),(ProjectInfoTable[ProjectName]=ContinuousStatsTable[[#This Row],[ProjectName]])*ProjectInfoTable[NumberOfReplications]))</f>
        <v>15</v>
      </c>
      <c r="O264" s="5">
        <f t="array" ref="O264">IFERROR(AVERAGE(IF((ContinuousStatsTable[GroupByKey]=ContinuousStatsTable[[#This Row],[GroupByKey]]),(ContinuousStatsTable[GroupByKey]=ContinuousStatsTable[[#This Row],[GroupByKey]])*ContinuousStatsTable[Average])),0)</f>
        <v>0</v>
      </c>
      <c r="P264" s="5">
        <f t="array" ref="P264">IFERROR(_xlfn.STDEV.S(IF((ContinuousStatsTable[GroupByKey]=ContinuousStatsTable[[#This Row],[GroupByKey]]),(ContinuousStatsTable[GroupByKey]=ContinuousStatsTable[[#This Row],[GroupByKey]])*ContinuousStatsTable[Average])),0)</f>
        <v>0</v>
      </c>
      <c r="Q264" s="5">
        <f t="array" ref="Q264">MAX(IF((ProjectInfoTable[ProjectName]=ContinuousStatsTable[[#This Row],[ProjectName]]),(ProjectInfoTable[ProjectName]=ContinuousStatsTable[[#This Row],[ProjectName]])*ProjectInfoTable[ConfidenceInterval]))</f>
        <v>0.95</v>
      </c>
      <c r="R2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4" s="5">
        <f t="array" ref="S264">MIN(IF((ContinuousStatsTable[GroupByKey]=ContinuousStatsTable[[#This Row],[GroupByKey]]),(ContinuousStatsTable[GroupByKey]=ContinuousStatsTable[[#This Row],[GroupByKey]])*ContinuousStatsTable[Average]))</f>
        <v>0</v>
      </c>
      <c r="T264" s="5">
        <f t="array" ref="T264">MAX(IF((ContinuousStatsTable[GroupByKey]=ContinuousStatsTable[[#This Row],[GroupByKey]]),(ContinuousStatsTable[GroupByKey]=ContinuousStatsTable[[#This Row],[GroupByKey]])*ContinuousStatsTable[Average]))</f>
        <v>0</v>
      </c>
      <c r="U264" s="5">
        <f>IF((ContinuousStatsTable[[#This Row],[RepsRequested]]&gt;1),ContinuousStatsTable[[#This Row],[HalfWidth]],ContinuousStatsTable[[#This Row],[BatchMeansHalfWidth]])</f>
        <v>0</v>
      </c>
    </row>
    <row r="265" spans="1:21" x14ac:dyDescent="0.25">
      <c r="A265" t="s">
        <v>67</v>
      </c>
      <c r="B265" t="s">
        <v>70</v>
      </c>
      <c r="C265">
        <v>6</v>
      </c>
      <c r="D265" t="s">
        <v>94</v>
      </c>
      <c r="E265" t="s">
        <v>84</v>
      </c>
      <c r="F265" t="s">
        <v>85</v>
      </c>
      <c r="G265">
        <v>0</v>
      </c>
      <c r="H265">
        <v>2E+20</v>
      </c>
      <c r="I265">
        <v>0</v>
      </c>
      <c r="J265">
        <v>0</v>
      </c>
      <c r="K265">
        <v>0</v>
      </c>
      <c r="L265">
        <v>0</v>
      </c>
      <c r="M265" s="5" t="str">
        <f>ContinuousStatsTable[[#This Row],[ProjectName]]&amp;ContinuousStatsTable[[#This Row],[Name]]&amp;ContinuousStatsTable[[#This Row],[Type]]&amp;ContinuousStatsTable[[#This Row],[Source]]</f>
        <v>Unnamed Projectseizeassemblyqcman.QueueNumber WaitingQueue</v>
      </c>
      <c r="N265" s="5">
        <f t="array" ref="N265">MAX(IF((ProjectInfoTable[ProjectName]=ContinuousStatsTable[[#This Row],[ProjectName]]),(ProjectInfoTable[ProjectName]=ContinuousStatsTable[[#This Row],[ProjectName]])*ProjectInfoTable[NumberOfReplications]))</f>
        <v>15</v>
      </c>
      <c r="O265" s="5">
        <f t="array" ref="O265">IFERROR(AVERAGE(IF((ContinuousStatsTable[GroupByKey]=ContinuousStatsTable[[#This Row],[GroupByKey]]),(ContinuousStatsTable[GroupByKey]=ContinuousStatsTable[[#This Row],[GroupByKey]])*ContinuousStatsTable[Average])),0)</f>
        <v>0</v>
      </c>
      <c r="P265" s="5">
        <f t="array" ref="P265">IFERROR(_xlfn.STDEV.S(IF((ContinuousStatsTable[GroupByKey]=ContinuousStatsTable[[#This Row],[GroupByKey]]),(ContinuousStatsTable[GroupByKey]=ContinuousStatsTable[[#This Row],[GroupByKey]])*ContinuousStatsTable[Average])),0)</f>
        <v>0</v>
      </c>
      <c r="Q265" s="5">
        <f t="array" ref="Q265">MAX(IF((ProjectInfoTable[ProjectName]=ContinuousStatsTable[[#This Row],[ProjectName]]),(ProjectInfoTable[ProjectName]=ContinuousStatsTable[[#This Row],[ProjectName]])*ProjectInfoTable[ConfidenceInterval]))</f>
        <v>0.95</v>
      </c>
      <c r="R2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5" s="5">
        <f t="array" ref="S265">MIN(IF((ContinuousStatsTable[GroupByKey]=ContinuousStatsTable[[#This Row],[GroupByKey]]),(ContinuousStatsTable[GroupByKey]=ContinuousStatsTable[[#This Row],[GroupByKey]])*ContinuousStatsTable[Average]))</f>
        <v>0</v>
      </c>
      <c r="T265" s="5">
        <f t="array" ref="T265">MAX(IF((ContinuousStatsTable[GroupByKey]=ContinuousStatsTable[[#This Row],[GroupByKey]]),(ContinuousStatsTable[GroupByKey]=ContinuousStatsTable[[#This Row],[GroupByKey]])*ContinuousStatsTable[Average]))</f>
        <v>0</v>
      </c>
      <c r="U265" s="5">
        <f>IF((ContinuousStatsTable[[#This Row],[RepsRequested]]&gt;1),ContinuousStatsTable[[#This Row],[HalfWidth]],ContinuousStatsTable[[#This Row],[BatchMeansHalfWidth]])</f>
        <v>0</v>
      </c>
    </row>
    <row r="266" spans="1:21" x14ac:dyDescent="0.25">
      <c r="A266" t="s">
        <v>67</v>
      </c>
      <c r="B266" t="s">
        <v>70</v>
      </c>
      <c r="C266">
        <v>6</v>
      </c>
      <c r="D266" t="s">
        <v>95</v>
      </c>
      <c r="E266" t="s">
        <v>84</v>
      </c>
      <c r="F266" t="s">
        <v>85</v>
      </c>
      <c r="G266">
        <v>0</v>
      </c>
      <c r="H266">
        <v>2E+20</v>
      </c>
      <c r="I266">
        <v>0</v>
      </c>
      <c r="J266">
        <v>0</v>
      </c>
      <c r="K266">
        <v>0</v>
      </c>
      <c r="L266">
        <v>0</v>
      </c>
      <c r="M266" s="5" t="str">
        <f>ContinuousStatsTable[[#This Row],[ProjectName]]&amp;ContinuousStatsTable[[#This Row],[Name]]&amp;ContinuousStatsTable[[#This Row],[Type]]&amp;ContinuousStatsTable[[#This Row],[Source]]</f>
        <v>Unnamed Projectseizecleaner.QueueNumber WaitingQueue</v>
      </c>
      <c r="N266" s="5">
        <f t="array" ref="N266">MAX(IF((ProjectInfoTable[ProjectName]=ContinuousStatsTable[[#This Row],[ProjectName]]),(ProjectInfoTable[ProjectName]=ContinuousStatsTable[[#This Row],[ProjectName]])*ProjectInfoTable[NumberOfReplications]))</f>
        <v>15</v>
      </c>
      <c r="O266" s="5">
        <f t="array" ref="O266">IFERROR(AVERAGE(IF((ContinuousStatsTable[GroupByKey]=ContinuousStatsTable[[#This Row],[GroupByKey]]),(ContinuousStatsTable[GroupByKey]=ContinuousStatsTable[[#This Row],[GroupByKey]])*ContinuousStatsTable[Average])),0)</f>
        <v>0</v>
      </c>
      <c r="P266" s="5">
        <f t="array" ref="P266">IFERROR(_xlfn.STDEV.S(IF((ContinuousStatsTable[GroupByKey]=ContinuousStatsTable[[#This Row],[GroupByKey]]),(ContinuousStatsTable[GroupByKey]=ContinuousStatsTable[[#This Row],[GroupByKey]])*ContinuousStatsTable[Average])),0)</f>
        <v>0</v>
      </c>
      <c r="Q266" s="5">
        <f t="array" ref="Q266">MAX(IF((ProjectInfoTable[ProjectName]=ContinuousStatsTable[[#This Row],[ProjectName]]),(ProjectInfoTable[ProjectName]=ContinuousStatsTable[[#This Row],[ProjectName]])*ProjectInfoTable[ConfidenceInterval]))</f>
        <v>0.95</v>
      </c>
      <c r="R2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6" s="5">
        <f t="array" ref="S266">MIN(IF((ContinuousStatsTable[GroupByKey]=ContinuousStatsTable[[#This Row],[GroupByKey]]),(ContinuousStatsTable[GroupByKey]=ContinuousStatsTable[[#This Row],[GroupByKey]])*ContinuousStatsTable[Average]))</f>
        <v>0</v>
      </c>
      <c r="T266" s="5">
        <f t="array" ref="T266">MAX(IF((ContinuousStatsTable[GroupByKey]=ContinuousStatsTable[[#This Row],[GroupByKey]]),(ContinuousStatsTable[GroupByKey]=ContinuousStatsTable[[#This Row],[GroupByKey]])*ContinuousStatsTable[Average]))</f>
        <v>0</v>
      </c>
      <c r="U266" s="5">
        <f>IF((ContinuousStatsTable[[#This Row],[RepsRequested]]&gt;1),ContinuousStatsTable[[#This Row],[HalfWidth]],ContinuousStatsTable[[#This Row],[BatchMeansHalfWidth]])</f>
        <v>0</v>
      </c>
    </row>
    <row r="267" spans="1:21" x14ac:dyDescent="0.25">
      <c r="A267" t="s">
        <v>67</v>
      </c>
      <c r="B267" t="s">
        <v>70</v>
      </c>
      <c r="C267">
        <v>6</v>
      </c>
      <c r="D267" t="s">
        <v>96</v>
      </c>
      <c r="E267" t="s">
        <v>84</v>
      </c>
      <c r="F267" t="s">
        <v>85</v>
      </c>
      <c r="G267">
        <v>0</v>
      </c>
      <c r="H267">
        <v>2E+20</v>
      </c>
      <c r="I267">
        <v>0</v>
      </c>
      <c r="J267">
        <v>0</v>
      </c>
      <c r="K267">
        <v>0</v>
      </c>
      <c r="L267">
        <v>0</v>
      </c>
      <c r="M267" s="5" t="str">
        <f>ContinuousStatsTable[[#This Row],[ProjectName]]&amp;ContinuousStatsTable[[#This Row],[Name]]&amp;ContinuousStatsTable[[#This Row],[Type]]&amp;ContinuousStatsTable[[#This Row],[Source]]</f>
        <v>Unnamed Projectseizepainter.QueueNumber WaitingQueue</v>
      </c>
      <c r="N267" s="5">
        <f t="array" ref="N267">MAX(IF((ProjectInfoTable[ProjectName]=ContinuousStatsTable[[#This Row],[ProjectName]]),(ProjectInfoTable[ProjectName]=ContinuousStatsTable[[#This Row],[ProjectName]])*ProjectInfoTable[NumberOfReplications]))</f>
        <v>15</v>
      </c>
      <c r="O267" s="5">
        <f t="array" ref="O267">IFERROR(AVERAGE(IF((ContinuousStatsTable[GroupByKey]=ContinuousStatsTable[[#This Row],[GroupByKey]]),(ContinuousStatsTable[GroupByKey]=ContinuousStatsTable[[#This Row],[GroupByKey]])*ContinuousStatsTable[Average])),0)</f>
        <v>0</v>
      </c>
      <c r="P267" s="5">
        <f t="array" ref="P267">IFERROR(_xlfn.STDEV.S(IF((ContinuousStatsTable[GroupByKey]=ContinuousStatsTable[[#This Row],[GroupByKey]]),(ContinuousStatsTable[GroupByKey]=ContinuousStatsTable[[#This Row],[GroupByKey]])*ContinuousStatsTable[Average])),0)</f>
        <v>0</v>
      </c>
      <c r="Q267" s="5">
        <f t="array" ref="Q267">MAX(IF((ProjectInfoTable[ProjectName]=ContinuousStatsTable[[#This Row],[ProjectName]]),(ProjectInfoTable[ProjectName]=ContinuousStatsTable[[#This Row],[ProjectName]])*ProjectInfoTable[ConfidenceInterval]))</f>
        <v>0.95</v>
      </c>
      <c r="R2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7" s="5">
        <f t="array" ref="S267">MIN(IF((ContinuousStatsTable[GroupByKey]=ContinuousStatsTable[[#This Row],[GroupByKey]]),(ContinuousStatsTable[GroupByKey]=ContinuousStatsTable[[#This Row],[GroupByKey]])*ContinuousStatsTable[Average]))</f>
        <v>0</v>
      </c>
      <c r="T267" s="5">
        <f t="array" ref="T267">MAX(IF((ContinuousStatsTable[GroupByKey]=ContinuousStatsTable[[#This Row],[GroupByKey]]),(ContinuousStatsTable[GroupByKey]=ContinuousStatsTable[[#This Row],[GroupByKey]])*ContinuousStatsTable[Average]))</f>
        <v>0</v>
      </c>
      <c r="U267" s="5">
        <f>IF((ContinuousStatsTable[[#This Row],[RepsRequested]]&gt;1),ContinuousStatsTable[[#This Row],[HalfWidth]],ContinuousStatsTable[[#This Row],[BatchMeansHalfWidth]])</f>
        <v>0</v>
      </c>
    </row>
    <row r="268" spans="1:21" x14ac:dyDescent="0.25">
      <c r="A268" t="s">
        <v>67</v>
      </c>
      <c r="B268" t="s">
        <v>70</v>
      </c>
      <c r="C268">
        <v>6</v>
      </c>
      <c r="D268" t="s">
        <v>97</v>
      </c>
      <c r="E268" t="s">
        <v>84</v>
      </c>
      <c r="F268" t="s">
        <v>85</v>
      </c>
      <c r="G268">
        <v>0</v>
      </c>
      <c r="H268">
        <v>2E+20</v>
      </c>
      <c r="I268">
        <v>0</v>
      </c>
      <c r="J268">
        <v>0</v>
      </c>
      <c r="K268">
        <v>0</v>
      </c>
      <c r="L268">
        <v>0</v>
      </c>
      <c r="M268" s="5" t="str">
        <f>ContinuousStatsTable[[#This Row],[ProjectName]]&amp;ContinuousStatsTable[[#This Row],[Name]]&amp;ContinuousStatsTable[[#This Row],[Type]]&amp;ContinuousStatsTable[[#This Row],[Source]]</f>
        <v>Unnamed Projectseizeqcman.QueueNumber WaitingQueue</v>
      </c>
      <c r="N268" s="5">
        <f t="array" ref="N268">MAX(IF((ProjectInfoTable[ProjectName]=ContinuousStatsTable[[#This Row],[ProjectName]]),(ProjectInfoTable[ProjectName]=ContinuousStatsTable[[#This Row],[ProjectName]])*ProjectInfoTable[NumberOfReplications]))</f>
        <v>15</v>
      </c>
      <c r="O268" s="5">
        <f t="array" ref="O268">IFERROR(AVERAGE(IF((ContinuousStatsTable[GroupByKey]=ContinuousStatsTable[[#This Row],[GroupByKey]]),(ContinuousStatsTable[GroupByKey]=ContinuousStatsTable[[#This Row],[GroupByKey]])*ContinuousStatsTable[Average])),0)</f>
        <v>0</v>
      </c>
      <c r="P268" s="5">
        <f t="array" ref="P268">IFERROR(_xlfn.STDEV.S(IF((ContinuousStatsTable[GroupByKey]=ContinuousStatsTable[[#This Row],[GroupByKey]]),(ContinuousStatsTable[GroupByKey]=ContinuousStatsTable[[#This Row],[GroupByKey]])*ContinuousStatsTable[Average])),0)</f>
        <v>0</v>
      </c>
      <c r="Q268" s="5">
        <f t="array" ref="Q268">MAX(IF((ProjectInfoTable[ProjectName]=ContinuousStatsTable[[#This Row],[ProjectName]]),(ProjectInfoTable[ProjectName]=ContinuousStatsTable[[#This Row],[ProjectName]])*ProjectInfoTable[ConfidenceInterval]))</f>
        <v>0.95</v>
      </c>
      <c r="R2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8" s="5">
        <f t="array" ref="S268">MIN(IF((ContinuousStatsTable[GroupByKey]=ContinuousStatsTable[[#This Row],[GroupByKey]]),(ContinuousStatsTable[GroupByKey]=ContinuousStatsTable[[#This Row],[GroupByKey]])*ContinuousStatsTable[Average]))</f>
        <v>0</v>
      </c>
      <c r="T268" s="5">
        <f t="array" ref="T268">MAX(IF((ContinuousStatsTable[GroupByKey]=ContinuousStatsTable[[#This Row],[GroupByKey]]),(ContinuousStatsTable[GroupByKey]=ContinuousStatsTable[[#This Row],[GroupByKey]])*ContinuousStatsTable[Average]))</f>
        <v>0</v>
      </c>
      <c r="U268" s="5">
        <f>IF((ContinuousStatsTable[[#This Row],[RepsRequested]]&gt;1),ContinuousStatsTable[[#This Row],[HalfWidth]],ContinuousStatsTable[[#This Row],[BatchMeansHalfWidth]])</f>
        <v>0</v>
      </c>
    </row>
    <row r="269" spans="1:21" x14ac:dyDescent="0.25">
      <c r="A269" t="s">
        <v>67</v>
      </c>
      <c r="B269" t="s">
        <v>70</v>
      </c>
      <c r="C269">
        <v>6</v>
      </c>
      <c r="D269" t="s">
        <v>98</v>
      </c>
      <c r="E269" t="s">
        <v>84</v>
      </c>
      <c r="F269" t="s">
        <v>85</v>
      </c>
      <c r="G269">
        <v>0</v>
      </c>
      <c r="H269">
        <v>2E+20</v>
      </c>
      <c r="I269">
        <v>0</v>
      </c>
      <c r="J269">
        <v>0</v>
      </c>
      <c r="K269">
        <v>0</v>
      </c>
      <c r="L269">
        <v>0</v>
      </c>
      <c r="M269" s="5" t="str">
        <f>ContinuousStatsTable[[#This Row],[ProjectName]]&amp;ContinuousStatsTable[[#This Row],[Name]]&amp;ContinuousStatsTable[[#This Row],[Type]]&amp;ContinuousStatsTable[[#This Row],[Source]]</f>
        <v>Unnamed Projectseizesandblaster.QueueNumber WaitingQueue</v>
      </c>
      <c r="N269" s="5">
        <f t="array" ref="N269">MAX(IF((ProjectInfoTable[ProjectName]=ContinuousStatsTable[[#This Row],[ProjectName]]),(ProjectInfoTable[ProjectName]=ContinuousStatsTable[[#This Row],[ProjectName]])*ProjectInfoTable[NumberOfReplications]))</f>
        <v>15</v>
      </c>
      <c r="O269" s="5">
        <f t="array" ref="O269">IFERROR(AVERAGE(IF((ContinuousStatsTable[GroupByKey]=ContinuousStatsTable[[#This Row],[GroupByKey]]),(ContinuousStatsTable[GroupByKey]=ContinuousStatsTable[[#This Row],[GroupByKey]])*ContinuousStatsTable[Average])),0)</f>
        <v>0</v>
      </c>
      <c r="P269" s="5">
        <f t="array" ref="P269">IFERROR(_xlfn.STDEV.S(IF((ContinuousStatsTable[GroupByKey]=ContinuousStatsTable[[#This Row],[GroupByKey]]),(ContinuousStatsTable[GroupByKey]=ContinuousStatsTable[[#This Row],[GroupByKey]])*ContinuousStatsTable[Average])),0)</f>
        <v>0</v>
      </c>
      <c r="Q269" s="5">
        <f t="array" ref="Q269">MAX(IF((ProjectInfoTable[ProjectName]=ContinuousStatsTable[[#This Row],[ProjectName]]),(ProjectInfoTable[ProjectName]=ContinuousStatsTable[[#This Row],[ProjectName]])*ProjectInfoTable[ConfidenceInterval]))</f>
        <v>0.95</v>
      </c>
      <c r="R2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9" s="5">
        <f t="array" ref="S269">MIN(IF((ContinuousStatsTable[GroupByKey]=ContinuousStatsTable[[#This Row],[GroupByKey]]),(ContinuousStatsTable[GroupByKey]=ContinuousStatsTable[[#This Row],[GroupByKey]])*ContinuousStatsTable[Average]))</f>
        <v>0</v>
      </c>
      <c r="T269" s="5">
        <f t="array" ref="T269">MAX(IF((ContinuousStatsTable[GroupByKey]=ContinuousStatsTable[[#This Row],[GroupByKey]]),(ContinuousStatsTable[GroupByKey]=ContinuousStatsTable[[#This Row],[GroupByKey]])*ContinuousStatsTable[Average]))</f>
        <v>0</v>
      </c>
      <c r="U269" s="5">
        <f>IF((ContinuousStatsTable[[#This Row],[RepsRequested]]&gt;1),ContinuousStatsTable[[#This Row],[HalfWidth]],ContinuousStatsTable[[#This Row],[BatchMeansHalfWidth]])</f>
        <v>0</v>
      </c>
    </row>
    <row r="270" spans="1:21" x14ac:dyDescent="0.25">
      <c r="A270" t="s">
        <v>67</v>
      </c>
      <c r="B270" t="s">
        <v>70</v>
      </c>
      <c r="C270">
        <v>6</v>
      </c>
      <c r="D270" t="s">
        <v>99</v>
      </c>
      <c r="E270" t="s">
        <v>84</v>
      </c>
      <c r="F270" t="s">
        <v>85</v>
      </c>
      <c r="G270">
        <v>0</v>
      </c>
      <c r="H270">
        <v>2E+20</v>
      </c>
      <c r="I270">
        <v>0</v>
      </c>
      <c r="J270">
        <v>0</v>
      </c>
      <c r="K270">
        <v>0</v>
      </c>
      <c r="L270">
        <v>0</v>
      </c>
      <c r="M270" s="5" t="str">
        <f>ContinuousStatsTable[[#This Row],[ProjectName]]&amp;ContinuousStatsTable[[#This Row],[Name]]&amp;ContinuousStatsTable[[#This Row],[Type]]&amp;ContinuousStatsTable[[#This Row],[Source]]</f>
        <v>Unnamed Projectseizewelder.QueueNumber WaitingQueue</v>
      </c>
      <c r="N270" s="5">
        <f t="array" ref="N270">MAX(IF((ProjectInfoTable[ProjectName]=ContinuousStatsTable[[#This Row],[ProjectName]]),(ProjectInfoTable[ProjectName]=ContinuousStatsTable[[#This Row],[ProjectName]])*ProjectInfoTable[NumberOfReplications]))</f>
        <v>15</v>
      </c>
      <c r="O270" s="5">
        <f t="array" ref="O270">IFERROR(AVERAGE(IF((ContinuousStatsTable[GroupByKey]=ContinuousStatsTable[[#This Row],[GroupByKey]]),(ContinuousStatsTable[GroupByKey]=ContinuousStatsTable[[#This Row],[GroupByKey]])*ContinuousStatsTable[Average])),0)</f>
        <v>0</v>
      </c>
      <c r="P270" s="5">
        <f t="array" ref="P270">IFERROR(_xlfn.STDEV.S(IF((ContinuousStatsTable[GroupByKey]=ContinuousStatsTable[[#This Row],[GroupByKey]]),(ContinuousStatsTable[GroupByKey]=ContinuousStatsTable[[#This Row],[GroupByKey]])*ContinuousStatsTable[Average])),0)</f>
        <v>0</v>
      </c>
      <c r="Q270" s="5">
        <f t="array" ref="Q270">MAX(IF((ProjectInfoTable[ProjectName]=ContinuousStatsTable[[#This Row],[ProjectName]]),(ProjectInfoTable[ProjectName]=ContinuousStatsTable[[#This Row],[ProjectName]])*ProjectInfoTable[ConfidenceInterval]))</f>
        <v>0.95</v>
      </c>
      <c r="R2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0" s="5">
        <f t="array" ref="S270">MIN(IF((ContinuousStatsTable[GroupByKey]=ContinuousStatsTable[[#This Row],[GroupByKey]]),(ContinuousStatsTable[GroupByKey]=ContinuousStatsTable[[#This Row],[GroupByKey]])*ContinuousStatsTable[Average]))</f>
        <v>0</v>
      </c>
      <c r="T270" s="5">
        <f t="array" ref="T270">MAX(IF((ContinuousStatsTable[GroupByKey]=ContinuousStatsTable[[#This Row],[GroupByKey]]),(ContinuousStatsTable[GroupByKey]=ContinuousStatsTable[[#This Row],[GroupByKey]])*ContinuousStatsTable[Average]))</f>
        <v>0</v>
      </c>
      <c r="U270" s="5">
        <f>IF((ContinuousStatsTable[[#This Row],[RepsRequested]]&gt;1),ContinuousStatsTable[[#This Row],[HalfWidth]],ContinuousStatsTable[[#This Row],[BatchMeansHalfWidth]])</f>
        <v>0</v>
      </c>
    </row>
    <row r="271" spans="1:21" x14ac:dyDescent="0.25">
      <c r="A271" t="s">
        <v>67</v>
      </c>
      <c r="B271" t="s">
        <v>70</v>
      </c>
      <c r="C271">
        <v>6</v>
      </c>
      <c r="D271" t="s">
        <v>100</v>
      </c>
      <c r="E271" t="s">
        <v>78</v>
      </c>
      <c r="F271" t="s">
        <v>79</v>
      </c>
      <c r="G271">
        <v>6</v>
      </c>
      <c r="H271">
        <v>2E+20</v>
      </c>
      <c r="I271">
        <v>6</v>
      </c>
      <c r="J271">
        <v>6</v>
      </c>
      <c r="K271">
        <v>6</v>
      </c>
      <c r="L271">
        <v>0</v>
      </c>
      <c r="M271" s="5" t="str">
        <f>ContinuousStatsTable[[#This Row],[ProjectName]]&amp;ContinuousStatsTable[[#This Row],[Name]]&amp;ContinuousStatsTable[[#This Row],[Type]]&amp;ContinuousStatsTable[[#This Row],[Source]]</f>
        <v>Unnamed ProjectsteelsheetWIPEntity</v>
      </c>
      <c r="N271" s="5">
        <f t="array" ref="N271">MAX(IF((ProjectInfoTable[ProjectName]=ContinuousStatsTable[[#This Row],[ProjectName]]),(ProjectInfoTable[ProjectName]=ContinuousStatsTable[[#This Row],[ProjectName]])*ProjectInfoTable[NumberOfReplications]))</f>
        <v>15</v>
      </c>
      <c r="O271" s="5">
        <f t="array" ref="O271">IFERROR(AVERAGE(IF((ContinuousStatsTable[GroupByKey]=ContinuousStatsTable[[#This Row],[GroupByKey]]),(ContinuousStatsTable[GroupByKey]=ContinuousStatsTable[[#This Row],[GroupByKey]])*ContinuousStatsTable[Average])),0)</f>
        <v>6.1333333333333337</v>
      </c>
      <c r="P271" s="5">
        <f t="array" ref="P271">IFERROR(_xlfn.STDEV.S(IF((ContinuousStatsTable[GroupByKey]=ContinuousStatsTable[[#This Row],[GroupByKey]]),(ContinuousStatsTable[GroupByKey]=ContinuousStatsTable[[#This Row],[GroupByKey]])*ContinuousStatsTable[Average])),0)</f>
        <v>5.3166405433005028</v>
      </c>
      <c r="Q271" s="5">
        <f t="array" ref="Q271">MAX(IF((ProjectInfoTable[ProjectName]=ContinuousStatsTable[[#This Row],[ProjectName]]),(ProjectInfoTable[ProjectName]=ContinuousStatsTable[[#This Row],[ProjectName]])*ProjectInfoTable[ConfidenceInterval]))</f>
        <v>0.95</v>
      </c>
      <c r="R2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2.944257396015229</v>
      </c>
      <c r="S271" s="5">
        <f t="array" ref="S271">MIN(IF((ContinuousStatsTable[GroupByKey]=ContinuousStatsTable[[#This Row],[GroupByKey]]),(ContinuousStatsTable[GroupByKey]=ContinuousStatsTable[[#This Row],[GroupByKey]])*ContinuousStatsTable[Average]))</f>
        <v>0</v>
      </c>
      <c r="T271" s="5">
        <f t="array" ref="T271">MAX(IF((ContinuousStatsTable[GroupByKey]=ContinuousStatsTable[[#This Row],[GroupByKey]]),(ContinuousStatsTable[GroupByKey]=ContinuousStatsTable[[#This Row],[GroupByKey]])*ContinuousStatsTable[Average]))</f>
        <v>16</v>
      </c>
      <c r="U271" s="5">
        <f>IF((ContinuousStatsTable[[#This Row],[RepsRequested]]&gt;1),ContinuousStatsTable[[#This Row],[HalfWidth]],ContinuousStatsTable[[#This Row],[BatchMeansHalfWidth]])</f>
        <v>2.944257396015229</v>
      </c>
    </row>
    <row r="272" spans="1:21" x14ac:dyDescent="0.25">
      <c r="A272" t="s">
        <v>67</v>
      </c>
      <c r="B272" t="s">
        <v>70</v>
      </c>
      <c r="C272">
        <v>6</v>
      </c>
      <c r="D272" t="s">
        <v>101</v>
      </c>
      <c r="E272" t="s">
        <v>72</v>
      </c>
      <c r="F272" t="s">
        <v>73</v>
      </c>
      <c r="G272">
        <v>0</v>
      </c>
      <c r="H272">
        <v>2E+20</v>
      </c>
      <c r="I272">
        <v>0</v>
      </c>
      <c r="J272">
        <v>0</v>
      </c>
      <c r="K272">
        <v>0</v>
      </c>
      <c r="L272">
        <v>0</v>
      </c>
      <c r="M272" s="5" t="str">
        <f>ContinuousStatsTable[[#This Row],[ProjectName]]&amp;ContinuousStatsTable[[#This Row],[Name]]&amp;ContinuousStatsTable[[#This Row],[Type]]&amp;ContinuousStatsTable[[#This Row],[Source]]</f>
        <v>Unnamed ProjectwelderInstantaneous UtilizationResource</v>
      </c>
      <c r="N272" s="5">
        <f t="array" ref="N272">MAX(IF((ProjectInfoTable[ProjectName]=ContinuousStatsTable[[#This Row],[ProjectName]]),(ProjectInfoTable[ProjectName]=ContinuousStatsTable[[#This Row],[ProjectName]])*ProjectInfoTable[NumberOfReplications]))</f>
        <v>15</v>
      </c>
      <c r="O272" s="5">
        <f t="array" ref="O272">IFERROR(AVERAGE(IF((ContinuousStatsTable[GroupByKey]=ContinuousStatsTable[[#This Row],[GroupByKey]]),(ContinuousStatsTable[GroupByKey]=ContinuousStatsTable[[#This Row],[GroupByKey]])*ContinuousStatsTable[Average])),0)</f>
        <v>0</v>
      </c>
      <c r="P272" s="5">
        <f t="array" ref="P272">IFERROR(_xlfn.STDEV.S(IF((ContinuousStatsTable[GroupByKey]=ContinuousStatsTable[[#This Row],[GroupByKey]]),(ContinuousStatsTable[GroupByKey]=ContinuousStatsTable[[#This Row],[GroupByKey]])*ContinuousStatsTable[Average])),0)</f>
        <v>0</v>
      </c>
      <c r="Q272" s="5">
        <f t="array" ref="Q272">MAX(IF((ProjectInfoTable[ProjectName]=ContinuousStatsTable[[#This Row],[ProjectName]]),(ProjectInfoTable[ProjectName]=ContinuousStatsTable[[#This Row],[ProjectName]])*ProjectInfoTable[ConfidenceInterval]))</f>
        <v>0.95</v>
      </c>
      <c r="R2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2" s="5">
        <f t="array" ref="S272">MIN(IF((ContinuousStatsTable[GroupByKey]=ContinuousStatsTable[[#This Row],[GroupByKey]]),(ContinuousStatsTable[GroupByKey]=ContinuousStatsTable[[#This Row],[GroupByKey]])*ContinuousStatsTable[Average]))</f>
        <v>0</v>
      </c>
      <c r="T272" s="5">
        <f t="array" ref="T272">MAX(IF((ContinuousStatsTable[GroupByKey]=ContinuousStatsTable[[#This Row],[GroupByKey]]),(ContinuousStatsTable[GroupByKey]=ContinuousStatsTable[[#This Row],[GroupByKey]])*ContinuousStatsTable[Average]))</f>
        <v>0</v>
      </c>
      <c r="U272" s="5">
        <f>IF((ContinuousStatsTable[[#This Row],[RepsRequested]]&gt;1),ContinuousStatsTable[[#This Row],[HalfWidth]],ContinuousStatsTable[[#This Row],[BatchMeansHalfWidth]])</f>
        <v>0</v>
      </c>
    </row>
    <row r="273" spans="1:21" x14ac:dyDescent="0.25">
      <c r="A273" t="s">
        <v>67</v>
      </c>
      <c r="B273" t="s">
        <v>70</v>
      </c>
      <c r="C273">
        <v>6</v>
      </c>
      <c r="D273" t="s">
        <v>101</v>
      </c>
      <c r="E273" t="s">
        <v>74</v>
      </c>
      <c r="F273" t="s">
        <v>73</v>
      </c>
      <c r="G273">
        <v>0</v>
      </c>
      <c r="H273">
        <v>2E+20</v>
      </c>
      <c r="I273">
        <v>0</v>
      </c>
      <c r="J273">
        <v>0</v>
      </c>
      <c r="K273">
        <v>0</v>
      </c>
      <c r="L273">
        <v>0</v>
      </c>
      <c r="M273" s="5" t="str">
        <f>ContinuousStatsTable[[#This Row],[ProjectName]]&amp;ContinuousStatsTable[[#This Row],[Name]]&amp;ContinuousStatsTable[[#This Row],[Type]]&amp;ContinuousStatsTable[[#This Row],[Source]]</f>
        <v>Unnamed ProjectwelderNumber BusyResource</v>
      </c>
      <c r="N273" s="5">
        <f t="array" ref="N273">MAX(IF((ProjectInfoTable[ProjectName]=ContinuousStatsTable[[#This Row],[ProjectName]]),(ProjectInfoTable[ProjectName]=ContinuousStatsTable[[#This Row],[ProjectName]])*ProjectInfoTable[NumberOfReplications]))</f>
        <v>15</v>
      </c>
      <c r="O273" s="5">
        <f t="array" ref="O273">IFERROR(AVERAGE(IF((ContinuousStatsTable[GroupByKey]=ContinuousStatsTable[[#This Row],[GroupByKey]]),(ContinuousStatsTable[GroupByKey]=ContinuousStatsTable[[#This Row],[GroupByKey]])*ContinuousStatsTable[Average])),0)</f>
        <v>0</v>
      </c>
      <c r="P273" s="5">
        <f t="array" ref="P273">IFERROR(_xlfn.STDEV.S(IF((ContinuousStatsTable[GroupByKey]=ContinuousStatsTable[[#This Row],[GroupByKey]]),(ContinuousStatsTable[GroupByKey]=ContinuousStatsTable[[#This Row],[GroupByKey]])*ContinuousStatsTable[Average])),0)</f>
        <v>0</v>
      </c>
      <c r="Q273" s="5">
        <f t="array" ref="Q273">MAX(IF((ProjectInfoTable[ProjectName]=ContinuousStatsTable[[#This Row],[ProjectName]]),(ProjectInfoTable[ProjectName]=ContinuousStatsTable[[#This Row],[ProjectName]])*ProjectInfoTable[ConfidenceInterval]))</f>
        <v>0.95</v>
      </c>
      <c r="R2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3" s="5">
        <f t="array" ref="S273">MIN(IF((ContinuousStatsTable[GroupByKey]=ContinuousStatsTable[[#This Row],[GroupByKey]]),(ContinuousStatsTable[GroupByKey]=ContinuousStatsTable[[#This Row],[GroupByKey]])*ContinuousStatsTable[Average]))</f>
        <v>0</v>
      </c>
      <c r="T273" s="5">
        <f t="array" ref="T273">MAX(IF((ContinuousStatsTable[GroupByKey]=ContinuousStatsTable[[#This Row],[GroupByKey]]),(ContinuousStatsTable[GroupByKey]=ContinuousStatsTable[[#This Row],[GroupByKey]])*ContinuousStatsTable[Average]))</f>
        <v>0</v>
      </c>
      <c r="U273" s="5">
        <f>IF((ContinuousStatsTable[[#This Row],[RepsRequested]]&gt;1),ContinuousStatsTable[[#This Row],[HalfWidth]],ContinuousStatsTable[[#This Row],[BatchMeansHalfWidth]])</f>
        <v>0</v>
      </c>
    </row>
    <row r="274" spans="1:21" x14ac:dyDescent="0.25">
      <c r="A274" t="s">
        <v>67</v>
      </c>
      <c r="B274" t="s">
        <v>70</v>
      </c>
      <c r="C274">
        <v>6</v>
      </c>
      <c r="D274" t="s">
        <v>101</v>
      </c>
      <c r="E274" t="s">
        <v>75</v>
      </c>
      <c r="F274" t="s">
        <v>73</v>
      </c>
      <c r="G274">
        <v>1.5834999999999999</v>
      </c>
      <c r="H274">
        <v>3E+20</v>
      </c>
      <c r="I274">
        <v>1</v>
      </c>
      <c r="J274">
        <v>2</v>
      </c>
      <c r="K274">
        <v>2</v>
      </c>
      <c r="L274">
        <v>0</v>
      </c>
      <c r="M274" s="5" t="str">
        <f>ContinuousStatsTable[[#This Row],[ProjectName]]&amp;ContinuousStatsTable[[#This Row],[Name]]&amp;ContinuousStatsTable[[#This Row],[Type]]&amp;ContinuousStatsTable[[#This Row],[Source]]</f>
        <v>Unnamed ProjectwelderNumber ScheduledResource</v>
      </c>
      <c r="N274" s="5">
        <f t="array" ref="N274">MAX(IF((ProjectInfoTable[ProjectName]=ContinuousStatsTable[[#This Row],[ProjectName]]),(ProjectInfoTable[ProjectName]=ContinuousStatsTable[[#This Row],[ProjectName]])*ProjectInfoTable[NumberOfReplications]))</f>
        <v>15</v>
      </c>
      <c r="O274" s="5">
        <f t="array" ref="O274">IFERROR(AVERAGE(IF((ContinuousStatsTable[GroupByKey]=ContinuousStatsTable[[#This Row],[GroupByKey]]),(ContinuousStatsTable[GroupByKey]=ContinuousStatsTable[[#This Row],[GroupByKey]])*ContinuousStatsTable[Average])),0)</f>
        <v>1.5334531146777051</v>
      </c>
      <c r="P274" s="5">
        <f t="array" ref="P274">IFERROR(_xlfn.STDEV.S(IF((ContinuousStatsTable[GroupByKey]=ContinuousStatsTable[[#This Row],[GroupByKey]]),(ContinuousStatsTable[GroupByKey]=ContinuousStatsTable[[#This Row],[GroupByKey]])*ContinuousStatsTable[Average])),0)</f>
        <v>0.24154952363702747</v>
      </c>
      <c r="Q274" s="5">
        <f t="array" ref="Q274">MAX(IF((ProjectInfoTable[ProjectName]=ContinuousStatsTable[[#This Row],[ProjectName]]),(ProjectInfoTable[ProjectName]=ContinuousStatsTable[[#This Row],[ProjectName]])*ProjectInfoTable[ConfidenceInterval]))</f>
        <v>0.95</v>
      </c>
      <c r="R2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0.13376566756397254</v>
      </c>
      <c r="S274" s="5">
        <f t="array" ref="S274">MIN(IF((ContinuousStatsTable[GroupByKey]=ContinuousStatsTable[[#This Row],[GroupByKey]]),(ContinuousStatsTable[GroupByKey]=ContinuousStatsTable[[#This Row],[GroupByKey]])*ContinuousStatsTable[Average]))</f>
        <v>1</v>
      </c>
      <c r="T274" s="5">
        <f t="array" ref="T274">MAX(IF((ContinuousStatsTable[GroupByKey]=ContinuousStatsTable[[#This Row],[GroupByKey]]),(ContinuousStatsTable[GroupByKey]=ContinuousStatsTable[[#This Row],[GroupByKey]])*ContinuousStatsTable[Average]))</f>
        <v>2</v>
      </c>
      <c r="U274" s="5">
        <f>IF((ContinuousStatsTable[[#This Row],[RepsRequested]]&gt;1),ContinuousStatsTable[[#This Row],[HalfWidth]],ContinuousStatsTable[[#This Row],[BatchMeansHalfWidth]])</f>
        <v>0.13376566756397254</v>
      </c>
    </row>
    <row r="275" spans="1:21" x14ac:dyDescent="0.25">
      <c r="A275" t="s">
        <v>67</v>
      </c>
      <c r="B275" t="s">
        <v>70</v>
      </c>
      <c r="C275">
        <v>6</v>
      </c>
      <c r="D275" t="s">
        <v>102</v>
      </c>
      <c r="E275" t="s">
        <v>72</v>
      </c>
      <c r="F275" t="s">
        <v>73</v>
      </c>
      <c r="G275">
        <v>0</v>
      </c>
      <c r="H275">
        <v>2E+20</v>
      </c>
      <c r="I275">
        <v>0</v>
      </c>
      <c r="J275">
        <v>0</v>
      </c>
      <c r="K275">
        <v>0</v>
      </c>
      <c r="L275">
        <v>0</v>
      </c>
      <c r="M275" s="5" t="str">
        <f>ContinuousStatsTable[[#This Row],[ProjectName]]&amp;ContinuousStatsTable[[#This Row],[Name]]&amp;ContinuousStatsTable[[#This Row],[Type]]&amp;ContinuousStatsTable[[#This Row],[Source]]</f>
        <v>Unnamed ProjectweldingqcworkerInstantaneous UtilizationResource</v>
      </c>
      <c r="N275" s="5">
        <f t="array" ref="N275">MAX(IF((ProjectInfoTable[ProjectName]=ContinuousStatsTable[[#This Row],[ProjectName]]),(ProjectInfoTable[ProjectName]=ContinuousStatsTable[[#This Row],[ProjectName]])*ProjectInfoTable[NumberOfReplications]))</f>
        <v>15</v>
      </c>
      <c r="O275" s="5">
        <f t="array" ref="O275">IFERROR(AVERAGE(IF((ContinuousStatsTable[GroupByKey]=ContinuousStatsTable[[#This Row],[GroupByKey]]),(ContinuousStatsTable[GroupByKey]=ContinuousStatsTable[[#This Row],[GroupByKey]])*ContinuousStatsTable[Average])),0)</f>
        <v>0</v>
      </c>
      <c r="P275" s="5">
        <f t="array" ref="P275">IFERROR(_xlfn.STDEV.S(IF((ContinuousStatsTable[GroupByKey]=ContinuousStatsTable[[#This Row],[GroupByKey]]),(ContinuousStatsTable[GroupByKey]=ContinuousStatsTable[[#This Row],[GroupByKey]])*ContinuousStatsTable[Average])),0)</f>
        <v>0</v>
      </c>
      <c r="Q275" s="5">
        <f t="array" ref="Q275">MAX(IF((ProjectInfoTable[ProjectName]=ContinuousStatsTable[[#This Row],[ProjectName]]),(ProjectInfoTable[ProjectName]=ContinuousStatsTable[[#This Row],[ProjectName]])*ProjectInfoTable[ConfidenceInterval]))</f>
        <v>0.95</v>
      </c>
      <c r="R2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5" s="5">
        <f t="array" ref="S275">MIN(IF((ContinuousStatsTable[GroupByKey]=ContinuousStatsTable[[#This Row],[GroupByKey]]),(ContinuousStatsTable[GroupByKey]=ContinuousStatsTable[[#This Row],[GroupByKey]])*ContinuousStatsTable[Average]))</f>
        <v>0</v>
      </c>
      <c r="T275" s="5">
        <f t="array" ref="T275">MAX(IF((ContinuousStatsTable[GroupByKey]=ContinuousStatsTable[[#This Row],[GroupByKey]]),(ContinuousStatsTable[GroupByKey]=ContinuousStatsTable[[#This Row],[GroupByKey]])*ContinuousStatsTable[Average]))</f>
        <v>0</v>
      </c>
      <c r="U275" s="5">
        <f>IF((ContinuousStatsTable[[#This Row],[RepsRequested]]&gt;1),ContinuousStatsTable[[#This Row],[HalfWidth]],ContinuousStatsTable[[#This Row],[BatchMeansHalfWidth]])</f>
        <v>0</v>
      </c>
    </row>
    <row r="276" spans="1:21" x14ac:dyDescent="0.25">
      <c r="A276" t="s">
        <v>67</v>
      </c>
      <c r="B276" t="s">
        <v>70</v>
      </c>
      <c r="C276">
        <v>6</v>
      </c>
      <c r="D276" t="s">
        <v>102</v>
      </c>
      <c r="E276" t="s">
        <v>74</v>
      </c>
      <c r="F276" t="s">
        <v>73</v>
      </c>
      <c r="G276">
        <v>0</v>
      </c>
      <c r="H276">
        <v>2E+20</v>
      </c>
      <c r="I276">
        <v>0</v>
      </c>
      <c r="J276">
        <v>0</v>
      </c>
      <c r="K276">
        <v>0</v>
      </c>
      <c r="L276">
        <v>0</v>
      </c>
      <c r="M276" s="5" t="str">
        <f>ContinuousStatsTable[[#This Row],[ProjectName]]&amp;ContinuousStatsTable[[#This Row],[Name]]&amp;ContinuousStatsTable[[#This Row],[Type]]&amp;ContinuousStatsTable[[#This Row],[Source]]</f>
        <v>Unnamed ProjectweldingqcworkerNumber BusyResource</v>
      </c>
      <c r="N276" s="5">
        <f t="array" ref="N276">MAX(IF((ProjectInfoTable[ProjectName]=ContinuousStatsTable[[#This Row],[ProjectName]]),(ProjectInfoTable[ProjectName]=ContinuousStatsTable[[#This Row],[ProjectName]])*ProjectInfoTable[NumberOfReplications]))</f>
        <v>15</v>
      </c>
      <c r="O276" s="5">
        <f t="array" ref="O276">IFERROR(AVERAGE(IF((ContinuousStatsTable[GroupByKey]=ContinuousStatsTable[[#This Row],[GroupByKey]]),(ContinuousStatsTable[GroupByKey]=ContinuousStatsTable[[#This Row],[GroupByKey]])*ContinuousStatsTable[Average])),0)</f>
        <v>0</v>
      </c>
      <c r="P276" s="5">
        <f t="array" ref="P276">IFERROR(_xlfn.STDEV.S(IF((ContinuousStatsTable[GroupByKey]=ContinuousStatsTable[[#This Row],[GroupByKey]]),(ContinuousStatsTable[GroupByKey]=ContinuousStatsTable[[#This Row],[GroupByKey]])*ContinuousStatsTable[Average])),0)</f>
        <v>0</v>
      </c>
      <c r="Q276" s="5">
        <f t="array" ref="Q276">MAX(IF((ProjectInfoTable[ProjectName]=ContinuousStatsTable[[#This Row],[ProjectName]]),(ProjectInfoTable[ProjectName]=ContinuousStatsTable[[#This Row],[ProjectName]])*ProjectInfoTable[ConfidenceInterval]))</f>
        <v>0.95</v>
      </c>
      <c r="R2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6" s="5">
        <f t="array" ref="S276">MIN(IF((ContinuousStatsTable[GroupByKey]=ContinuousStatsTable[[#This Row],[GroupByKey]]),(ContinuousStatsTable[GroupByKey]=ContinuousStatsTable[[#This Row],[GroupByKey]])*ContinuousStatsTable[Average]))</f>
        <v>0</v>
      </c>
      <c r="T276" s="5">
        <f t="array" ref="T276">MAX(IF((ContinuousStatsTable[GroupByKey]=ContinuousStatsTable[[#This Row],[GroupByKey]]),(ContinuousStatsTable[GroupByKey]=ContinuousStatsTable[[#This Row],[GroupByKey]])*ContinuousStatsTable[Average]))</f>
        <v>0</v>
      </c>
      <c r="U276" s="5">
        <f>IF((ContinuousStatsTable[[#This Row],[RepsRequested]]&gt;1),ContinuousStatsTable[[#This Row],[HalfWidth]],ContinuousStatsTable[[#This Row],[BatchMeansHalfWidth]])</f>
        <v>0</v>
      </c>
    </row>
    <row r="277" spans="1:21" x14ac:dyDescent="0.25">
      <c r="A277" t="s">
        <v>67</v>
      </c>
      <c r="B277" t="s">
        <v>70</v>
      </c>
      <c r="C277">
        <v>6</v>
      </c>
      <c r="D277" t="s">
        <v>102</v>
      </c>
      <c r="E277" t="s">
        <v>75</v>
      </c>
      <c r="F277" t="s">
        <v>73</v>
      </c>
      <c r="G277">
        <v>1.5834999999999999</v>
      </c>
      <c r="H277">
        <v>3E+20</v>
      </c>
      <c r="I277">
        <v>1</v>
      </c>
      <c r="J277">
        <v>2</v>
      </c>
      <c r="K277">
        <v>2</v>
      </c>
      <c r="L277">
        <v>0</v>
      </c>
      <c r="M277" s="5" t="str">
        <f>ContinuousStatsTable[[#This Row],[ProjectName]]&amp;ContinuousStatsTable[[#This Row],[Name]]&amp;ContinuousStatsTable[[#This Row],[Type]]&amp;ContinuousStatsTable[[#This Row],[Source]]</f>
        <v>Unnamed ProjectweldingqcworkerNumber ScheduledResource</v>
      </c>
      <c r="N277" s="5">
        <f t="array" ref="N277">MAX(IF((ProjectInfoTable[ProjectName]=ContinuousStatsTable[[#This Row],[ProjectName]]),(ProjectInfoTable[ProjectName]=ContinuousStatsTable[[#This Row],[ProjectName]])*ProjectInfoTable[NumberOfReplications]))</f>
        <v>15</v>
      </c>
      <c r="O277" s="5">
        <f t="array" ref="O277">IFERROR(AVERAGE(IF((ContinuousStatsTable[GroupByKey]=ContinuousStatsTable[[#This Row],[GroupByKey]]),(ContinuousStatsTable[GroupByKey]=ContinuousStatsTable[[#This Row],[GroupByKey]])*ContinuousStatsTable[Average])),0)</f>
        <v>1.5334635492504263</v>
      </c>
      <c r="P277" s="5">
        <f t="array" ref="P277">IFERROR(_xlfn.STDEV.S(IF((ContinuousStatsTable[GroupByKey]=ContinuousStatsTable[[#This Row],[GroupByKey]]),(ContinuousStatsTable[GroupByKey]=ContinuousStatsTable[[#This Row],[GroupByKey]])*ContinuousStatsTable[Average])),0)</f>
        <v>0.24155183649982462</v>
      </c>
      <c r="Q277" s="5">
        <f t="array" ref="Q277">MAX(IF((ProjectInfoTable[ProjectName]=ContinuousStatsTable[[#This Row],[ProjectName]]),(ProjectInfoTable[ProjectName]=ContinuousStatsTable[[#This Row],[ProjectName]])*ProjectInfoTable[ConfidenceInterval]))</f>
        <v>0.95</v>
      </c>
      <c r="R2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0.1337669483846978</v>
      </c>
      <c r="S277" s="5">
        <f t="array" ref="S277">MIN(IF((ContinuousStatsTable[GroupByKey]=ContinuousStatsTable[[#This Row],[GroupByKey]]),(ContinuousStatsTable[GroupByKey]=ContinuousStatsTable[[#This Row],[GroupByKey]])*ContinuousStatsTable[Average]))</f>
        <v>1</v>
      </c>
      <c r="T277" s="5">
        <f t="array" ref="T277">MAX(IF((ContinuousStatsTable[GroupByKey]=ContinuousStatsTable[[#This Row],[GroupByKey]]),(ContinuousStatsTable[GroupByKey]=ContinuousStatsTable[[#This Row],[GroupByKey]])*ContinuousStatsTable[Average]))</f>
        <v>2</v>
      </c>
      <c r="U277" s="5">
        <f>IF((ContinuousStatsTable[[#This Row],[RepsRequested]]&gt;1),ContinuousStatsTable[[#This Row],[HalfWidth]],ContinuousStatsTable[[#This Row],[BatchMeansHalfWidth]])</f>
        <v>0.1337669483846978</v>
      </c>
    </row>
    <row r="278" spans="1:21" x14ac:dyDescent="0.25">
      <c r="A278" t="s">
        <v>67</v>
      </c>
      <c r="B278" t="s">
        <v>70</v>
      </c>
      <c r="C278">
        <v>7</v>
      </c>
      <c r="D278" t="s">
        <v>71</v>
      </c>
      <c r="E278" t="s">
        <v>72</v>
      </c>
      <c r="F278" t="s">
        <v>73</v>
      </c>
      <c r="G278">
        <v>0</v>
      </c>
      <c r="H278">
        <v>2E+20</v>
      </c>
      <c r="I278">
        <v>0</v>
      </c>
      <c r="J278">
        <v>0</v>
      </c>
      <c r="K278">
        <v>0</v>
      </c>
      <c r="L278">
        <v>0</v>
      </c>
      <c r="M278" s="5" t="str">
        <f>ContinuousStatsTable[[#This Row],[ProjectName]]&amp;ContinuousStatsTable[[#This Row],[Name]]&amp;ContinuousStatsTable[[#This Row],[Type]]&amp;ContinuousStatsTable[[#This Row],[Source]]</f>
        <v>Unnamed ProjectassemblerInstantaneous UtilizationResource</v>
      </c>
      <c r="N278" s="5">
        <f t="array" ref="N278">MAX(IF((ProjectInfoTable[ProjectName]=ContinuousStatsTable[[#This Row],[ProjectName]]),(ProjectInfoTable[ProjectName]=ContinuousStatsTable[[#This Row],[ProjectName]])*ProjectInfoTable[NumberOfReplications]))</f>
        <v>15</v>
      </c>
      <c r="O278" s="5">
        <f t="array" ref="O278">IFERROR(AVERAGE(IF((ContinuousStatsTable[GroupByKey]=ContinuousStatsTable[[#This Row],[GroupByKey]]),(ContinuousStatsTable[GroupByKey]=ContinuousStatsTable[[#This Row],[GroupByKey]])*ContinuousStatsTable[Average])),0)</f>
        <v>0</v>
      </c>
      <c r="P278" s="5">
        <f t="array" ref="P278">IFERROR(_xlfn.STDEV.S(IF((ContinuousStatsTable[GroupByKey]=ContinuousStatsTable[[#This Row],[GroupByKey]]),(ContinuousStatsTable[GroupByKey]=ContinuousStatsTable[[#This Row],[GroupByKey]])*ContinuousStatsTable[Average])),0)</f>
        <v>0</v>
      </c>
      <c r="Q278" s="5">
        <f t="array" ref="Q278">MAX(IF((ProjectInfoTable[ProjectName]=ContinuousStatsTable[[#This Row],[ProjectName]]),(ProjectInfoTable[ProjectName]=ContinuousStatsTable[[#This Row],[ProjectName]])*ProjectInfoTable[ConfidenceInterval]))</f>
        <v>0.95</v>
      </c>
      <c r="R2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8" s="5">
        <f t="array" ref="S278">MIN(IF((ContinuousStatsTable[GroupByKey]=ContinuousStatsTable[[#This Row],[GroupByKey]]),(ContinuousStatsTable[GroupByKey]=ContinuousStatsTable[[#This Row],[GroupByKey]])*ContinuousStatsTable[Average]))</f>
        <v>0</v>
      </c>
      <c r="T278" s="5">
        <f t="array" ref="T278">MAX(IF((ContinuousStatsTable[GroupByKey]=ContinuousStatsTable[[#This Row],[GroupByKey]]),(ContinuousStatsTable[GroupByKey]=ContinuousStatsTable[[#This Row],[GroupByKey]])*ContinuousStatsTable[Average]))</f>
        <v>0</v>
      </c>
      <c r="U278" s="5">
        <f>IF((ContinuousStatsTable[[#This Row],[RepsRequested]]&gt;1),ContinuousStatsTable[[#This Row],[HalfWidth]],ContinuousStatsTable[[#This Row],[BatchMeansHalfWidth]])</f>
        <v>0</v>
      </c>
    </row>
    <row r="279" spans="1:21" x14ac:dyDescent="0.25">
      <c r="A279" t="s">
        <v>67</v>
      </c>
      <c r="B279" t="s">
        <v>70</v>
      </c>
      <c r="C279">
        <v>7</v>
      </c>
      <c r="D279" t="s">
        <v>71</v>
      </c>
      <c r="E279" t="s">
        <v>74</v>
      </c>
      <c r="F279" t="s">
        <v>73</v>
      </c>
      <c r="G279">
        <v>0</v>
      </c>
      <c r="H279">
        <v>2E+20</v>
      </c>
      <c r="I279">
        <v>0</v>
      </c>
      <c r="J279">
        <v>0</v>
      </c>
      <c r="K279">
        <v>0</v>
      </c>
      <c r="L279">
        <v>0</v>
      </c>
      <c r="M279" s="5" t="str">
        <f>ContinuousStatsTable[[#This Row],[ProjectName]]&amp;ContinuousStatsTable[[#This Row],[Name]]&amp;ContinuousStatsTable[[#This Row],[Type]]&amp;ContinuousStatsTable[[#This Row],[Source]]</f>
        <v>Unnamed ProjectassemblerNumber BusyResource</v>
      </c>
      <c r="N279" s="5">
        <f t="array" ref="N279">MAX(IF((ProjectInfoTable[ProjectName]=ContinuousStatsTable[[#This Row],[ProjectName]]),(ProjectInfoTable[ProjectName]=ContinuousStatsTable[[#This Row],[ProjectName]])*ProjectInfoTable[NumberOfReplications]))</f>
        <v>15</v>
      </c>
      <c r="O279" s="5">
        <f t="array" ref="O279">IFERROR(AVERAGE(IF((ContinuousStatsTable[GroupByKey]=ContinuousStatsTable[[#This Row],[GroupByKey]]),(ContinuousStatsTable[GroupByKey]=ContinuousStatsTable[[#This Row],[GroupByKey]])*ContinuousStatsTable[Average])),0)</f>
        <v>0</v>
      </c>
      <c r="P279" s="5">
        <f t="array" ref="P279">IFERROR(_xlfn.STDEV.S(IF((ContinuousStatsTable[GroupByKey]=ContinuousStatsTable[[#This Row],[GroupByKey]]),(ContinuousStatsTable[GroupByKey]=ContinuousStatsTable[[#This Row],[GroupByKey]])*ContinuousStatsTable[Average])),0)</f>
        <v>0</v>
      </c>
      <c r="Q279" s="5">
        <f t="array" ref="Q279">MAX(IF((ProjectInfoTable[ProjectName]=ContinuousStatsTable[[#This Row],[ProjectName]]),(ProjectInfoTable[ProjectName]=ContinuousStatsTable[[#This Row],[ProjectName]])*ProjectInfoTable[ConfidenceInterval]))</f>
        <v>0.95</v>
      </c>
      <c r="R2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9" s="5">
        <f t="array" ref="S279">MIN(IF((ContinuousStatsTable[GroupByKey]=ContinuousStatsTable[[#This Row],[GroupByKey]]),(ContinuousStatsTable[GroupByKey]=ContinuousStatsTable[[#This Row],[GroupByKey]])*ContinuousStatsTable[Average]))</f>
        <v>0</v>
      </c>
      <c r="T279" s="5">
        <f t="array" ref="T279">MAX(IF((ContinuousStatsTable[GroupByKey]=ContinuousStatsTable[[#This Row],[GroupByKey]]),(ContinuousStatsTable[GroupByKey]=ContinuousStatsTable[[#This Row],[GroupByKey]])*ContinuousStatsTable[Average]))</f>
        <v>0</v>
      </c>
      <c r="U279" s="5">
        <f>IF((ContinuousStatsTable[[#This Row],[RepsRequested]]&gt;1),ContinuousStatsTable[[#This Row],[HalfWidth]],ContinuousStatsTable[[#This Row],[BatchMeansHalfWidth]])</f>
        <v>0</v>
      </c>
    </row>
    <row r="280" spans="1:21" x14ac:dyDescent="0.25">
      <c r="A280" t="s">
        <v>67</v>
      </c>
      <c r="B280" t="s">
        <v>70</v>
      </c>
      <c r="C280">
        <v>7</v>
      </c>
      <c r="D280" t="s">
        <v>71</v>
      </c>
      <c r="E280" t="s">
        <v>75</v>
      </c>
      <c r="F280" t="s">
        <v>73</v>
      </c>
      <c r="G280">
        <v>1.58375</v>
      </c>
      <c r="H280">
        <v>3E+20</v>
      </c>
      <c r="I280">
        <v>1</v>
      </c>
      <c r="J280">
        <v>2</v>
      </c>
      <c r="K280">
        <v>2</v>
      </c>
      <c r="L280">
        <v>0</v>
      </c>
      <c r="M280" s="5" t="str">
        <f>ContinuousStatsTable[[#This Row],[ProjectName]]&amp;ContinuousStatsTable[[#This Row],[Name]]&amp;ContinuousStatsTable[[#This Row],[Type]]&amp;ContinuousStatsTable[[#This Row],[Source]]</f>
        <v>Unnamed ProjectassemblerNumber ScheduledResource</v>
      </c>
      <c r="N280" s="5">
        <f t="array" ref="N280">MAX(IF((ProjectInfoTable[ProjectName]=ContinuousStatsTable[[#This Row],[ProjectName]]),(ProjectInfoTable[ProjectName]=ContinuousStatsTable[[#This Row],[ProjectName]])*ProjectInfoTable[NumberOfReplications]))</f>
        <v>15</v>
      </c>
      <c r="O280" s="5">
        <f t="array" ref="O280">IFERROR(AVERAGE(IF((ContinuousStatsTable[GroupByKey]=ContinuousStatsTable[[#This Row],[GroupByKey]]),(ContinuousStatsTable[GroupByKey]=ContinuousStatsTable[[#This Row],[GroupByKey]])*ContinuousStatsTable[Average])),0)</f>
        <v>1.5333142680768803</v>
      </c>
      <c r="P280" s="5">
        <f t="array" ref="P280">IFERROR(_xlfn.STDEV.S(IF((ContinuousStatsTable[GroupByKey]=ContinuousStatsTable[[#This Row],[GroupByKey]]),(ContinuousStatsTable[GroupByKey]=ContinuousStatsTable[[#This Row],[GroupByKey]])*ContinuousStatsTable[Average])),0)</f>
        <v>0.24151891999367611</v>
      </c>
      <c r="Q280" s="5">
        <f t="array" ref="Q280">MAX(IF((ProjectInfoTable[ProjectName]=ContinuousStatsTable[[#This Row],[ProjectName]]),(ProjectInfoTable[ProjectName]=ContinuousStatsTable[[#This Row],[ProjectName]])*ProjectInfoTable[ConfidenceInterval]))</f>
        <v>0.95</v>
      </c>
      <c r="R2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0.13374871983117992</v>
      </c>
      <c r="S280" s="5">
        <f t="array" ref="S280">MIN(IF((ContinuousStatsTable[GroupByKey]=ContinuousStatsTable[[#This Row],[GroupByKey]]),(ContinuousStatsTable[GroupByKey]=ContinuousStatsTable[[#This Row],[GroupByKey]])*ContinuousStatsTable[Average]))</f>
        <v>1</v>
      </c>
      <c r="T280" s="5">
        <f t="array" ref="T280">MAX(IF((ContinuousStatsTable[GroupByKey]=ContinuousStatsTable[[#This Row],[GroupByKey]]),(ContinuousStatsTable[GroupByKey]=ContinuousStatsTable[[#This Row],[GroupByKey]])*ContinuousStatsTable[Average]))</f>
        <v>2</v>
      </c>
      <c r="U280" s="5">
        <f>IF((ContinuousStatsTable[[#This Row],[RepsRequested]]&gt;1),ContinuousStatsTable[[#This Row],[HalfWidth]],ContinuousStatsTable[[#This Row],[BatchMeansHalfWidth]])</f>
        <v>0.13374871983117992</v>
      </c>
    </row>
    <row r="281" spans="1:21" x14ac:dyDescent="0.25">
      <c r="A281" t="s">
        <v>67</v>
      </c>
      <c r="B281" t="s">
        <v>70</v>
      </c>
      <c r="C281">
        <v>7</v>
      </c>
      <c r="D281" t="s">
        <v>76</v>
      </c>
      <c r="E281" t="s">
        <v>72</v>
      </c>
      <c r="F281" t="s">
        <v>73</v>
      </c>
      <c r="G281">
        <v>0</v>
      </c>
      <c r="H281">
        <v>2E+20</v>
      </c>
      <c r="I281">
        <v>0</v>
      </c>
      <c r="J281">
        <v>0</v>
      </c>
      <c r="K281">
        <v>0</v>
      </c>
      <c r="L281">
        <v>0</v>
      </c>
      <c r="M281" s="5" t="str">
        <f>ContinuousStatsTable[[#This Row],[ProjectName]]&amp;ContinuousStatsTable[[#This Row],[Name]]&amp;ContinuousStatsTable[[#This Row],[Type]]&amp;ContinuousStatsTable[[#This Row],[Source]]</f>
        <v>Unnamed ProjectassemblyqcworkerInstantaneous UtilizationResource</v>
      </c>
      <c r="N281" s="5">
        <f t="array" ref="N281">MAX(IF((ProjectInfoTable[ProjectName]=ContinuousStatsTable[[#This Row],[ProjectName]]),(ProjectInfoTable[ProjectName]=ContinuousStatsTable[[#This Row],[ProjectName]])*ProjectInfoTable[NumberOfReplications]))</f>
        <v>15</v>
      </c>
      <c r="O281" s="5">
        <f t="array" ref="O281">IFERROR(AVERAGE(IF((ContinuousStatsTable[GroupByKey]=ContinuousStatsTable[[#This Row],[GroupByKey]]),(ContinuousStatsTable[GroupByKey]=ContinuousStatsTable[[#This Row],[GroupByKey]])*ContinuousStatsTable[Average])),0)</f>
        <v>0</v>
      </c>
      <c r="P281" s="5">
        <f t="array" ref="P281">IFERROR(_xlfn.STDEV.S(IF((ContinuousStatsTable[GroupByKey]=ContinuousStatsTable[[#This Row],[GroupByKey]]),(ContinuousStatsTable[GroupByKey]=ContinuousStatsTable[[#This Row],[GroupByKey]])*ContinuousStatsTable[Average])),0)</f>
        <v>0</v>
      </c>
      <c r="Q281" s="5">
        <f t="array" ref="Q281">MAX(IF((ProjectInfoTable[ProjectName]=ContinuousStatsTable[[#This Row],[ProjectName]]),(ProjectInfoTable[ProjectName]=ContinuousStatsTable[[#This Row],[ProjectName]])*ProjectInfoTable[ConfidenceInterval]))</f>
        <v>0.95</v>
      </c>
      <c r="R2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1" s="5">
        <f t="array" ref="S281">MIN(IF((ContinuousStatsTable[GroupByKey]=ContinuousStatsTable[[#This Row],[GroupByKey]]),(ContinuousStatsTable[GroupByKey]=ContinuousStatsTable[[#This Row],[GroupByKey]])*ContinuousStatsTable[Average]))</f>
        <v>0</v>
      </c>
      <c r="T281" s="5">
        <f t="array" ref="T281">MAX(IF((ContinuousStatsTable[GroupByKey]=ContinuousStatsTable[[#This Row],[GroupByKey]]),(ContinuousStatsTable[GroupByKey]=ContinuousStatsTable[[#This Row],[GroupByKey]])*ContinuousStatsTable[Average]))</f>
        <v>0</v>
      </c>
      <c r="U281" s="5">
        <f>IF((ContinuousStatsTable[[#This Row],[RepsRequested]]&gt;1),ContinuousStatsTable[[#This Row],[HalfWidth]],ContinuousStatsTable[[#This Row],[BatchMeansHalfWidth]])</f>
        <v>0</v>
      </c>
    </row>
    <row r="282" spans="1:21" x14ac:dyDescent="0.25">
      <c r="A282" t="s">
        <v>67</v>
      </c>
      <c r="B282" t="s">
        <v>70</v>
      </c>
      <c r="C282">
        <v>7</v>
      </c>
      <c r="D282" t="s">
        <v>76</v>
      </c>
      <c r="E282" t="s">
        <v>74</v>
      </c>
      <c r="F282" t="s">
        <v>73</v>
      </c>
      <c r="G282">
        <v>0</v>
      </c>
      <c r="H282">
        <v>2E+20</v>
      </c>
      <c r="I282">
        <v>0</v>
      </c>
      <c r="J282">
        <v>0</v>
      </c>
      <c r="K282">
        <v>0</v>
      </c>
      <c r="L282">
        <v>0</v>
      </c>
      <c r="M282" s="5" t="str">
        <f>ContinuousStatsTable[[#This Row],[ProjectName]]&amp;ContinuousStatsTable[[#This Row],[Name]]&amp;ContinuousStatsTable[[#This Row],[Type]]&amp;ContinuousStatsTable[[#This Row],[Source]]</f>
        <v>Unnamed ProjectassemblyqcworkerNumber BusyResource</v>
      </c>
      <c r="N282" s="5">
        <f t="array" ref="N282">MAX(IF((ProjectInfoTable[ProjectName]=ContinuousStatsTable[[#This Row],[ProjectName]]),(ProjectInfoTable[ProjectName]=ContinuousStatsTable[[#This Row],[ProjectName]])*ProjectInfoTable[NumberOfReplications]))</f>
        <v>15</v>
      </c>
      <c r="O282" s="5">
        <f t="array" ref="O282">IFERROR(AVERAGE(IF((ContinuousStatsTable[GroupByKey]=ContinuousStatsTable[[#This Row],[GroupByKey]]),(ContinuousStatsTable[GroupByKey]=ContinuousStatsTable[[#This Row],[GroupByKey]])*ContinuousStatsTable[Average])),0)</f>
        <v>0</v>
      </c>
      <c r="P282" s="5">
        <f t="array" ref="P282">IFERROR(_xlfn.STDEV.S(IF((ContinuousStatsTable[GroupByKey]=ContinuousStatsTable[[#This Row],[GroupByKey]]),(ContinuousStatsTable[GroupByKey]=ContinuousStatsTable[[#This Row],[GroupByKey]])*ContinuousStatsTable[Average])),0)</f>
        <v>0</v>
      </c>
      <c r="Q282" s="5">
        <f t="array" ref="Q282">MAX(IF((ProjectInfoTable[ProjectName]=ContinuousStatsTable[[#This Row],[ProjectName]]),(ProjectInfoTable[ProjectName]=ContinuousStatsTable[[#This Row],[ProjectName]])*ProjectInfoTable[ConfidenceInterval]))</f>
        <v>0.95</v>
      </c>
      <c r="R2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2" s="5">
        <f t="array" ref="S282">MIN(IF((ContinuousStatsTable[GroupByKey]=ContinuousStatsTable[[#This Row],[GroupByKey]]),(ContinuousStatsTable[GroupByKey]=ContinuousStatsTable[[#This Row],[GroupByKey]])*ContinuousStatsTable[Average]))</f>
        <v>0</v>
      </c>
      <c r="T282" s="5">
        <f t="array" ref="T282">MAX(IF((ContinuousStatsTable[GroupByKey]=ContinuousStatsTable[[#This Row],[GroupByKey]]),(ContinuousStatsTable[GroupByKey]=ContinuousStatsTable[[#This Row],[GroupByKey]])*ContinuousStatsTable[Average]))</f>
        <v>0</v>
      </c>
      <c r="U282" s="5">
        <f>IF((ContinuousStatsTable[[#This Row],[RepsRequested]]&gt;1),ContinuousStatsTable[[#This Row],[HalfWidth]],ContinuousStatsTable[[#This Row],[BatchMeansHalfWidth]])</f>
        <v>0</v>
      </c>
    </row>
    <row r="283" spans="1:21" x14ac:dyDescent="0.25">
      <c r="A283" t="s">
        <v>67</v>
      </c>
      <c r="B283" t="s">
        <v>70</v>
      </c>
      <c r="C283">
        <v>7</v>
      </c>
      <c r="D283" t="s">
        <v>76</v>
      </c>
      <c r="E283" t="s">
        <v>75</v>
      </c>
      <c r="F283" t="s">
        <v>73</v>
      </c>
      <c r="G283">
        <v>1.5834999999999999</v>
      </c>
      <c r="H283">
        <v>3E+20</v>
      </c>
      <c r="I283">
        <v>1</v>
      </c>
      <c r="J283">
        <v>2</v>
      </c>
      <c r="K283">
        <v>2</v>
      </c>
      <c r="L283">
        <v>0</v>
      </c>
      <c r="M283" s="5" t="str">
        <f>ContinuousStatsTable[[#This Row],[ProjectName]]&amp;ContinuousStatsTable[[#This Row],[Name]]&amp;ContinuousStatsTable[[#This Row],[Type]]&amp;ContinuousStatsTable[[#This Row],[Source]]</f>
        <v>Unnamed ProjectassemblyqcworkerNumber ScheduledResource</v>
      </c>
      <c r="N283" s="5">
        <f t="array" ref="N283">MAX(IF((ProjectInfoTable[ProjectName]=ContinuousStatsTable[[#This Row],[ProjectName]]),(ProjectInfoTable[ProjectName]=ContinuousStatsTable[[#This Row],[ProjectName]])*ProjectInfoTable[NumberOfReplications]))</f>
        <v>15</v>
      </c>
      <c r="O283" s="5">
        <f t="array" ref="O283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283" s="5">
        <f t="array" ref="P283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283" s="5">
        <f t="array" ref="Q283">MAX(IF((ProjectInfoTable[ProjectName]=ContinuousStatsTable[[#This Row],[ProjectName]]),(ProjectInfoTable[ProjectName]=ContinuousStatsTable[[#This Row],[ProjectName]])*ProjectInfoTable[ConfidenceInterval]))</f>
        <v>0.95</v>
      </c>
      <c r="R2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283" s="5">
        <f t="array" ref="S283">MIN(IF((ContinuousStatsTable[GroupByKey]=ContinuousStatsTable[[#This Row],[GroupByKey]]),(ContinuousStatsTable[GroupByKey]=ContinuousStatsTable[[#This Row],[GroupByKey]])*ContinuousStatsTable[Average]))</f>
        <v>1</v>
      </c>
      <c r="T283" s="5">
        <f t="array" ref="T283">MAX(IF((ContinuousStatsTable[GroupByKey]=ContinuousStatsTable[[#This Row],[GroupByKey]]),(ContinuousStatsTable[GroupByKey]=ContinuousStatsTable[[#This Row],[GroupByKey]])*ContinuousStatsTable[Average]))</f>
        <v>2</v>
      </c>
      <c r="U283" s="5">
        <f>IF((ContinuousStatsTable[[#This Row],[RepsRequested]]&gt;1),ContinuousStatsTable[[#This Row],[HalfWidth]],ContinuousStatsTable[[#This Row],[BatchMeansHalfWidth]])</f>
        <v>0.13376733135491528</v>
      </c>
    </row>
    <row r="284" spans="1:21" x14ac:dyDescent="0.25">
      <c r="A284" t="s">
        <v>67</v>
      </c>
      <c r="B284" t="s">
        <v>70</v>
      </c>
      <c r="C284">
        <v>7</v>
      </c>
      <c r="D284" t="s">
        <v>77</v>
      </c>
      <c r="E284" t="s">
        <v>78</v>
      </c>
      <c r="F284" t="s">
        <v>79</v>
      </c>
      <c r="G284">
        <v>0</v>
      </c>
      <c r="H284">
        <v>2E+20</v>
      </c>
      <c r="I284">
        <v>0</v>
      </c>
      <c r="J284">
        <v>0</v>
      </c>
      <c r="K284">
        <v>0</v>
      </c>
      <c r="L284">
        <v>0</v>
      </c>
      <c r="M284" s="5" t="str">
        <f>ContinuousStatsTable[[#This Row],[ProjectName]]&amp;ContinuousStatsTable[[#This Row],[Name]]&amp;ContinuousStatsTable[[#This Row],[Type]]&amp;ContinuousStatsTable[[#This Row],[Source]]</f>
        <v>Unnamed Projectbatched_partsWIPEntity</v>
      </c>
      <c r="N284" s="5">
        <f t="array" ref="N284">MAX(IF((ProjectInfoTable[ProjectName]=ContinuousStatsTable[[#This Row],[ProjectName]]),(ProjectInfoTable[ProjectName]=ContinuousStatsTable[[#This Row],[ProjectName]])*ProjectInfoTable[NumberOfReplications]))</f>
        <v>15</v>
      </c>
      <c r="O284" s="5">
        <f t="array" ref="O284">IFERROR(AVERAGE(IF((ContinuousStatsTable[GroupByKey]=ContinuousStatsTable[[#This Row],[GroupByKey]]),(ContinuousStatsTable[GroupByKey]=ContinuousStatsTable[[#This Row],[GroupByKey]])*ContinuousStatsTable[Average])),0)</f>
        <v>0</v>
      </c>
      <c r="P284" s="5">
        <f t="array" ref="P284">IFERROR(_xlfn.STDEV.S(IF((ContinuousStatsTable[GroupByKey]=ContinuousStatsTable[[#This Row],[GroupByKey]]),(ContinuousStatsTable[GroupByKey]=ContinuousStatsTable[[#This Row],[GroupByKey]])*ContinuousStatsTable[Average])),0)</f>
        <v>0</v>
      </c>
      <c r="Q284" s="5">
        <f t="array" ref="Q284">MAX(IF((ProjectInfoTable[ProjectName]=ContinuousStatsTable[[#This Row],[ProjectName]]),(ProjectInfoTable[ProjectName]=ContinuousStatsTable[[#This Row],[ProjectName]])*ProjectInfoTable[ConfidenceInterval]))</f>
        <v>0.95</v>
      </c>
      <c r="R2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4" s="5">
        <f t="array" ref="S284">MIN(IF((ContinuousStatsTable[GroupByKey]=ContinuousStatsTable[[#This Row],[GroupByKey]]),(ContinuousStatsTable[GroupByKey]=ContinuousStatsTable[[#This Row],[GroupByKey]])*ContinuousStatsTable[Average]))</f>
        <v>0</v>
      </c>
      <c r="T284" s="5">
        <f t="array" ref="T284">MAX(IF((ContinuousStatsTable[GroupByKey]=ContinuousStatsTable[[#This Row],[GroupByKey]]),(ContinuousStatsTable[GroupByKey]=ContinuousStatsTable[[#This Row],[GroupByKey]])*ContinuousStatsTable[Average]))</f>
        <v>0</v>
      </c>
      <c r="U284" s="5">
        <f>IF((ContinuousStatsTable[[#This Row],[RepsRequested]]&gt;1),ContinuousStatsTable[[#This Row],[HalfWidth]],ContinuousStatsTable[[#This Row],[BatchMeansHalfWidth]])</f>
        <v>0</v>
      </c>
    </row>
    <row r="285" spans="1:21" x14ac:dyDescent="0.25">
      <c r="A285" t="s">
        <v>67</v>
      </c>
      <c r="B285" t="s">
        <v>70</v>
      </c>
      <c r="C285">
        <v>7</v>
      </c>
      <c r="D285" t="s">
        <v>80</v>
      </c>
      <c r="E285" t="s">
        <v>72</v>
      </c>
      <c r="F285" t="s">
        <v>73</v>
      </c>
      <c r="G285">
        <v>0</v>
      </c>
      <c r="H285">
        <v>2E+20</v>
      </c>
      <c r="I285">
        <v>0</v>
      </c>
      <c r="J285">
        <v>0</v>
      </c>
      <c r="K285">
        <v>0</v>
      </c>
      <c r="L285">
        <v>0</v>
      </c>
      <c r="M285" s="5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285" s="5">
        <f t="array" ref="N285">MAX(IF((ProjectInfoTable[ProjectName]=ContinuousStatsTable[[#This Row],[ProjectName]]),(ProjectInfoTable[ProjectName]=ContinuousStatsTable[[#This Row],[ProjectName]])*ProjectInfoTable[NumberOfReplications]))</f>
        <v>15</v>
      </c>
      <c r="O285" s="5">
        <f t="array" ref="O285">IFERROR(AVERAGE(IF((ContinuousStatsTable[GroupByKey]=ContinuousStatsTable[[#This Row],[GroupByKey]]),(ContinuousStatsTable[GroupByKey]=ContinuousStatsTable[[#This Row],[GroupByKey]])*ContinuousStatsTable[Average])),0)</f>
        <v>0</v>
      </c>
      <c r="P285" s="5">
        <f t="array" ref="P285">IFERROR(_xlfn.STDEV.S(IF((ContinuousStatsTable[GroupByKey]=ContinuousStatsTable[[#This Row],[GroupByKey]]),(ContinuousStatsTable[GroupByKey]=ContinuousStatsTable[[#This Row],[GroupByKey]])*ContinuousStatsTable[Average])),0)</f>
        <v>0</v>
      </c>
      <c r="Q285" s="5">
        <f t="array" ref="Q285">MAX(IF((ProjectInfoTable[ProjectName]=ContinuousStatsTable[[#This Row],[ProjectName]]),(ProjectInfoTable[ProjectName]=ContinuousStatsTable[[#This Row],[ProjectName]])*ProjectInfoTable[ConfidenceInterval]))</f>
        <v>0.95</v>
      </c>
      <c r="R2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5" s="5">
        <f t="array" ref="S285">MIN(IF((ContinuousStatsTable[GroupByKey]=ContinuousStatsTable[[#This Row],[GroupByKey]]),(ContinuousStatsTable[GroupByKey]=ContinuousStatsTable[[#This Row],[GroupByKey]])*ContinuousStatsTable[Average]))</f>
        <v>0</v>
      </c>
      <c r="T285" s="5">
        <f t="array" ref="T285">MAX(IF((ContinuousStatsTable[GroupByKey]=ContinuousStatsTable[[#This Row],[GroupByKey]]),(ContinuousStatsTable[GroupByKey]=ContinuousStatsTable[[#This Row],[GroupByKey]])*ContinuousStatsTable[Average]))</f>
        <v>0</v>
      </c>
      <c r="U285" s="5">
        <f>IF((ContinuousStatsTable[[#This Row],[RepsRequested]]&gt;1),ContinuousStatsTable[[#This Row],[HalfWidth]],ContinuousStatsTable[[#This Row],[BatchMeansHalfWidth]])</f>
        <v>0</v>
      </c>
    </row>
    <row r="286" spans="1:21" x14ac:dyDescent="0.25">
      <c r="A286" t="s">
        <v>67</v>
      </c>
      <c r="B286" t="s">
        <v>70</v>
      </c>
      <c r="C286">
        <v>7</v>
      </c>
      <c r="D286" t="s">
        <v>80</v>
      </c>
      <c r="E286" t="s">
        <v>74</v>
      </c>
      <c r="F286" t="s">
        <v>73</v>
      </c>
      <c r="G286">
        <v>0</v>
      </c>
      <c r="H286">
        <v>2E+20</v>
      </c>
      <c r="I286">
        <v>0</v>
      </c>
      <c r="J286">
        <v>0</v>
      </c>
      <c r="K286">
        <v>0</v>
      </c>
      <c r="L286">
        <v>0</v>
      </c>
      <c r="M286" s="5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286" s="5">
        <f t="array" ref="N286">MAX(IF((ProjectInfoTable[ProjectName]=ContinuousStatsTable[[#This Row],[ProjectName]]),(ProjectInfoTable[ProjectName]=ContinuousStatsTable[[#This Row],[ProjectName]])*ProjectInfoTable[NumberOfReplications]))</f>
        <v>15</v>
      </c>
      <c r="O286" s="5">
        <f t="array" ref="O286">IFERROR(AVERAGE(IF((ContinuousStatsTable[GroupByKey]=ContinuousStatsTable[[#This Row],[GroupByKey]]),(ContinuousStatsTable[GroupByKey]=ContinuousStatsTable[[#This Row],[GroupByKey]])*ContinuousStatsTable[Average])),0)</f>
        <v>0</v>
      </c>
      <c r="P286" s="5">
        <f t="array" ref="P286">IFERROR(_xlfn.STDEV.S(IF((ContinuousStatsTable[GroupByKey]=ContinuousStatsTable[[#This Row],[GroupByKey]]),(ContinuousStatsTable[GroupByKey]=ContinuousStatsTable[[#This Row],[GroupByKey]])*ContinuousStatsTable[Average])),0)</f>
        <v>0</v>
      </c>
      <c r="Q286" s="5">
        <f t="array" ref="Q286">MAX(IF((ProjectInfoTable[ProjectName]=ContinuousStatsTable[[#This Row],[ProjectName]]),(ProjectInfoTable[ProjectName]=ContinuousStatsTable[[#This Row],[ProjectName]])*ProjectInfoTable[ConfidenceInterval]))</f>
        <v>0.95</v>
      </c>
      <c r="R2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6" s="5">
        <f t="array" ref="S286">MIN(IF((ContinuousStatsTable[GroupByKey]=ContinuousStatsTable[[#This Row],[GroupByKey]]),(ContinuousStatsTable[GroupByKey]=ContinuousStatsTable[[#This Row],[GroupByKey]])*ContinuousStatsTable[Average]))</f>
        <v>0</v>
      </c>
      <c r="T286" s="5">
        <f t="array" ref="T286">MAX(IF((ContinuousStatsTable[GroupByKey]=ContinuousStatsTable[[#This Row],[GroupByKey]]),(ContinuousStatsTable[GroupByKey]=ContinuousStatsTable[[#This Row],[GroupByKey]])*ContinuousStatsTable[Average]))</f>
        <v>0</v>
      </c>
      <c r="U286" s="5">
        <f>IF((ContinuousStatsTable[[#This Row],[RepsRequested]]&gt;1),ContinuousStatsTable[[#This Row],[HalfWidth]],ContinuousStatsTable[[#This Row],[BatchMeansHalfWidth]])</f>
        <v>0</v>
      </c>
    </row>
    <row r="287" spans="1:21" x14ac:dyDescent="0.25">
      <c r="A287" t="s">
        <v>67</v>
      </c>
      <c r="B287" t="s">
        <v>70</v>
      </c>
      <c r="C287">
        <v>7</v>
      </c>
      <c r="D287" t="s">
        <v>80</v>
      </c>
      <c r="E287" t="s">
        <v>75</v>
      </c>
      <c r="F287" t="s">
        <v>73</v>
      </c>
      <c r="G287">
        <v>1.5834999999999999</v>
      </c>
      <c r="H287">
        <v>3E+20</v>
      </c>
      <c r="I287">
        <v>1</v>
      </c>
      <c r="J287">
        <v>2</v>
      </c>
      <c r="K287">
        <v>2</v>
      </c>
      <c r="L287">
        <v>0</v>
      </c>
      <c r="M287" s="5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287" s="5">
        <f t="array" ref="N287">MAX(IF((ProjectInfoTable[ProjectName]=ContinuousStatsTable[[#This Row],[ProjectName]]),(ProjectInfoTable[ProjectName]=ContinuousStatsTable[[#This Row],[ProjectName]])*ProjectInfoTable[NumberOfReplications]))</f>
        <v>15</v>
      </c>
      <c r="O287" s="5">
        <f t="array" ref="O287">IFERROR(AVERAGE(IF((ContinuousStatsTable[GroupByKey]=ContinuousStatsTable[[#This Row],[GroupByKey]]),(ContinuousStatsTable[GroupByKey]=ContinuousStatsTable[[#This Row],[GroupByKey]])*ContinuousStatsTable[Average])),0)</f>
        <v>1.5334471868881776</v>
      </c>
      <c r="P287" s="5">
        <f t="array" ref="P287">IFERROR(_xlfn.STDEV.S(IF((ContinuousStatsTable[GroupByKey]=ContinuousStatsTable[[#This Row],[GroupByKey]]),(ContinuousStatsTable[GroupByKey]=ContinuousStatsTable[[#This Row],[GroupByKey]])*ContinuousStatsTable[Average])),0)</f>
        <v>0.24154821158553658</v>
      </c>
      <c r="Q287" s="5">
        <f t="array" ref="Q287">MAX(IF((ProjectInfoTable[ProjectName]=ContinuousStatsTable[[#This Row],[ProjectName]]),(ProjectInfoTable[ProjectName]=ContinuousStatsTable[[#This Row],[ProjectName]])*ProjectInfoTable[ConfidenceInterval]))</f>
        <v>0.95</v>
      </c>
      <c r="R2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0.13376494097407529</v>
      </c>
      <c r="S287" s="5">
        <f t="array" ref="S287">MIN(IF((ContinuousStatsTable[GroupByKey]=ContinuousStatsTable[[#This Row],[GroupByKey]]),(ContinuousStatsTable[GroupByKey]=ContinuousStatsTable[[#This Row],[GroupByKey]])*ContinuousStatsTable[Average]))</f>
        <v>1</v>
      </c>
      <c r="T287" s="5">
        <f t="array" ref="T287">MAX(IF((ContinuousStatsTable[GroupByKey]=ContinuousStatsTable[[#This Row],[GroupByKey]]),(ContinuousStatsTable[GroupByKey]=ContinuousStatsTable[[#This Row],[GroupByKey]])*ContinuousStatsTable[Average]))</f>
        <v>2</v>
      </c>
      <c r="U287" s="5">
        <f>IF((ContinuousStatsTable[[#This Row],[RepsRequested]]&gt;1),ContinuousStatsTable[[#This Row],[HalfWidth]],ContinuousStatsTable[[#This Row],[BatchMeansHalfWidth]])</f>
        <v>0.13376494097407529</v>
      </c>
    </row>
    <row r="288" spans="1:21" x14ac:dyDescent="0.25">
      <c r="A288" t="s">
        <v>67</v>
      </c>
      <c r="B288" t="s">
        <v>70</v>
      </c>
      <c r="C288">
        <v>7</v>
      </c>
      <c r="D288" t="s">
        <v>81</v>
      </c>
      <c r="E288" t="s">
        <v>72</v>
      </c>
      <c r="F288" t="s">
        <v>73</v>
      </c>
      <c r="G288">
        <v>0</v>
      </c>
      <c r="H288">
        <v>2E+20</v>
      </c>
      <c r="I288">
        <v>0</v>
      </c>
      <c r="J288">
        <v>0</v>
      </c>
      <c r="K288">
        <v>0</v>
      </c>
      <c r="L288">
        <v>0</v>
      </c>
      <c r="M288" s="5" t="str">
        <f>ContinuousStatsTable[[#This Row],[ProjectName]]&amp;ContinuousStatsTable[[#This Row],[Name]]&amp;ContinuousStatsTable[[#This Row],[Type]]&amp;ContinuousStatsTable[[#This Row],[Source]]</f>
        <v>Unnamed ProjectcutterInstantaneous UtilizationResource</v>
      </c>
      <c r="N288" s="5">
        <f t="array" ref="N288">MAX(IF((ProjectInfoTable[ProjectName]=ContinuousStatsTable[[#This Row],[ProjectName]]),(ProjectInfoTable[ProjectName]=ContinuousStatsTable[[#This Row],[ProjectName]])*ProjectInfoTable[NumberOfReplications]))</f>
        <v>15</v>
      </c>
      <c r="O288" s="5">
        <f t="array" ref="O288">IFERROR(AVERAGE(IF((ContinuousStatsTable[GroupByKey]=ContinuousStatsTable[[#This Row],[GroupByKey]]),(ContinuousStatsTable[GroupByKey]=ContinuousStatsTable[[#This Row],[GroupByKey]])*ContinuousStatsTable[Average])),0)</f>
        <v>0</v>
      </c>
      <c r="P288" s="5">
        <f t="array" ref="P288">IFERROR(_xlfn.STDEV.S(IF((ContinuousStatsTable[GroupByKey]=ContinuousStatsTable[[#This Row],[GroupByKey]]),(ContinuousStatsTable[GroupByKey]=ContinuousStatsTable[[#This Row],[GroupByKey]])*ContinuousStatsTable[Average])),0)</f>
        <v>0</v>
      </c>
      <c r="Q288" s="5">
        <f t="array" ref="Q288">MAX(IF((ProjectInfoTable[ProjectName]=ContinuousStatsTable[[#This Row],[ProjectName]]),(ProjectInfoTable[ProjectName]=ContinuousStatsTable[[#This Row],[ProjectName]])*ProjectInfoTable[ConfidenceInterval]))</f>
        <v>0.95</v>
      </c>
      <c r="R2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8" s="5">
        <f t="array" ref="S288">MIN(IF((ContinuousStatsTable[GroupByKey]=ContinuousStatsTable[[#This Row],[GroupByKey]]),(ContinuousStatsTable[GroupByKey]=ContinuousStatsTable[[#This Row],[GroupByKey]])*ContinuousStatsTable[Average]))</f>
        <v>0</v>
      </c>
      <c r="T288" s="5">
        <f t="array" ref="T288">MAX(IF((ContinuousStatsTable[GroupByKey]=ContinuousStatsTable[[#This Row],[GroupByKey]]),(ContinuousStatsTable[GroupByKey]=ContinuousStatsTable[[#This Row],[GroupByKey]])*ContinuousStatsTable[Average]))</f>
        <v>0</v>
      </c>
      <c r="U288" s="5">
        <f>IF((ContinuousStatsTable[[#This Row],[RepsRequested]]&gt;1),ContinuousStatsTable[[#This Row],[HalfWidth]],ContinuousStatsTable[[#This Row],[BatchMeansHalfWidth]])</f>
        <v>0</v>
      </c>
    </row>
    <row r="289" spans="1:21" x14ac:dyDescent="0.25">
      <c r="A289" t="s">
        <v>67</v>
      </c>
      <c r="B289" t="s">
        <v>70</v>
      </c>
      <c r="C289">
        <v>7</v>
      </c>
      <c r="D289" t="s">
        <v>81</v>
      </c>
      <c r="E289" t="s">
        <v>74</v>
      </c>
      <c r="F289" t="s">
        <v>73</v>
      </c>
      <c r="G289">
        <v>0</v>
      </c>
      <c r="H289">
        <v>2E+20</v>
      </c>
      <c r="I289">
        <v>0</v>
      </c>
      <c r="J289">
        <v>0</v>
      </c>
      <c r="K289">
        <v>0</v>
      </c>
      <c r="L289">
        <v>0</v>
      </c>
      <c r="M289" s="5" t="str">
        <f>ContinuousStatsTable[[#This Row],[ProjectName]]&amp;ContinuousStatsTable[[#This Row],[Name]]&amp;ContinuousStatsTable[[#This Row],[Type]]&amp;ContinuousStatsTable[[#This Row],[Source]]</f>
        <v>Unnamed ProjectcutterNumber BusyResource</v>
      </c>
      <c r="N289" s="5">
        <f t="array" ref="N289">MAX(IF((ProjectInfoTable[ProjectName]=ContinuousStatsTable[[#This Row],[ProjectName]]),(ProjectInfoTable[ProjectName]=ContinuousStatsTable[[#This Row],[ProjectName]])*ProjectInfoTable[NumberOfReplications]))</f>
        <v>15</v>
      </c>
      <c r="O289" s="5">
        <f t="array" ref="O289">IFERROR(AVERAGE(IF((ContinuousStatsTable[GroupByKey]=ContinuousStatsTable[[#This Row],[GroupByKey]]),(ContinuousStatsTable[GroupByKey]=ContinuousStatsTable[[#This Row],[GroupByKey]])*ContinuousStatsTable[Average])),0)</f>
        <v>0</v>
      </c>
      <c r="P289" s="5">
        <f t="array" ref="P289">IFERROR(_xlfn.STDEV.S(IF((ContinuousStatsTable[GroupByKey]=ContinuousStatsTable[[#This Row],[GroupByKey]]),(ContinuousStatsTable[GroupByKey]=ContinuousStatsTable[[#This Row],[GroupByKey]])*ContinuousStatsTable[Average])),0)</f>
        <v>0</v>
      </c>
      <c r="Q289" s="5">
        <f t="array" ref="Q289">MAX(IF((ProjectInfoTable[ProjectName]=ContinuousStatsTable[[#This Row],[ProjectName]]),(ProjectInfoTable[ProjectName]=ContinuousStatsTable[[#This Row],[ProjectName]])*ProjectInfoTable[ConfidenceInterval]))</f>
        <v>0.95</v>
      </c>
      <c r="R2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9" s="5">
        <f t="array" ref="S289">MIN(IF((ContinuousStatsTable[GroupByKey]=ContinuousStatsTable[[#This Row],[GroupByKey]]),(ContinuousStatsTable[GroupByKey]=ContinuousStatsTable[[#This Row],[GroupByKey]])*ContinuousStatsTable[Average]))</f>
        <v>0</v>
      </c>
      <c r="T289" s="5">
        <f t="array" ref="T289">MAX(IF((ContinuousStatsTable[GroupByKey]=ContinuousStatsTable[[#This Row],[GroupByKey]]),(ContinuousStatsTable[GroupByKey]=ContinuousStatsTable[[#This Row],[GroupByKey]])*ContinuousStatsTable[Average]))</f>
        <v>0</v>
      </c>
      <c r="U289" s="5">
        <f>IF((ContinuousStatsTable[[#This Row],[RepsRequested]]&gt;1),ContinuousStatsTable[[#This Row],[HalfWidth]],ContinuousStatsTable[[#This Row],[BatchMeansHalfWidth]])</f>
        <v>0</v>
      </c>
    </row>
    <row r="290" spans="1:21" x14ac:dyDescent="0.25">
      <c r="A290" t="s">
        <v>67</v>
      </c>
      <c r="B290" t="s">
        <v>70</v>
      </c>
      <c r="C290">
        <v>7</v>
      </c>
      <c r="D290" t="s">
        <v>81</v>
      </c>
      <c r="E290" t="s">
        <v>75</v>
      </c>
      <c r="F290" t="s">
        <v>73</v>
      </c>
      <c r="G290">
        <v>1.58325</v>
      </c>
      <c r="H290">
        <v>3E+20</v>
      </c>
      <c r="I290">
        <v>1</v>
      </c>
      <c r="J290">
        <v>2</v>
      </c>
      <c r="K290">
        <v>2</v>
      </c>
      <c r="L290">
        <v>0</v>
      </c>
      <c r="M290" s="5" t="str">
        <f>ContinuousStatsTable[[#This Row],[ProjectName]]&amp;ContinuousStatsTable[[#This Row],[Name]]&amp;ContinuousStatsTable[[#This Row],[Type]]&amp;ContinuousStatsTable[[#This Row],[Source]]</f>
        <v>Unnamed ProjectcutterNumber ScheduledResource</v>
      </c>
      <c r="N290" s="5">
        <f t="array" ref="N290">MAX(IF((ProjectInfoTable[ProjectName]=ContinuousStatsTable[[#This Row],[ProjectName]]),(ProjectInfoTable[ProjectName]=ContinuousStatsTable[[#This Row],[ProjectName]])*ProjectInfoTable[NumberOfReplications]))</f>
        <v>15</v>
      </c>
      <c r="O290" s="5">
        <f t="array" ref="O290">IFERROR(AVERAGE(IF((ContinuousStatsTable[GroupByKey]=ContinuousStatsTable[[#This Row],[GroupByKey]]),(ContinuousStatsTable[GroupByKey]=ContinuousStatsTable[[#This Row],[GroupByKey]])*ContinuousStatsTable[Average])),0)</f>
        <v>1.5332999999999999</v>
      </c>
      <c r="P290" s="5">
        <f t="array" ref="P290">IFERROR(_xlfn.STDEV.S(IF((ContinuousStatsTable[GroupByKey]=ContinuousStatsTable[[#This Row],[GroupByKey]]),(ContinuousStatsTable[GroupByKey]=ContinuousStatsTable[[#This Row],[GroupByKey]])*ContinuousStatsTable[Average])),0)</f>
        <v>0.24151556349584294</v>
      </c>
      <c r="Q290" s="5">
        <f t="array" ref="Q290">MAX(IF((ProjectInfoTable[ProjectName]=ContinuousStatsTable[[#This Row],[ProjectName]]),(ProjectInfoTable[ProjectName]=ContinuousStatsTable[[#This Row],[ProjectName]])*ProjectInfoTable[ConfidenceInterval]))</f>
        <v>0.95</v>
      </c>
      <c r="R2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0.1337468610646356</v>
      </c>
      <c r="S290" s="5">
        <f t="array" ref="S290">MIN(IF((ContinuousStatsTable[GroupByKey]=ContinuousStatsTable[[#This Row],[GroupByKey]]),(ContinuousStatsTable[GroupByKey]=ContinuousStatsTable[[#This Row],[GroupByKey]])*ContinuousStatsTable[Average]))</f>
        <v>1</v>
      </c>
      <c r="T290" s="5">
        <f t="array" ref="T290">MAX(IF((ContinuousStatsTable[GroupByKey]=ContinuousStatsTable[[#This Row],[GroupByKey]]),(ContinuousStatsTable[GroupByKey]=ContinuousStatsTable[[#This Row],[GroupByKey]])*ContinuousStatsTable[Average]))</f>
        <v>2</v>
      </c>
      <c r="U290" s="5">
        <f>IF((ContinuousStatsTable[[#This Row],[RepsRequested]]&gt;1),ContinuousStatsTable[[#This Row],[HalfWidth]],ContinuousStatsTable[[#This Row],[BatchMeansHalfWidth]])</f>
        <v>0.1337468610646356</v>
      </c>
    </row>
    <row r="291" spans="1:21" x14ac:dyDescent="0.25">
      <c r="A291" t="s">
        <v>67</v>
      </c>
      <c r="B291" t="s">
        <v>70</v>
      </c>
      <c r="C291">
        <v>7</v>
      </c>
      <c r="D291" t="s">
        <v>82</v>
      </c>
      <c r="E291" t="s">
        <v>72</v>
      </c>
      <c r="F291" t="s">
        <v>73</v>
      </c>
      <c r="G291">
        <v>0</v>
      </c>
      <c r="H291">
        <v>2E+20</v>
      </c>
      <c r="I291">
        <v>0</v>
      </c>
      <c r="J291">
        <v>0</v>
      </c>
      <c r="K291">
        <v>0</v>
      </c>
      <c r="L291">
        <v>0</v>
      </c>
      <c r="M291" s="5" t="str">
        <f>ContinuousStatsTable[[#This Row],[ProjectName]]&amp;ContinuousStatsTable[[#This Row],[Name]]&amp;ContinuousStatsTable[[#This Row],[Type]]&amp;ContinuousStatsTable[[#This Row],[Source]]</f>
        <v>Unnamed ProjectfinalqcmanInstantaneous UtilizationResource</v>
      </c>
      <c r="N291" s="5">
        <f t="array" ref="N291">MAX(IF((ProjectInfoTable[ProjectName]=ContinuousStatsTable[[#This Row],[ProjectName]]),(ProjectInfoTable[ProjectName]=ContinuousStatsTable[[#This Row],[ProjectName]])*ProjectInfoTable[NumberOfReplications]))</f>
        <v>15</v>
      </c>
      <c r="O291" s="5">
        <f t="array" ref="O291">IFERROR(AVERAGE(IF((ContinuousStatsTable[GroupByKey]=ContinuousStatsTable[[#This Row],[GroupByKey]]),(ContinuousStatsTable[GroupByKey]=ContinuousStatsTable[[#This Row],[GroupByKey]])*ContinuousStatsTable[Average])),0)</f>
        <v>0</v>
      </c>
      <c r="P291" s="5">
        <f t="array" ref="P291">IFERROR(_xlfn.STDEV.S(IF((ContinuousStatsTable[GroupByKey]=ContinuousStatsTable[[#This Row],[GroupByKey]]),(ContinuousStatsTable[GroupByKey]=ContinuousStatsTable[[#This Row],[GroupByKey]])*ContinuousStatsTable[Average])),0)</f>
        <v>0</v>
      </c>
      <c r="Q291" s="5">
        <f t="array" ref="Q291">MAX(IF((ProjectInfoTable[ProjectName]=ContinuousStatsTable[[#This Row],[ProjectName]]),(ProjectInfoTable[ProjectName]=ContinuousStatsTable[[#This Row],[ProjectName]])*ProjectInfoTable[ConfidenceInterval]))</f>
        <v>0.95</v>
      </c>
      <c r="R2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1" s="5">
        <f t="array" ref="S291">MIN(IF((ContinuousStatsTable[GroupByKey]=ContinuousStatsTable[[#This Row],[GroupByKey]]),(ContinuousStatsTable[GroupByKey]=ContinuousStatsTable[[#This Row],[GroupByKey]])*ContinuousStatsTable[Average]))</f>
        <v>0</v>
      </c>
      <c r="T291" s="5">
        <f t="array" ref="T291">MAX(IF((ContinuousStatsTable[GroupByKey]=ContinuousStatsTable[[#This Row],[GroupByKey]]),(ContinuousStatsTable[GroupByKey]=ContinuousStatsTable[[#This Row],[GroupByKey]])*ContinuousStatsTable[Average]))</f>
        <v>0</v>
      </c>
      <c r="U291" s="5">
        <f>IF((ContinuousStatsTable[[#This Row],[RepsRequested]]&gt;1),ContinuousStatsTable[[#This Row],[HalfWidth]],ContinuousStatsTable[[#This Row],[BatchMeansHalfWidth]])</f>
        <v>0</v>
      </c>
    </row>
    <row r="292" spans="1:21" x14ac:dyDescent="0.25">
      <c r="A292" t="s">
        <v>67</v>
      </c>
      <c r="B292" t="s">
        <v>70</v>
      </c>
      <c r="C292">
        <v>7</v>
      </c>
      <c r="D292" t="s">
        <v>82</v>
      </c>
      <c r="E292" t="s">
        <v>74</v>
      </c>
      <c r="F292" t="s">
        <v>73</v>
      </c>
      <c r="G292">
        <v>0</v>
      </c>
      <c r="H292">
        <v>2E+20</v>
      </c>
      <c r="I292">
        <v>0</v>
      </c>
      <c r="J292">
        <v>0</v>
      </c>
      <c r="K292">
        <v>0</v>
      </c>
      <c r="L292">
        <v>0</v>
      </c>
      <c r="M292" s="5" t="str">
        <f>ContinuousStatsTable[[#This Row],[ProjectName]]&amp;ContinuousStatsTable[[#This Row],[Name]]&amp;ContinuousStatsTable[[#This Row],[Type]]&amp;ContinuousStatsTable[[#This Row],[Source]]</f>
        <v>Unnamed ProjectfinalqcmanNumber BusyResource</v>
      </c>
      <c r="N292" s="5">
        <f t="array" ref="N292">MAX(IF((ProjectInfoTable[ProjectName]=ContinuousStatsTable[[#This Row],[ProjectName]]),(ProjectInfoTable[ProjectName]=ContinuousStatsTable[[#This Row],[ProjectName]])*ProjectInfoTable[NumberOfReplications]))</f>
        <v>15</v>
      </c>
      <c r="O292" s="5">
        <f t="array" ref="O292">IFERROR(AVERAGE(IF((ContinuousStatsTable[GroupByKey]=ContinuousStatsTable[[#This Row],[GroupByKey]]),(ContinuousStatsTable[GroupByKey]=ContinuousStatsTable[[#This Row],[GroupByKey]])*ContinuousStatsTable[Average])),0)</f>
        <v>0</v>
      </c>
      <c r="P292" s="5">
        <f t="array" ref="P292">IFERROR(_xlfn.STDEV.S(IF((ContinuousStatsTable[GroupByKey]=ContinuousStatsTable[[#This Row],[GroupByKey]]),(ContinuousStatsTable[GroupByKey]=ContinuousStatsTable[[#This Row],[GroupByKey]])*ContinuousStatsTable[Average])),0)</f>
        <v>0</v>
      </c>
      <c r="Q292" s="5">
        <f t="array" ref="Q292">MAX(IF((ProjectInfoTable[ProjectName]=ContinuousStatsTable[[#This Row],[ProjectName]]),(ProjectInfoTable[ProjectName]=ContinuousStatsTable[[#This Row],[ProjectName]])*ProjectInfoTable[ConfidenceInterval]))</f>
        <v>0.95</v>
      </c>
      <c r="R2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2" s="5">
        <f t="array" ref="S292">MIN(IF((ContinuousStatsTable[GroupByKey]=ContinuousStatsTable[[#This Row],[GroupByKey]]),(ContinuousStatsTable[GroupByKey]=ContinuousStatsTable[[#This Row],[GroupByKey]])*ContinuousStatsTable[Average]))</f>
        <v>0</v>
      </c>
      <c r="T292" s="5">
        <f t="array" ref="T292">MAX(IF((ContinuousStatsTable[GroupByKey]=ContinuousStatsTable[[#This Row],[GroupByKey]]),(ContinuousStatsTable[GroupByKey]=ContinuousStatsTable[[#This Row],[GroupByKey]])*ContinuousStatsTable[Average]))</f>
        <v>0</v>
      </c>
      <c r="U292" s="5">
        <f>IF((ContinuousStatsTable[[#This Row],[RepsRequested]]&gt;1),ContinuousStatsTable[[#This Row],[HalfWidth]],ContinuousStatsTable[[#This Row],[BatchMeansHalfWidth]])</f>
        <v>0</v>
      </c>
    </row>
    <row r="293" spans="1:21" x14ac:dyDescent="0.25">
      <c r="A293" t="s">
        <v>67</v>
      </c>
      <c r="B293" t="s">
        <v>70</v>
      </c>
      <c r="C293">
        <v>7</v>
      </c>
      <c r="D293" t="s">
        <v>82</v>
      </c>
      <c r="E293" t="s">
        <v>75</v>
      </c>
      <c r="F293" t="s">
        <v>73</v>
      </c>
      <c r="G293">
        <v>1.5834999999999999</v>
      </c>
      <c r="H293">
        <v>3E+20</v>
      </c>
      <c r="I293">
        <v>1</v>
      </c>
      <c r="J293">
        <v>2</v>
      </c>
      <c r="K293">
        <v>2</v>
      </c>
      <c r="L293">
        <v>0</v>
      </c>
      <c r="M293" s="5" t="str">
        <f>ContinuousStatsTable[[#This Row],[ProjectName]]&amp;ContinuousStatsTable[[#This Row],[Name]]&amp;ContinuousStatsTable[[#This Row],[Type]]&amp;ContinuousStatsTable[[#This Row],[Source]]</f>
        <v>Unnamed ProjectfinalqcmanNumber ScheduledResource</v>
      </c>
      <c r="N293" s="5">
        <f t="array" ref="N293">MAX(IF((ProjectInfoTable[ProjectName]=ContinuousStatsTable[[#This Row],[ProjectName]]),(ProjectInfoTable[ProjectName]=ContinuousStatsTable[[#This Row],[ProjectName]])*ProjectInfoTable[NumberOfReplications]))</f>
        <v>15</v>
      </c>
      <c r="O293" s="5">
        <f t="array" ref="O293">IFERROR(AVERAGE(IF((ContinuousStatsTable[GroupByKey]=ContinuousStatsTable[[#This Row],[GroupByKey]]),(ContinuousStatsTable[GroupByKey]=ContinuousStatsTable[[#This Row],[GroupByKey]])*ContinuousStatsTable[Average])),0)</f>
        <v>1.5334510661643974</v>
      </c>
      <c r="P293" s="5">
        <f t="array" ref="P293">IFERROR(_xlfn.STDEV.S(IF((ContinuousStatsTable[GroupByKey]=ContinuousStatsTable[[#This Row],[GroupByKey]]),(ContinuousStatsTable[GroupByKey]=ContinuousStatsTable[[#This Row],[GroupByKey]])*ContinuousStatsTable[Average])),0)</f>
        <v>0.24154906725932371</v>
      </c>
      <c r="Q293" s="5">
        <f t="array" ref="Q293">MAX(IF((ProjectInfoTable[ProjectName]=ContinuousStatsTable[[#This Row],[ProjectName]]),(ProjectInfoTable[ProjectName]=ContinuousStatsTable[[#This Row],[ProjectName]])*ProjectInfoTable[ConfidenceInterval]))</f>
        <v>0.95</v>
      </c>
      <c r="R2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0.13376541483042423</v>
      </c>
      <c r="S293" s="5">
        <f t="array" ref="S293">MIN(IF((ContinuousStatsTable[GroupByKey]=ContinuousStatsTable[[#This Row],[GroupByKey]]),(ContinuousStatsTable[GroupByKey]=ContinuousStatsTable[[#This Row],[GroupByKey]])*ContinuousStatsTable[Average]))</f>
        <v>1</v>
      </c>
      <c r="T293" s="5">
        <f t="array" ref="T293">MAX(IF((ContinuousStatsTable[GroupByKey]=ContinuousStatsTable[[#This Row],[GroupByKey]]),(ContinuousStatsTable[GroupByKey]=ContinuousStatsTable[[#This Row],[GroupByKey]])*ContinuousStatsTable[Average]))</f>
        <v>2</v>
      </c>
      <c r="U293" s="5">
        <f>IF((ContinuousStatsTable[[#This Row],[RepsRequested]]&gt;1),ContinuousStatsTable[[#This Row],[HalfWidth]],ContinuousStatsTable[[#This Row],[BatchMeansHalfWidth]])</f>
        <v>0.13376541483042423</v>
      </c>
    </row>
    <row r="294" spans="1:21" x14ac:dyDescent="0.25">
      <c r="A294" t="s">
        <v>67</v>
      </c>
      <c r="B294" t="s">
        <v>70</v>
      </c>
      <c r="C294">
        <v>7</v>
      </c>
      <c r="D294" t="s">
        <v>83</v>
      </c>
      <c r="E294" t="s">
        <v>84</v>
      </c>
      <c r="F294" t="s">
        <v>85</v>
      </c>
      <c r="G294">
        <v>0</v>
      </c>
      <c r="H294">
        <v>2E+20</v>
      </c>
      <c r="I294">
        <v>0</v>
      </c>
      <c r="J294">
        <v>0</v>
      </c>
      <c r="K294">
        <v>0</v>
      </c>
      <c r="L294">
        <v>0</v>
      </c>
      <c r="M294" s="5" t="str">
        <f>ContinuousStatsTable[[#This Row],[ProjectName]]&amp;ContinuousStatsTable[[#This Row],[Name]]&amp;ContinuousStatsTable[[#This Row],[Type]]&amp;ContinuousStatsTable[[#This Row],[Source]]</f>
        <v>Unnamed Projectinspectorseize.QueueNumber WaitingQueue</v>
      </c>
      <c r="N294" s="5">
        <f t="array" ref="N294">MAX(IF((ProjectInfoTable[ProjectName]=ContinuousStatsTable[[#This Row],[ProjectName]]),(ProjectInfoTable[ProjectName]=ContinuousStatsTable[[#This Row],[ProjectName]])*ProjectInfoTable[NumberOfReplications]))</f>
        <v>15</v>
      </c>
      <c r="O294" s="5">
        <f t="array" ref="O294">IFERROR(AVERAGE(IF((ContinuousStatsTable[GroupByKey]=ContinuousStatsTable[[#This Row],[GroupByKey]]),(ContinuousStatsTable[GroupByKey]=ContinuousStatsTable[[#This Row],[GroupByKey]])*ContinuousStatsTable[Average])),0)</f>
        <v>0</v>
      </c>
      <c r="P294" s="5">
        <f t="array" ref="P294">IFERROR(_xlfn.STDEV.S(IF((ContinuousStatsTable[GroupByKey]=ContinuousStatsTable[[#This Row],[GroupByKey]]),(ContinuousStatsTable[GroupByKey]=ContinuousStatsTable[[#This Row],[GroupByKey]])*ContinuousStatsTable[Average])),0)</f>
        <v>0</v>
      </c>
      <c r="Q294" s="5">
        <f t="array" ref="Q294">MAX(IF((ProjectInfoTable[ProjectName]=ContinuousStatsTable[[#This Row],[ProjectName]]),(ProjectInfoTable[ProjectName]=ContinuousStatsTable[[#This Row],[ProjectName]])*ProjectInfoTable[ConfidenceInterval]))</f>
        <v>0.95</v>
      </c>
      <c r="R2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4" s="5">
        <f t="array" ref="S294">MIN(IF((ContinuousStatsTable[GroupByKey]=ContinuousStatsTable[[#This Row],[GroupByKey]]),(ContinuousStatsTable[GroupByKey]=ContinuousStatsTable[[#This Row],[GroupByKey]])*ContinuousStatsTable[Average]))</f>
        <v>0</v>
      </c>
      <c r="T294" s="5">
        <f t="array" ref="T294">MAX(IF((ContinuousStatsTable[GroupByKey]=ContinuousStatsTable[[#This Row],[GroupByKey]]),(ContinuousStatsTable[GroupByKey]=ContinuousStatsTable[[#This Row],[GroupByKey]])*ContinuousStatsTable[Average]))</f>
        <v>0</v>
      </c>
      <c r="U294" s="5">
        <f>IF((ContinuousStatsTable[[#This Row],[RepsRequested]]&gt;1),ContinuousStatsTable[[#This Row],[HalfWidth]],ContinuousStatsTable[[#This Row],[BatchMeansHalfWidth]])</f>
        <v>0</v>
      </c>
    </row>
    <row r="295" spans="1:21" x14ac:dyDescent="0.25">
      <c r="A295" t="s">
        <v>67</v>
      </c>
      <c r="B295" t="s">
        <v>70</v>
      </c>
      <c r="C295">
        <v>7</v>
      </c>
      <c r="D295" t="s">
        <v>86</v>
      </c>
      <c r="E295" t="s">
        <v>84</v>
      </c>
      <c r="F295" t="s">
        <v>85</v>
      </c>
      <c r="G295">
        <v>4</v>
      </c>
      <c r="H295">
        <v>2E+20</v>
      </c>
      <c r="I295">
        <v>4</v>
      </c>
      <c r="J295">
        <v>4</v>
      </c>
      <c r="K295">
        <v>4</v>
      </c>
      <c r="L295">
        <v>0</v>
      </c>
      <c r="M295" s="5" t="str">
        <f>ContinuousStatsTable[[#This Row],[ProjectName]]&amp;ContinuousStatsTable[[#This Row],[Name]]&amp;ContinuousStatsTable[[#This Row],[Type]]&amp;ContinuousStatsTable[[#This Row],[Source]]</f>
        <v>Unnamed Projectmatch_truckcombo.Queue1Number WaitingQueue</v>
      </c>
      <c r="N295" s="5">
        <f t="array" ref="N295">MAX(IF((ProjectInfoTable[ProjectName]=ContinuousStatsTable[[#This Row],[ProjectName]]),(ProjectInfoTable[ProjectName]=ContinuousStatsTable[[#This Row],[ProjectName]])*ProjectInfoTable[NumberOfReplications]))</f>
        <v>15</v>
      </c>
      <c r="O295" s="5">
        <f t="array" ref="O295">IFERROR(AVERAGE(IF((ContinuousStatsTable[GroupByKey]=ContinuousStatsTable[[#This Row],[GroupByKey]]),(ContinuousStatsTable[GroupByKey]=ContinuousStatsTable[[#This Row],[GroupByKey]])*ContinuousStatsTable[Average])),0)</f>
        <v>3.3333333333333335</v>
      </c>
      <c r="P295" s="5">
        <f t="array" ref="P295">IFERROR(_xlfn.STDEV.S(IF((ContinuousStatsTable[GroupByKey]=ContinuousStatsTable[[#This Row],[GroupByKey]]),(ContinuousStatsTable[GroupByKey]=ContinuousStatsTable[[#This Row],[GroupByKey]])*ContinuousStatsTable[Average])),0)</f>
        <v>4.577377082170635</v>
      </c>
      <c r="Q295" s="5">
        <f t="array" ref="Q295">MAX(IF((ProjectInfoTable[ProjectName]=ContinuousStatsTable[[#This Row],[ProjectName]]),(ProjectInfoTable[ProjectName]=ContinuousStatsTable[[#This Row],[ProjectName]])*ProjectInfoTable[ConfidenceInterval]))</f>
        <v>0.95</v>
      </c>
      <c r="R2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2.5348669368881507</v>
      </c>
      <c r="S295" s="5">
        <f t="array" ref="S295">MIN(IF((ContinuousStatsTable[GroupByKey]=ContinuousStatsTable[[#This Row],[GroupByKey]]),(ContinuousStatsTable[GroupByKey]=ContinuousStatsTable[[#This Row],[GroupByKey]])*ContinuousStatsTable[Average]))</f>
        <v>0</v>
      </c>
      <c r="T295" s="5">
        <f t="array" ref="T295">MAX(IF((ContinuousStatsTable[GroupByKey]=ContinuousStatsTable[[#This Row],[GroupByKey]]),(ContinuousStatsTable[GroupByKey]=ContinuousStatsTable[[#This Row],[GroupByKey]])*ContinuousStatsTable[Average]))</f>
        <v>12</v>
      </c>
      <c r="U295" s="5">
        <f>IF((ContinuousStatsTable[[#This Row],[RepsRequested]]&gt;1),ContinuousStatsTable[[#This Row],[HalfWidth]],ContinuousStatsTable[[#This Row],[BatchMeansHalfWidth]])</f>
        <v>2.5348669368881507</v>
      </c>
    </row>
    <row r="296" spans="1:21" x14ac:dyDescent="0.25">
      <c r="A296" t="s">
        <v>67</v>
      </c>
      <c r="B296" t="s">
        <v>70</v>
      </c>
      <c r="C296">
        <v>7</v>
      </c>
      <c r="D296" t="s">
        <v>87</v>
      </c>
      <c r="E296" t="s">
        <v>84</v>
      </c>
      <c r="F296" t="s">
        <v>85</v>
      </c>
      <c r="G296">
        <v>0</v>
      </c>
      <c r="H296">
        <v>2E+20</v>
      </c>
      <c r="I296">
        <v>0</v>
      </c>
      <c r="J296">
        <v>0</v>
      </c>
      <c r="K296">
        <v>0</v>
      </c>
      <c r="L296">
        <v>0</v>
      </c>
      <c r="M296" s="5" t="str">
        <f>ContinuousStatsTable[[#This Row],[ProjectName]]&amp;ContinuousStatsTable[[#This Row],[Name]]&amp;ContinuousStatsTable[[#This Row],[Type]]&amp;ContinuousStatsTable[[#This Row],[Source]]</f>
        <v>Unnamed Projectmatch_truckcombo.Queue2Number WaitingQueue</v>
      </c>
      <c r="N296" s="5">
        <f t="array" ref="N296">MAX(IF((ProjectInfoTable[ProjectName]=ContinuousStatsTable[[#This Row],[ProjectName]]),(ProjectInfoTable[ProjectName]=ContinuousStatsTable[[#This Row],[ProjectName]])*ProjectInfoTable[NumberOfReplications]))</f>
        <v>15</v>
      </c>
      <c r="O296" s="5">
        <f t="array" ref="O296">IFERROR(AVERAGE(IF((ContinuousStatsTable[GroupByKey]=ContinuousStatsTable[[#This Row],[GroupByKey]]),(ContinuousStatsTable[GroupByKey]=ContinuousStatsTable[[#This Row],[GroupByKey]])*ContinuousStatsTable[Average])),0)</f>
        <v>2.8</v>
      </c>
      <c r="P296" s="5">
        <f t="array" ref="P296">IFERROR(_xlfn.STDEV.S(IF((ContinuousStatsTable[GroupByKey]=ContinuousStatsTable[[#This Row],[GroupByKey]]),(ContinuousStatsTable[GroupByKey]=ContinuousStatsTable[[#This Row],[GroupByKey]])*ContinuousStatsTable[Average])),0)</f>
        <v>5.226307081896902</v>
      </c>
      <c r="Q296" s="5">
        <f t="array" ref="Q296">MAX(IF((ProjectInfoTable[ProjectName]=ContinuousStatsTable[[#This Row],[ProjectName]]),(ProjectInfoTable[ProjectName]=ContinuousStatsTable[[#This Row],[ProjectName]])*ProjectInfoTable[ConfidenceInterval]))</f>
        <v>0.95</v>
      </c>
      <c r="R2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2.8942323925042523</v>
      </c>
      <c r="S296" s="5">
        <f t="array" ref="S296">MIN(IF((ContinuousStatsTable[GroupByKey]=ContinuousStatsTable[[#This Row],[GroupByKey]]),(ContinuousStatsTable[GroupByKey]=ContinuousStatsTable[[#This Row],[GroupByKey]])*ContinuousStatsTable[Average]))</f>
        <v>0</v>
      </c>
      <c r="T296" s="5">
        <f t="array" ref="T296">MAX(IF((ContinuousStatsTable[GroupByKey]=ContinuousStatsTable[[#This Row],[GroupByKey]]),(ContinuousStatsTable[GroupByKey]=ContinuousStatsTable[[#This Row],[GroupByKey]])*ContinuousStatsTable[Average]))</f>
        <v>16</v>
      </c>
      <c r="U296" s="5">
        <f>IF((ContinuousStatsTable[[#This Row],[RepsRequested]]&gt;1),ContinuousStatsTable[[#This Row],[HalfWidth]],ContinuousStatsTable[[#This Row],[BatchMeansHalfWidth]])</f>
        <v>2.8942323925042523</v>
      </c>
    </row>
    <row r="297" spans="1:21" x14ac:dyDescent="0.25">
      <c r="A297" t="s">
        <v>67</v>
      </c>
      <c r="B297" t="s">
        <v>70</v>
      </c>
      <c r="C297">
        <v>7</v>
      </c>
      <c r="D297" t="s">
        <v>88</v>
      </c>
      <c r="E297" t="s">
        <v>72</v>
      </c>
      <c r="F297" t="s">
        <v>73</v>
      </c>
      <c r="G297">
        <v>0</v>
      </c>
      <c r="H297">
        <v>2E+20</v>
      </c>
      <c r="I297">
        <v>0</v>
      </c>
      <c r="J297">
        <v>0</v>
      </c>
      <c r="K297">
        <v>0</v>
      </c>
      <c r="L297">
        <v>0</v>
      </c>
      <c r="M297" s="5" t="str">
        <f>ContinuousStatsTable[[#This Row],[ProjectName]]&amp;ContinuousStatsTable[[#This Row],[Name]]&amp;ContinuousStatsTable[[#This Row],[Type]]&amp;ContinuousStatsTable[[#This Row],[Source]]</f>
        <v>Unnamed ProjectpaintingmachineInstantaneous UtilizationResource</v>
      </c>
      <c r="N297" s="5">
        <f t="array" ref="N297">MAX(IF((ProjectInfoTable[ProjectName]=ContinuousStatsTable[[#This Row],[ProjectName]]),(ProjectInfoTable[ProjectName]=ContinuousStatsTable[[#This Row],[ProjectName]])*ProjectInfoTable[NumberOfReplications]))</f>
        <v>15</v>
      </c>
      <c r="O297" s="5">
        <f t="array" ref="O297">IFERROR(AVERAGE(IF((ContinuousStatsTable[GroupByKey]=ContinuousStatsTable[[#This Row],[GroupByKey]]),(ContinuousStatsTable[GroupByKey]=ContinuousStatsTable[[#This Row],[GroupByKey]])*ContinuousStatsTable[Average])),0)</f>
        <v>0</v>
      </c>
      <c r="P297" s="5">
        <f t="array" ref="P297">IFERROR(_xlfn.STDEV.S(IF((ContinuousStatsTable[GroupByKey]=ContinuousStatsTable[[#This Row],[GroupByKey]]),(ContinuousStatsTable[GroupByKey]=ContinuousStatsTable[[#This Row],[GroupByKey]])*ContinuousStatsTable[Average])),0)</f>
        <v>0</v>
      </c>
      <c r="Q297" s="5">
        <f t="array" ref="Q297">MAX(IF((ProjectInfoTable[ProjectName]=ContinuousStatsTable[[#This Row],[ProjectName]]),(ProjectInfoTable[ProjectName]=ContinuousStatsTable[[#This Row],[ProjectName]])*ProjectInfoTable[ConfidenceInterval]))</f>
        <v>0.95</v>
      </c>
      <c r="R2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7" s="5">
        <f t="array" ref="S297">MIN(IF((ContinuousStatsTable[GroupByKey]=ContinuousStatsTable[[#This Row],[GroupByKey]]),(ContinuousStatsTable[GroupByKey]=ContinuousStatsTable[[#This Row],[GroupByKey]])*ContinuousStatsTable[Average]))</f>
        <v>0</v>
      </c>
      <c r="T297" s="5">
        <f t="array" ref="T297">MAX(IF((ContinuousStatsTable[GroupByKey]=ContinuousStatsTable[[#This Row],[GroupByKey]]),(ContinuousStatsTable[GroupByKey]=ContinuousStatsTable[[#This Row],[GroupByKey]])*ContinuousStatsTable[Average]))</f>
        <v>0</v>
      </c>
      <c r="U297" s="5">
        <f>IF((ContinuousStatsTable[[#This Row],[RepsRequested]]&gt;1),ContinuousStatsTable[[#This Row],[HalfWidth]],ContinuousStatsTable[[#This Row],[BatchMeansHalfWidth]])</f>
        <v>0</v>
      </c>
    </row>
    <row r="298" spans="1:21" x14ac:dyDescent="0.25">
      <c r="A298" t="s">
        <v>67</v>
      </c>
      <c r="B298" t="s">
        <v>70</v>
      </c>
      <c r="C298">
        <v>7</v>
      </c>
      <c r="D298" t="s">
        <v>88</v>
      </c>
      <c r="E298" t="s">
        <v>74</v>
      </c>
      <c r="F298" t="s">
        <v>73</v>
      </c>
      <c r="G298">
        <v>0</v>
      </c>
      <c r="H298">
        <v>2E+20</v>
      </c>
      <c r="I298">
        <v>0</v>
      </c>
      <c r="J298">
        <v>0</v>
      </c>
      <c r="K298">
        <v>0</v>
      </c>
      <c r="L298">
        <v>0</v>
      </c>
      <c r="M298" s="5" t="str">
        <f>ContinuousStatsTable[[#This Row],[ProjectName]]&amp;ContinuousStatsTable[[#This Row],[Name]]&amp;ContinuousStatsTable[[#This Row],[Type]]&amp;ContinuousStatsTable[[#This Row],[Source]]</f>
        <v>Unnamed ProjectpaintingmachineNumber BusyResource</v>
      </c>
      <c r="N298" s="5">
        <f t="array" ref="N298">MAX(IF((ProjectInfoTable[ProjectName]=ContinuousStatsTable[[#This Row],[ProjectName]]),(ProjectInfoTable[ProjectName]=ContinuousStatsTable[[#This Row],[ProjectName]])*ProjectInfoTable[NumberOfReplications]))</f>
        <v>15</v>
      </c>
      <c r="O298" s="5">
        <f t="array" ref="O298">IFERROR(AVERAGE(IF((ContinuousStatsTable[GroupByKey]=ContinuousStatsTable[[#This Row],[GroupByKey]]),(ContinuousStatsTable[GroupByKey]=ContinuousStatsTable[[#This Row],[GroupByKey]])*ContinuousStatsTable[Average])),0)</f>
        <v>0</v>
      </c>
      <c r="P298" s="5">
        <f t="array" ref="P298">IFERROR(_xlfn.STDEV.S(IF((ContinuousStatsTable[GroupByKey]=ContinuousStatsTable[[#This Row],[GroupByKey]]),(ContinuousStatsTable[GroupByKey]=ContinuousStatsTable[[#This Row],[GroupByKey]])*ContinuousStatsTable[Average])),0)</f>
        <v>0</v>
      </c>
      <c r="Q298" s="5">
        <f t="array" ref="Q298">MAX(IF((ProjectInfoTable[ProjectName]=ContinuousStatsTable[[#This Row],[ProjectName]]),(ProjectInfoTable[ProjectName]=ContinuousStatsTable[[#This Row],[ProjectName]])*ProjectInfoTable[ConfidenceInterval]))</f>
        <v>0.95</v>
      </c>
      <c r="R2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8" s="5">
        <f t="array" ref="S298">MIN(IF((ContinuousStatsTable[GroupByKey]=ContinuousStatsTable[[#This Row],[GroupByKey]]),(ContinuousStatsTable[GroupByKey]=ContinuousStatsTable[[#This Row],[GroupByKey]])*ContinuousStatsTable[Average]))</f>
        <v>0</v>
      </c>
      <c r="T298" s="5">
        <f t="array" ref="T298">MAX(IF((ContinuousStatsTable[GroupByKey]=ContinuousStatsTable[[#This Row],[GroupByKey]]),(ContinuousStatsTable[GroupByKey]=ContinuousStatsTable[[#This Row],[GroupByKey]])*ContinuousStatsTable[Average]))</f>
        <v>0</v>
      </c>
      <c r="U298" s="5">
        <f>IF((ContinuousStatsTable[[#This Row],[RepsRequested]]&gt;1),ContinuousStatsTable[[#This Row],[HalfWidth]],ContinuousStatsTable[[#This Row],[BatchMeansHalfWidth]])</f>
        <v>0</v>
      </c>
    </row>
    <row r="299" spans="1:21" x14ac:dyDescent="0.25">
      <c r="A299" t="s">
        <v>67</v>
      </c>
      <c r="B299" t="s">
        <v>70</v>
      </c>
      <c r="C299">
        <v>7</v>
      </c>
      <c r="D299" t="s">
        <v>88</v>
      </c>
      <c r="E299" t="s">
        <v>75</v>
      </c>
      <c r="F299" t="s">
        <v>73</v>
      </c>
      <c r="G299">
        <v>1</v>
      </c>
      <c r="H299">
        <v>2E+20</v>
      </c>
      <c r="I299">
        <v>1</v>
      </c>
      <c r="J299">
        <v>1</v>
      </c>
      <c r="K299">
        <v>1</v>
      </c>
      <c r="L299">
        <v>0</v>
      </c>
      <c r="M299" s="5" t="str">
        <f>ContinuousStatsTable[[#This Row],[ProjectName]]&amp;ContinuousStatsTable[[#This Row],[Name]]&amp;ContinuousStatsTable[[#This Row],[Type]]&amp;ContinuousStatsTable[[#This Row],[Source]]</f>
        <v>Unnamed ProjectpaintingmachineNumber ScheduledResource</v>
      </c>
      <c r="N299" s="5">
        <f t="array" ref="N299">MAX(IF((ProjectInfoTable[ProjectName]=ContinuousStatsTable[[#This Row],[ProjectName]]),(ProjectInfoTable[ProjectName]=ContinuousStatsTable[[#This Row],[ProjectName]])*ProjectInfoTable[NumberOfReplications]))</f>
        <v>15</v>
      </c>
      <c r="O299" s="5">
        <f t="array" ref="O299">IFERROR(AVERAGE(IF((ContinuousStatsTable[GroupByKey]=ContinuousStatsTable[[#This Row],[GroupByKey]]),(ContinuousStatsTable[GroupByKey]=ContinuousStatsTable[[#This Row],[GroupByKey]])*ContinuousStatsTable[Average])),0)</f>
        <v>1</v>
      </c>
      <c r="P299" s="5">
        <f t="array" ref="P299">IFERROR(_xlfn.STDEV.S(IF((ContinuousStatsTable[GroupByKey]=ContinuousStatsTable[[#This Row],[GroupByKey]]),(ContinuousStatsTable[GroupByKey]=ContinuousStatsTable[[#This Row],[GroupByKey]])*ContinuousStatsTable[Average])),0)</f>
        <v>0</v>
      </c>
      <c r="Q299" s="5">
        <f t="array" ref="Q299">MAX(IF((ProjectInfoTable[ProjectName]=ContinuousStatsTable[[#This Row],[ProjectName]]),(ProjectInfoTable[ProjectName]=ContinuousStatsTable[[#This Row],[ProjectName]])*ProjectInfoTable[ConfidenceInterval]))</f>
        <v>0.95</v>
      </c>
      <c r="R2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9" s="5">
        <f t="array" ref="S299">MIN(IF((ContinuousStatsTable[GroupByKey]=ContinuousStatsTable[[#This Row],[GroupByKey]]),(ContinuousStatsTable[GroupByKey]=ContinuousStatsTable[[#This Row],[GroupByKey]])*ContinuousStatsTable[Average]))</f>
        <v>1</v>
      </c>
      <c r="T299" s="5">
        <f t="array" ref="T299">MAX(IF((ContinuousStatsTable[GroupByKey]=ContinuousStatsTable[[#This Row],[GroupByKey]]),(ContinuousStatsTable[GroupByKey]=ContinuousStatsTable[[#This Row],[GroupByKey]])*ContinuousStatsTable[Average]))</f>
        <v>1</v>
      </c>
      <c r="U299" s="5">
        <f>IF((ContinuousStatsTable[[#This Row],[RepsRequested]]&gt;1),ContinuousStatsTable[[#This Row],[HalfWidth]],ContinuousStatsTable[[#This Row],[BatchMeansHalfWidth]])</f>
        <v>0</v>
      </c>
    </row>
    <row r="300" spans="1:21" x14ac:dyDescent="0.25">
      <c r="A300" t="s">
        <v>67</v>
      </c>
      <c r="B300" t="s">
        <v>70</v>
      </c>
      <c r="C300">
        <v>7</v>
      </c>
      <c r="D300" t="s">
        <v>89</v>
      </c>
      <c r="E300" t="s">
        <v>72</v>
      </c>
      <c r="F300" t="s">
        <v>73</v>
      </c>
      <c r="G300">
        <v>0</v>
      </c>
      <c r="H300">
        <v>2E+20</v>
      </c>
      <c r="I300">
        <v>0</v>
      </c>
      <c r="J300">
        <v>0</v>
      </c>
      <c r="K300">
        <v>0</v>
      </c>
      <c r="L300">
        <v>0</v>
      </c>
      <c r="M300" s="5" t="str">
        <f>ContinuousStatsTable[[#This Row],[ProjectName]]&amp;ContinuousStatsTable[[#This Row],[Name]]&amp;ContinuousStatsTable[[#This Row],[Type]]&amp;ContinuousStatsTable[[#This Row],[Source]]</f>
        <v>Unnamed ProjectpaintingoperatorInstantaneous UtilizationResource</v>
      </c>
      <c r="N300" s="5">
        <f t="array" ref="N300">MAX(IF((ProjectInfoTable[ProjectName]=ContinuousStatsTable[[#This Row],[ProjectName]]),(ProjectInfoTable[ProjectName]=ContinuousStatsTable[[#This Row],[ProjectName]])*ProjectInfoTable[NumberOfReplications]))</f>
        <v>15</v>
      </c>
      <c r="O300" s="5">
        <f t="array" ref="O300">IFERROR(AVERAGE(IF((ContinuousStatsTable[GroupByKey]=ContinuousStatsTable[[#This Row],[GroupByKey]]),(ContinuousStatsTable[GroupByKey]=ContinuousStatsTable[[#This Row],[GroupByKey]])*ContinuousStatsTable[Average])),0)</f>
        <v>0</v>
      </c>
      <c r="P300" s="5">
        <f t="array" ref="P300">IFERROR(_xlfn.STDEV.S(IF((ContinuousStatsTable[GroupByKey]=ContinuousStatsTable[[#This Row],[GroupByKey]]),(ContinuousStatsTable[GroupByKey]=ContinuousStatsTable[[#This Row],[GroupByKey]])*ContinuousStatsTable[Average])),0)</f>
        <v>0</v>
      </c>
      <c r="Q300" s="5">
        <f t="array" ref="Q300">MAX(IF((ProjectInfoTable[ProjectName]=ContinuousStatsTable[[#This Row],[ProjectName]]),(ProjectInfoTable[ProjectName]=ContinuousStatsTable[[#This Row],[ProjectName]])*ProjectInfoTable[ConfidenceInterval]))</f>
        <v>0.95</v>
      </c>
      <c r="R3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0" s="5">
        <f t="array" ref="S300">MIN(IF((ContinuousStatsTable[GroupByKey]=ContinuousStatsTable[[#This Row],[GroupByKey]]),(ContinuousStatsTable[GroupByKey]=ContinuousStatsTable[[#This Row],[GroupByKey]])*ContinuousStatsTable[Average]))</f>
        <v>0</v>
      </c>
      <c r="T300" s="5">
        <f t="array" ref="T300">MAX(IF((ContinuousStatsTable[GroupByKey]=ContinuousStatsTable[[#This Row],[GroupByKey]]),(ContinuousStatsTable[GroupByKey]=ContinuousStatsTable[[#This Row],[GroupByKey]])*ContinuousStatsTable[Average]))</f>
        <v>0</v>
      </c>
      <c r="U300" s="5">
        <f>IF((ContinuousStatsTable[[#This Row],[RepsRequested]]&gt;1),ContinuousStatsTable[[#This Row],[HalfWidth]],ContinuousStatsTable[[#This Row],[BatchMeansHalfWidth]])</f>
        <v>0</v>
      </c>
    </row>
    <row r="301" spans="1:21" x14ac:dyDescent="0.25">
      <c r="A301" t="s">
        <v>67</v>
      </c>
      <c r="B301" t="s">
        <v>70</v>
      </c>
      <c r="C301">
        <v>7</v>
      </c>
      <c r="D301" t="s">
        <v>89</v>
      </c>
      <c r="E301" t="s">
        <v>74</v>
      </c>
      <c r="F301" t="s">
        <v>73</v>
      </c>
      <c r="G301">
        <v>0</v>
      </c>
      <c r="H301">
        <v>2E+20</v>
      </c>
      <c r="I301">
        <v>0</v>
      </c>
      <c r="J301">
        <v>0</v>
      </c>
      <c r="K301">
        <v>0</v>
      </c>
      <c r="L301">
        <v>0</v>
      </c>
      <c r="M301" s="5" t="str">
        <f>ContinuousStatsTable[[#This Row],[ProjectName]]&amp;ContinuousStatsTable[[#This Row],[Name]]&amp;ContinuousStatsTable[[#This Row],[Type]]&amp;ContinuousStatsTable[[#This Row],[Source]]</f>
        <v>Unnamed ProjectpaintingoperatorNumber BusyResource</v>
      </c>
      <c r="N301" s="5">
        <f t="array" ref="N301">MAX(IF((ProjectInfoTable[ProjectName]=ContinuousStatsTable[[#This Row],[ProjectName]]),(ProjectInfoTable[ProjectName]=ContinuousStatsTable[[#This Row],[ProjectName]])*ProjectInfoTable[NumberOfReplications]))</f>
        <v>15</v>
      </c>
      <c r="O301" s="5">
        <f t="array" ref="O301">IFERROR(AVERAGE(IF((ContinuousStatsTable[GroupByKey]=ContinuousStatsTable[[#This Row],[GroupByKey]]),(ContinuousStatsTable[GroupByKey]=ContinuousStatsTable[[#This Row],[GroupByKey]])*ContinuousStatsTable[Average])),0)</f>
        <v>0</v>
      </c>
      <c r="P301" s="5">
        <f t="array" ref="P301">IFERROR(_xlfn.STDEV.S(IF((ContinuousStatsTable[GroupByKey]=ContinuousStatsTable[[#This Row],[GroupByKey]]),(ContinuousStatsTable[GroupByKey]=ContinuousStatsTable[[#This Row],[GroupByKey]])*ContinuousStatsTable[Average])),0)</f>
        <v>0</v>
      </c>
      <c r="Q301" s="5">
        <f t="array" ref="Q301">MAX(IF((ProjectInfoTable[ProjectName]=ContinuousStatsTable[[#This Row],[ProjectName]]),(ProjectInfoTable[ProjectName]=ContinuousStatsTable[[#This Row],[ProjectName]])*ProjectInfoTable[ConfidenceInterval]))</f>
        <v>0.95</v>
      </c>
      <c r="R3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1" s="5">
        <f t="array" ref="S301">MIN(IF((ContinuousStatsTable[GroupByKey]=ContinuousStatsTable[[#This Row],[GroupByKey]]),(ContinuousStatsTable[GroupByKey]=ContinuousStatsTable[[#This Row],[GroupByKey]])*ContinuousStatsTable[Average]))</f>
        <v>0</v>
      </c>
      <c r="T301" s="5">
        <f t="array" ref="T301">MAX(IF((ContinuousStatsTable[GroupByKey]=ContinuousStatsTable[[#This Row],[GroupByKey]]),(ContinuousStatsTable[GroupByKey]=ContinuousStatsTable[[#This Row],[GroupByKey]])*ContinuousStatsTable[Average]))</f>
        <v>0</v>
      </c>
      <c r="U301" s="5">
        <f>IF((ContinuousStatsTable[[#This Row],[RepsRequested]]&gt;1),ContinuousStatsTable[[#This Row],[HalfWidth]],ContinuousStatsTable[[#This Row],[BatchMeansHalfWidth]])</f>
        <v>0</v>
      </c>
    </row>
    <row r="302" spans="1:21" x14ac:dyDescent="0.25">
      <c r="A302" t="s">
        <v>67</v>
      </c>
      <c r="B302" t="s">
        <v>70</v>
      </c>
      <c r="C302">
        <v>7</v>
      </c>
      <c r="D302" t="s">
        <v>89</v>
      </c>
      <c r="E302" t="s">
        <v>75</v>
      </c>
      <c r="F302" t="s">
        <v>73</v>
      </c>
      <c r="G302">
        <v>1.5834999999999999</v>
      </c>
      <c r="H302">
        <v>3E+20</v>
      </c>
      <c r="I302">
        <v>1</v>
      </c>
      <c r="J302">
        <v>2</v>
      </c>
      <c r="K302">
        <v>2</v>
      </c>
      <c r="L302">
        <v>0</v>
      </c>
      <c r="M302" s="5" t="str">
        <f>ContinuousStatsTable[[#This Row],[ProjectName]]&amp;ContinuousStatsTable[[#This Row],[Name]]&amp;ContinuousStatsTable[[#This Row],[Type]]&amp;ContinuousStatsTable[[#This Row],[Source]]</f>
        <v>Unnamed ProjectpaintingoperatorNumber ScheduledResource</v>
      </c>
      <c r="N302" s="5">
        <f t="array" ref="N302">MAX(IF((ProjectInfoTable[ProjectName]=ContinuousStatsTable[[#This Row],[ProjectName]]),(ProjectInfoTable[ProjectName]=ContinuousStatsTable[[#This Row],[ProjectName]])*ProjectInfoTable[NumberOfReplications]))</f>
        <v>15</v>
      </c>
      <c r="O302" s="5">
        <f t="array" ref="O302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302" s="5">
        <f t="array" ref="P302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302" s="5">
        <f t="array" ref="Q302">MAX(IF((ProjectInfoTable[ProjectName]=ContinuousStatsTable[[#This Row],[ProjectName]]),(ProjectInfoTable[ProjectName]=ContinuousStatsTable[[#This Row],[ProjectName]])*ProjectInfoTable[ConfidenceInterval]))</f>
        <v>0.95</v>
      </c>
      <c r="R3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302" s="5">
        <f t="array" ref="S302">MIN(IF((ContinuousStatsTable[GroupByKey]=ContinuousStatsTable[[#This Row],[GroupByKey]]),(ContinuousStatsTable[GroupByKey]=ContinuousStatsTable[[#This Row],[GroupByKey]])*ContinuousStatsTable[Average]))</f>
        <v>1</v>
      </c>
      <c r="T302" s="5">
        <f t="array" ref="T302">MAX(IF((ContinuousStatsTable[GroupByKey]=ContinuousStatsTable[[#This Row],[GroupByKey]]),(ContinuousStatsTable[GroupByKey]=ContinuousStatsTable[[#This Row],[GroupByKey]])*ContinuousStatsTable[Average]))</f>
        <v>2</v>
      </c>
      <c r="U302" s="5">
        <f>IF((ContinuousStatsTable[[#This Row],[RepsRequested]]&gt;1),ContinuousStatsTable[[#This Row],[HalfWidth]],ContinuousStatsTable[[#This Row],[BatchMeansHalfWidth]])</f>
        <v>0.13376733135491528</v>
      </c>
    </row>
    <row r="303" spans="1:21" x14ac:dyDescent="0.25">
      <c r="A303" t="s">
        <v>67</v>
      </c>
      <c r="B303" t="s">
        <v>70</v>
      </c>
      <c r="C303">
        <v>7</v>
      </c>
      <c r="D303" t="s">
        <v>90</v>
      </c>
      <c r="E303" t="s">
        <v>72</v>
      </c>
      <c r="F303" t="s">
        <v>73</v>
      </c>
      <c r="G303">
        <v>0</v>
      </c>
      <c r="H303">
        <v>2E+20</v>
      </c>
      <c r="I303">
        <v>0</v>
      </c>
      <c r="J303">
        <v>0</v>
      </c>
      <c r="K303">
        <v>0</v>
      </c>
      <c r="L303">
        <v>0</v>
      </c>
      <c r="M303" s="5" t="str">
        <f>ContinuousStatsTable[[#This Row],[ProjectName]]&amp;ContinuousStatsTable[[#This Row],[Name]]&amp;ContinuousStatsTable[[#This Row],[Type]]&amp;ContinuousStatsTable[[#This Row],[Source]]</f>
        <v>Unnamed ProjectsandblastmachineInstantaneous UtilizationResource</v>
      </c>
      <c r="N303" s="5">
        <f t="array" ref="N303">MAX(IF((ProjectInfoTable[ProjectName]=ContinuousStatsTable[[#This Row],[ProjectName]]),(ProjectInfoTable[ProjectName]=ContinuousStatsTable[[#This Row],[ProjectName]])*ProjectInfoTable[NumberOfReplications]))</f>
        <v>15</v>
      </c>
      <c r="O303" s="5">
        <f t="array" ref="O303">IFERROR(AVERAGE(IF((ContinuousStatsTable[GroupByKey]=ContinuousStatsTable[[#This Row],[GroupByKey]]),(ContinuousStatsTable[GroupByKey]=ContinuousStatsTable[[#This Row],[GroupByKey]])*ContinuousStatsTable[Average])),0)</f>
        <v>0</v>
      </c>
      <c r="P303" s="5">
        <f t="array" ref="P303">IFERROR(_xlfn.STDEV.S(IF((ContinuousStatsTable[GroupByKey]=ContinuousStatsTable[[#This Row],[GroupByKey]]),(ContinuousStatsTable[GroupByKey]=ContinuousStatsTable[[#This Row],[GroupByKey]])*ContinuousStatsTable[Average])),0)</f>
        <v>0</v>
      </c>
      <c r="Q303" s="5">
        <f t="array" ref="Q303">MAX(IF((ProjectInfoTable[ProjectName]=ContinuousStatsTable[[#This Row],[ProjectName]]),(ProjectInfoTable[ProjectName]=ContinuousStatsTable[[#This Row],[ProjectName]])*ProjectInfoTable[ConfidenceInterval]))</f>
        <v>0.95</v>
      </c>
      <c r="R3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3" s="5">
        <f t="array" ref="S303">MIN(IF((ContinuousStatsTable[GroupByKey]=ContinuousStatsTable[[#This Row],[GroupByKey]]),(ContinuousStatsTable[GroupByKey]=ContinuousStatsTable[[#This Row],[GroupByKey]])*ContinuousStatsTable[Average]))</f>
        <v>0</v>
      </c>
      <c r="T303" s="5">
        <f t="array" ref="T303">MAX(IF((ContinuousStatsTable[GroupByKey]=ContinuousStatsTable[[#This Row],[GroupByKey]]),(ContinuousStatsTable[GroupByKey]=ContinuousStatsTable[[#This Row],[GroupByKey]])*ContinuousStatsTable[Average]))</f>
        <v>0</v>
      </c>
      <c r="U303" s="5">
        <f>IF((ContinuousStatsTable[[#This Row],[RepsRequested]]&gt;1),ContinuousStatsTable[[#This Row],[HalfWidth]],ContinuousStatsTable[[#This Row],[BatchMeansHalfWidth]])</f>
        <v>0</v>
      </c>
    </row>
    <row r="304" spans="1:21" x14ac:dyDescent="0.25">
      <c r="A304" t="s">
        <v>67</v>
      </c>
      <c r="B304" t="s">
        <v>70</v>
      </c>
      <c r="C304">
        <v>7</v>
      </c>
      <c r="D304" t="s">
        <v>90</v>
      </c>
      <c r="E304" t="s">
        <v>74</v>
      </c>
      <c r="F304" t="s">
        <v>73</v>
      </c>
      <c r="G304">
        <v>0</v>
      </c>
      <c r="H304">
        <v>2E+20</v>
      </c>
      <c r="I304">
        <v>0</v>
      </c>
      <c r="J304">
        <v>0</v>
      </c>
      <c r="K304">
        <v>0</v>
      </c>
      <c r="L304">
        <v>0</v>
      </c>
      <c r="M304" s="5" t="str">
        <f>ContinuousStatsTable[[#This Row],[ProjectName]]&amp;ContinuousStatsTable[[#This Row],[Name]]&amp;ContinuousStatsTable[[#This Row],[Type]]&amp;ContinuousStatsTable[[#This Row],[Source]]</f>
        <v>Unnamed ProjectsandblastmachineNumber BusyResource</v>
      </c>
      <c r="N304" s="5">
        <f t="array" ref="N304">MAX(IF((ProjectInfoTable[ProjectName]=ContinuousStatsTable[[#This Row],[ProjectName]]),(ProjectInfoTable[ProjectName]=ContinuousStatsTable[[#This Row],[ProjectName]])*ProjectInfoTable[NumberOfReplications]))</f>
        <v>15</v>
      </c>
      <c r="O304" s="5">
        <f t="array" ref="O304">IFERROR(AVERAGE(IF((ContinuousStatsTable[GroupByKey]=ContinuousStatsTable[[#This Row],[GroupByKey]]),(ContinuousStatsTable[GroupByKey]=ContinuousStatsTable[[#This Row],[GroupByKey]])*ContinuousStatsTable[Average])),0)</f>
        <v>0</v>
      </c>
      <c r="P304" s="5">
        <f t="array" ref="P304">IFERROR(_xlfn.STDEV.S(IF((ContinuousStatsTable[GroupByKey]=ContinuousStatsTable[[#This Row],[GroupByKey]]),(ContinuousStatsTable[GroupByKey]=ContinuousStatsTable[[#This Row],[GroupByKey]])*ContinuousStatsTable[Average])),0)</f>
        <v>0</v>
      </c>
      <c r="Q304" s="5">
        <f t="array" ref="Q304">MAX(IF((ProjectInfoTable[ProjectName]=ContinuousStatsTable[[#This Row],[ProjectName]]),(ProjectInfoTable[ProjectName]=ContinuousStatsTable[[#This Row],[ProjectName]])*ProjectInfoTable[ConfidenceInterval]))</f>
        <v>0.95</v>
      </c>
      <c r="R3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4" s="5">
        <f t="array" ref="S304">MIN(IF((ContinuousStatsTable[GroupByKey]=ContinuousStatsTable[[#This Row],[GroupByKey]]),(ContinuousStatsTable[GroupByKey]=ContinuousStatsTable[[#This Row],[GroupByKey]])*ContinuousStatsTable[Average]))</f>
        <v>0</v>
      </c>
      <c r="T304" s="5">
        <f t="array" ref="T304">MAX(IF((ContinuousStatsTable[GroupByKey]=ContinuousStatsTable[[#This Row],[GroupByKey]]),(ContinuousStatsTable[GroupByKey]=ContinuousStatsTable[[#This Row],[GroupByKey]])*ContinuousStatsTable[Average]))</f>
        <v>0</v>
      </c>
      <c r="U304" s="5">
        <f>IF((ContinuousStatsTable[[#This Row],[RepsRequested]]&gt;1),ContinuousStatsTable[[#This Row],[HalfWidth]],ContinuousStatsTable[[#This Row],[BatchMeansHalfWidth]])</f>
        <v>0</v>
      </c>
    </row>
    <row r="305" spans="1:21" x14ac:dyDescent="0.25">
      <c r="A305" t="s">
        <v>67</v>
      </c>
      <c r="B305" t="s">
        <v>70</v>
      </c>
      <c r="C305">
        <v>7</v>
      </c>
      <c r="D305" t="s">
        <v>90</v>
      </c>
      <c r="E305" t="s">
        <v>75</v>
      </c>
      <c r="F305" t="s">
        <v>73</v>
      </c>
      <c r="G305">
        <v>1</v>
      </c>
      <c r="H305">
        <v>2E+20</v>
      </c>
      <c r="I305">
        <v>1</v>
      </c>
      <c r="J305">
        <v>1</v>
      </c>
      <c r="K305">
        <v>1</v>
      </c>
      <c r="L305">
        <v>0</v>
      </c>
      <c r="M305" s="5" t="str">
        <f>ContinuousStatsTable[[#This Row],[ProjectName]]&amp;ContinuousStatsTable[[#This Row],[Name]]&amp;ContinuousStatsTable[[#This Row],[Type]]&amp;ContinuousStatsTable[[#This Row],[Source]]</f>
        <v>Unnamed ProjectsandblastmachineNumber ScheduledResource</v>
      </c>
      <c r="N305" s="5">
        <f t="array" ref="N305">MAX(IF((ProjectInfoTable[ProjectName]=ContinuousStatsTable[[#This Row],[ProjectName]]),(ProjectInfoTable[ProjectName]=ContinuousStatsTable[[#This Row],[ProjectName]])*ProjectInfoTable[NumberOfReplications]))</f>
        <v>15</v>
      </c>
      <c r="O305" s="5">
        <f t="array" ref="O305">IFERROR(AVERAGE(IF((ContinuousStatsTable[GroupByKey]=ContinuousStatsTable[[#This Row],[GroupByKey]]),(ContinuousStatsTable[GroupByKey]=ContinuousStatsTable[[#This Row],[GroupByKey]])*ContinuousStatsTable[Average])),0)</f>
        <v>1</v>
      </c>
      <c r="P305" s="5">
        <f t="array" ref="P305">IFERROR(_xlfn.STDEV.S(IF((ContinuousStatsTable[GroupByKey]=ContinuousStatsTable[[#This Row],[GroupByKey]]),(ContinuousStatsTable[GroupByKey]=ContinuousStatsTable[[#This Row],[GroupByKey]])*ContinuousStatsTable[Average])),0)</f>
        <v>0</v>
      </c>
      <c r="Q305" s="5">
        <f t="array" ref="Q305">MAX(IF((ProjectInfoTable[ProjectName]=ContinuousStatsTable[[#This Row],[ProjectName]]),(ProjectInfoTable[ProjectName]=ContinuousStatsTable[[#This Row],[ProjectName]])*ProjectInfoTable[ConfidenceInterval]))</f>
        <v>0.95</v>
      </c>
      <c r="R3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5" s="5">
        <f t="array" ref="S305">MIN(IF((ContinuousStatsTable[GroupByKey]=ContinuousStatsTable[[#This Row],[GroupByKey]]),(ContinuousStatsTable[GroupByKey]=ContinuousStatsTable[[#This Row],[GroupByKey]])*ContinuousStatsTable[Average]))</f>
        <v>1</v>
      </c>
      <c r="T305" s="5">
        <f t="array" ref="T305">MAX(IF((ContinuousStatsTable[GroupByKey]=ContinuousStatsTable[[#This Row],[GroupByKey]]),(ContinuousStatsTable[GroupByKey]=ContinuousStatsTable[[#This Row],[GroupByKey]])*ContinuousStatsTable[Average]))</f>
        <v>1</v>
      </c>
      <c r="U305" s="5">
        <f>IF((ContinuousStatsTable[[#This Row],[RepsRequested]]&gt;1),ContinuousStatsTable[[#This Row],[HalfWidth]],ContinuousStatsTable[[#This Row],[BatchMeansHalfWidth]])</f>
        <v>0</v>
      </c>
    </row>
    <row r="306" spans="1:21" x14ac:dyDescent="0.25">
      <c r="A306" t="s">
        <v>67</v>
      </c>
      <c r="B306" t="s">
        <v>70</v>
      </c>
      <c r="C306">
        <v>7</v>
      </c>
      <c r="D306" t="s">
        <v>91</v>
      </c>
      <c r="E306" t="s">
        <v>72</v>
      </c>
      <c r="F306" t="s">
        <v>73</v>
      </c>
      <c r="G306">
        <v>0</v>
      </c>
      <c r="H306">
        <v>2E+20</v>
      </c>
      <c r="I306">
        <v>0</v>
      </c>
      <c r="J306">
        <v>0</v>
      </c>
      <c r="K306">
        <v>0</v>
      </c>
      <c r="L306">
        <v>0</v>
      </c>
      <c r="M306" s="5" t="str">
        <f>ContinuousStatsTable[[#This Row],[ProjectName]]&amp;ContinuousStatsTable[[#This Row],[Name]]&amp;ContinuousStatsTable[[#This Row],[Type]]&amp;ContinuousStatsTable[[#This Row],[Source]]</f>
        <v>Unnamed ProjectsandblastoperatorInstantaneous UtilizationResource</v>
      </c>
      <c r="N306" s="5">
        <f t="array" ref="N306">MAX(IF((ProjectInfoTable[ProjectName]=ContinuousStatsTable[[#This Row],[ProjectName]]),(ProjectInfoTable[ProjectName]=ContinuousStatsTable[[#This Row],[ProjectName]])*ProjectInfoTable[NumberOfReplications]))</f>
        <v>15</v>
      </c>
      <c r="O306" s="5">
        <f t="array" ref="O306">IFERROR(AVERAGE(IF((ContinuousStatsTable[GroupByKey]=ContinuousStatsTable[[#This Row],[GroupByKey]]),(ContinuousStatsTable[GroupByKey]=ContinuousStatsTable[[#This Row],[GroupByKey]])*ContinuousStatsTable[Average])),0)</f>
        <v>0</v>
      </c>
      <c r="P306" s="5">
        <f t="array" ref="P306">IFERROR(_xlfn.STDEV.S(IF((ContinuousStatsTable[GroupByKey]=ContinuousStatsTable[[#This Row],[GroupByKey]]),(ContinuousStatsTable[GroupByKey]=ContinuousStatsTable[[#This Row],[GroupByKey]])*ContinuousStatsTable[Average])),0)</f>
        <v>0</v>
      </c>
      <c r="Q306" s="5">
        <f t="array" ref="Q306">MAX(IF((ProjectInfoTable[ProjectName]=ContinuousStatsTable[[#This Row],[ProjectName]]),(ProjectInfoTable[ProjectName]=ContinuousStatsTable[[#This Row],[ProjectName]])*ProjectInfoTable[ConfidenceInterval]))</f>
        <v>0.95</v>
      </c>
      <c r="R3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6" s="5">
        <f t="array" ref="S306">MIN(IF((ContinuousStatsTable[GroupByKey]=ContinuousStatsTable[[#This Row],[GroupByKey]]),(ContinuousStatsTable[GroupByKey]=ContinuousStatsTable[[#This Row],[GroupByKey]])*ContinuousStatsTable[Average]))</f>
        <v>0</v>
      </c>
      <c r="T306" s="5">
        <f t="array" ref="T306">MAX(IF((ContinuousStatsTable[GroupByKey]=ContinuousStatsTable[[#This Row],[GroupByKey]]),(ContinuousStatsTable[GroupByKey]=ContinuousStatsTable[[#This Row],[GroupByKey]])*ContinuousStatsTable[Average]))</f>
        <v>0</v>
      </c>
      <c r="U306" s="5">
        <f>IF((ContinuousStatsTable[[#This Row],[RepsRequested]]&gt;1),ContinuousStatsTable[[#This Row],[HalfWidth]],ContinuousStatsTable[[#This Row],[BatchMeansHalfWidth]])</f>
        <v>0</v>
      </c>
    </row>
    <row r="307" spans="1:21" x14ac:dyDescent="0.25">
      <c r="A307" t="s">
        <v>67</v>
      </c>
      <c r="B307" t="s">
        <v>70</v>
      </c>
      <c r="C307">
        <v>7</v>
      </c>
      <c r="D307" t="s">
        <v>91</v>
      </c>
      <c r="E307" t="s">
        <v>74</v>
      </c>
      <c r="F307" t="s">
        <v>73</v>
      </c>
      <c r="G307">
        <v>0</v>
      </c>
      <c r="H307">
        <v>2E+20</v>
      </c>
      <c r="I307">
        <v>0</v>
      </c>
      <c r="J307">
        <v>0</v>
      </c>
      <c r="K307">
        <v>0</v>
      </c>
      <c r="L307">
        <v>0</v>
      </c>
      <c r="M307" s="5" t="str">
        <f>ContinuousStatsTable[[#This Row],[ProjectName]]&amp;ContinuousStatsTable[[#This Row],[Name]]&amp;ContinuousStatsTable[[#This Row],[Type]]&amp;ContinuousStatsTable[[#This Row],[Source]]</f>
        <v>Unnamed ProjectsandblastoperatorNumber BusyResource</v>
      </c>
      <c r="N307" s="5">
        <f t="array" ref="N307">MAX(IF((ProjectInfoTable[ProjectName]=ContinuousStatsTable[[#This Row],[ProjectName]]),(ProjectInfoTable[ProjectName]=ContinuousStatsTable[[#This Row],[ProjectName]])*ProjectInfoTable[NumberOfReplications]))</f>
        <v>15</v>
      </c>
      <c r="O307" s="5">
        <f t="array" ref="O307">IFERROR(AVERAGE(IF((ContinuousStatsTable[GroupByKey]=ContinuousStatsTable[[#This Row],[GroupByKey]]),(ContinuousStatsTable[GroupByKey]=ContinuousStatsTable[[#This Row],[GroupByKey]])*ContinuousStatsTable[Average])),0)</f>
        <v>0</v>
      </c>
      <c r="P307" s="5">
        <f t="array" ref="P307">IFERROR(_xlfn.STDEV.S(IF((ContinuousStatsTable[GroupByKey]=ContinuousStatsTable[[#This Row],[GroupByKey]]),(ContinuousStatsTable[GroupByKey]=ContinuousStatsTable[[#This Row],[GroupByKey]])*ContinuousStatsTable[Average])),0)</f>
        <v>0</v>
      </c>
      <c r="Q307" s="5">
        <f t="array" ref="Q307">MAX(IF((ProjectInfoTable[ProjectName]=ContinuousStatsTable[[#This Row],[ProjectName]]),(ProjectInfoTable[ProjectName]=ContinuousStatsTable[[#This Row],[ProjectName]])*ProjectInfoTable[ConfidenceInterval]))</f>
        <v>0.95</v>
      </c>
      <c r="R3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7" s="5">
        <f t="array" ref="S307">MIN(IF((ContinuousStatsTable[GroupByKey]=ContinuousStatsTable[[#This Row],[GroupByKey]]),(ContinuousStatsTable[GroupByKey]=ContinuousStatsTable[[#This Row],[GroupByKey]])*ContinuousStatsTable[Average]))</f>
        <v>0</v>
      </c>
      <c r="T307" s="5">
        <f t="array" ref="T307">MAX(IF((ContinuousStatsTable[GroupByKey]=ContinuousStatsTable[[#This Row],[GroupByKey]]),(ContinuousStatsTable[GroupByKey]=ContinuousStatsTable[[#This Row],[GroupByKey]])*ContinuousStatsTable[Average]))</f>
        <v>0</v>
      </c>
      <c r="U307" s="5">
        <f>IF((ContinuousStatsTable[[#This Row],[RepsRequested]]&gt;1),ContinuousStatsTable[[#This Row],[HalfWidth]],ContinuousStatsTable[[#This Row],[BatchMeansHalfWidth]])</f>
        <v>0</v>
      </c>
    </row>
    <row r="308" spans="1:21" x14ac:dyDescent="0.25">
      <c r="A308" t="s">
        <v>67</v>
      </c>
      <c r="B308" t="s">
        <v>70</v>
      </c>
      <c r="C308">
        <v>7</v>
      </c>
      <c r="D308" t="s">
        <v>91</v>
      </c>
      <c r="E308" t="s">
        <v>75</v>
      </c>
      <c r="F308" t="s">
        <v>73</v>
      </c>
      <c r="G308">
        <v>1.5834999999999999</v>
      </c>
      <c r="H308">
        <v>3E+20</v>
      </c>
      <c r="I308">
        <v>1</v>
      </c>
      <c r="J308">
        <v>2</v>
      </c>
      <c r="K308">
        <v>2</v>
      </c>
      <c r="L308">
        <v>0</v>
      </c>
      <c r="M308" s="5" t="str">
        <f>ContinuousStatsTable[[#This Row],[ProjectName]]&amp;ContinuousStatsTable[[#This Row],[Name]]&amp;ContinuousStatsTable[[#This Row],[Type]]&amp;ContinuousStatsTable[[#This Row],[Source]]</f>
        <v>Unnamed ProjectsandblastoperatorNumber ScheduledResource</v>
      </c>
      <c r="N308" s="5">
        <f t="array" ref="N308">MAX(IF((ProjectInfoTable[ProjectName]=ContinuousStatsTable[[#This Row],[ProjectName]]),(ProjectInfoTable[ProjectName]=ContinuousStatsTable[[#This Row],[ProjectName]])*ProjectInfoTable[NumberOfReplications]))</f>
        <v>15</v>
      </c>
      <c r="O308" s="5">
        <f t="array" ref="O308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308" s="5">
        <f t="array" ref="P308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308" s="5">
        <f t="array" ref="Q308">MAX(IF((ProjectInfoTable[ProjectName]=ContinuousStatsTable[[#This Row],[ProjectName]]),(ProjectInfoTable[ProjectName]=ContinuousStatsTable[[#This Row],[ProjectName]])*ProjectInfoTable[ConfidenceInterval]))</f>
        <v>0.95</v>
      </c>
      <c r="R3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308" s="5">
        <f t="array" ref="S308">MIN(IF((ContinuousStatsTable[GroupByKey]=ContinuousStatsTable[[#This Row],[GroupByKey]]),(ContinuousStatsTable[GroupByKey]=ContinuousStatsTable[[#This Row],[GroupByKey]])*ContinuousStatsTable[Average]))</f>
        <v>1</v>
      </c>
      <c r="T308" s="5">
        <f t="array" ref="T308">MAX(IF((ContinuousStatsTable[GroupByKey]=ContinuousStatsTable[[#This Row],[GroupByKey]]),(ContinuousStatsTable[GroupByKey]=ContinuousStatsTable[[#This Row],[GroupByKey]])*ContinuousStatsTable[Average]))</f>
        <v>2</v>
      </c>
      <c r="U308" s="5">
        <f>IF((ContinuousStatsTable[[#This Row],[RepsRequested]]&gt;1),ContinuousStatsTable[[#This Row],[HalfWidth]],ContinuousStatsTable[[#This Row],[BatchMeansHalfWidth]])</f>
        <v>0.13376733135491528</v>
      </c>
    </row>
    <row r="309" spans="1:21" x14ac:dyDescent="0.25">
      <c r="A309" t="s">
        <v>67</v>
      </c>
      <c r="B309" t="s">
        <v>70</v>
      </c>
      <c r="C309">
        <v>7</v>
      </c>
      <c r="D309" t="s">
        <v>92</v>
      </c>
      <c r="E309" t="s">
        <v>84</v>
      </c>
      <c r="F309" t="s">
        <v>85</v>
      </c>
      <c r="G309">
        <v>0</v>
      </c>
      <c r="H309">
        <v>2E+20</v>
      </c>
      <c r="I309">
        <v>0</v>
      </c>
      <c r="J309">
        <v>0</v>
      </c>
      <c r="K309">
        <v>0</v>
      </c>
      <c r="L309">
        <v>0</v>
      </c>
      <c r="M309" s="5" t="str">
        <f>ContinuousStatsTable[[#This Row],[ProjectName]]&amp;ContinuousStatsTable[[#This Row],[Name]]&amp;ContinuousStatsTable[[#This Row],[Type]]&amp;ContinuousStatsTable[[#This Row],[Source]]</f>
        <v>Unnamed Projectseize_assembler.QueueNumber WaitingQueue</v>
      </c>
      <c r="N309" s="5">
        <f t="array" ref="N309">MAX(IF((ProjectInfoTable[ProjectName]=ContinuousStatsTable[[#This Row],[ProjectName]]),(ProjectInfoTable[ProjectName]=ContinuousStatsTable[[#This Row],[ProjectName]])*ProjectInfoTable[NumberOfReplications]))</f>
        <v>15</v>
      </c>
      <c r="O309" s="5">
        <f t="array" ref="O309">IFERROR(AVERAGE(IF((ContinuousStatsTable[GroupByKey]=ContinuousStatsTable[[#This Row],[GroupByKey]]),(ContinuousStatsTable[GroupByKey]=ContinuousStatsTable[[#This Row],[GroupByKey]])*ContinuousStatsTable[Average])),0)</f>
        <v>0</v>
      </c>
      <c r="P309" s="5">
        <f t="array" ref="P309">IFERROR(_xlfn.STDEV.S(IF((ContinuousStatsTable[GroupByKey]=ContinuousStatsTable[[#This Row],[GroupByKey]]),(ContinuousStatsTable[GroupByKey]=ContinuousStatsTable[[#This Row],[GroupByKey]])*ContinuousStatsTable[Average])),0)</f>
        <v>0</v>
      </c>
      <c r="Q309" s="5">
        <f t="array" ref="Q309">MAX(IF((ProjectInfoTable[ProjectName]=ContinuousStatsTable[[#This Row],[ProjectName]]),(ProjectInfoTable[ProjectName]=ContinuousStatsTable[[#This Row],[ProjectName]])*ProjectInfoTable[ConfidenceInterval]))</f>
        <v>0.95</v>
      </c>
      <c r="R3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9" s="5">
        <f t="array" ref="S309">MIN(IF((ContinuousStatsTable[GroupByKey]=ContinuousStatsTable[[#This Row],[GroupByKey]]),(ContinuousStatsTable[GroupByKey]=ContinuousStatsTable[[#This Row],[GroupByKey]])*ContinuousStatsTable[Average]))</f>
        <v>0</v>
      </c>
      <c r="T309" s="5">
        <f t="array" ref="T309">MAX(IF((ContinuousStatsTable[GroupByKey]=ContinuousStatsTable[[#This Row],[GroupByKey]]),(ContinuousStatsTable[GroupByKey]=ContinuousStatsTable[[#This Row],[GroupByKey]])*ContinuousStatsTable[Average]))</f>
        <v>0</v>
      </c>
      <c r="U309" s="5">
        <f>IF((ContinuousStatsTable[[#This Row],[RepsRequested]]&gt;1),ContinuousStatsTable[[#This Row],[HalfWidth]],ContinuousStatsTable[[#This Row],[BatchMeansHalfWidth]])</f>
        <v>0</v>
      </c>
    </row>
    <row r="310" spans="1:21" x14ac:dyDescent="0.25">
      <c r="A310" t="s">
        <v>67</v>
      </c>
      <c r="B310" t="s">
        <v>70</v>
      </c>
      <c r="C310">
        <v>7</v>
      </c>
      <c r="D310" t="s">
        <v>93</v>
      </c>
      <c r="E310" t="s">
        <v>84</v>
      </c>
      <c r="F310" t="s">
        <v>85</v>
      </c>
      <c r="G310">
        <v>0</v>
      </c>
      <c r="H310">
        <v>2E+20</v>
      </c>
      <c r="I310">
        <v>0</v>
      </c>
      <c r="J310">
        <v>0</v>
      </c>
      <c r="K310">
        <v>0</v>
      </c>
      <c r="L310">
        <v>0</v>
      </c>
      <c r="M310" s="5" t="str">
        <f>ContinuousStatsTable[[#This Row],[ProjectName]]&amp;ContinuousStatsTable[[#This Row],[Name]]&amp;ContinuousStatsTable[[#This Row],[Type]]&amp;ContinuousStatsTable[[#This Row],[Source]]</f>
        <v>Unnamed Projectseize_cutter.QueueNumber WaitingQueue</v>
      </c>
      <c r="N310" s="5">
        <f t="array" ref="N310">MAX(IF((ProjectInfoTable[ProjectName]=ContinuousStatsTable[[#This Row],[ProjectName]]),(ProjectInfoTable[ProjectName]=ContinuousStatsTable[[#This Row],[ProjectName]])*ProjectInfoTable[NumberOfReplications]))</f>
        <v>15</v>
      </c>
      <c r="O310" s="5">
        <f t="array" ref="O310">IFERROR(AVERAGE(IF((ContinuousStatsTable[GroupByKey]=ContinuousStatsTable[[#This Row],[GroupByKey]]),(ContinuousStatsTable[GroupByKey]=ContinuousStatsTable[[#This Row],[GroupByKey]])*ContinuousStatsTable[Average])),0)</f>
        <v>0</v>
      </c>
      <c r="P310" s="5">
        <f t="array" ref="P310">IFERROR(_xlfn.STDEV.S(IF((ContinuousStatsTable[GroupByKey]=ContinuousStatsTable[[#This Row],[GroupByKey]]),(ContinuousStatsTable[GroupByKey]=ContinuousStatsTable[[#This Row],[GroupByKey]])*ContinuousStatsTable[Average])),0)</f>
        <v>0</v>
      </c>
      <c r="Q310" s="5">
        <f t="array" ref="Q310">MAX(IF((ProjectInfoTable[ProjectName]=ContinuousStatsTable[[#This Row],[ProjectName]]),(ProjectInfoTable[ProjectName]=ContinuousStatsTable[[#This Row],[ProjectName]])*ProjectInfoTable[ConfidenceInterval]))</f>
        <v>0.95</v>
      </c>
      <c r="R3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0" s="5">
        <f t="array" ref="S310">MIN(IF((ContinuousStatsTable[GroupByKey]=ContinuousStatsTable[[#This Row],[GroupByKey]]),(ContinuousStatsTable[GroupByKey]=ContinuousStatsTable[[#This Row],[GroupByKey]])*ContinuousStatsTable[Average]))</f>
        <v>0</v>
      </c>
      <c r="T310" s="5">
        <f t="array" ref="T310">MAX(IF((ContinuousStatsTable[GroupByKey]=ContinuousStatsTable[[#This Row],[GroupByKey]]),(ContinuousStatsTable[GroupByKey]=ContinuousStatsTable[[#This Row],[GroupByKey]])*ContinuousStatsTable[Average]))</f>
        <v>0</v>
      </c>
      <c r="U310" s="5">
        <f>IF((ContinuousStatsTable[[#This Row],[RepsRequested]]&gt;1),ContinuousStatsTable[[#This Row],[HalfWidth]],ContinuousStatsTable[[#This Row],[BatchMeansHalfWidth]])</f>
        <v>0</v>
      </c>
    </row>
    <row r="311" spans="1:21" x14ac:dyDescent="0.25">
      <c r="A311" t="s">
        <v>67</v>
      </c>
      <c r="B311" t="s">
        <v>70</v>
      </c>
      <c r="C311">
        <v>7</v>
      </c>
      <c r="D311" t="s">
        <v>94</v>
      </c>
      <c r="E311" t="s">
        <v>84</v>
      </c>
      <c r="F311" t="s">
        <v>85</v>
      </c>
      <c r="G311">
        <v>0</v>
      </c>
      <c r="H311">
        <v>2E+20</v>
      </c>
      <c r="I311">
        <v>0</v>
      </c>
      <c r="J311">
        <v>0</v>
      </c>
      <c r="K311">
        <v>0</v>
      </c>
      <c r="L311">
        <v>0</v>
      </c>
      <c r="M311" s="5" t="str">
        <f>ContinuousStatsTable[[#This Row],[ProjectName]]&amp;ContinuousStatsTable[[#This Row],[Name]]&amp;ContinuousStatsTable[[#This Row],[Type]]&amp;ContinuousStatsTable[[#This Row],[Source]]</f>
        <v>Unnamed Projectseizeassemblyqcman.QueueNumber WaitingQueue</v>
      </c>
      <c r="N311" s="5">
        <f t="array" ref="N311">MAX(IF((ProjectInfoTable[ProjectName]=ContinuousStatsTable[[#This Row],[ProjectName]]),(ProjectInfoTable[ProjectName]=ContinuousStatsTable[[#This Row],[ProjectName]])*ProjectInfoTable[NumberOfReplications]))</f>
        <v>15</v>
      </c>
      <c r="O311" s="5">
        <f t="array" ref="O311">IFERROR(AVERAGE(IF((ContinuousStatsTable[GroupByKey]=ContinuousStatsTable[[#This Row],[GroupByKey]]),(ContinuousStatsTable[GroupByKey]=ContinuousStatsTable[[#This Row],[GroupByKey]])*ContinuousStatsTable[Average])),0)</f>
        <v>0</v>
      </c>
      <c r="P311" s="5">
        <f t="array" ref="P311">IFERROR(_xlfn.STDEV.S(IF((ContinuousStatsTable[GroupByKey]=ContinuousStatsTable[[#This Row],[GroupByKey]]),(ContinuousStatsTable[GroupByKey]=ContinuousStatsTable[[#This Row],[GroupByKey]])*ContinuousStatsTable[Average])),0)</f>
        <v>0</v>
      </c>
      <c r="Q311" s="5">
        <f t="array" ref="Q311">MAX(IF((ProjectInfoTable[ProjectName]=ContinuousStatsTable[[#This Row],[ProjectName]]),(ProjectInfoTable[ProjectName]=ContinuousStatsTable[[#This Row],[ProjectName]])*ProjectInfoTable[ConfidenceInterval]))</f>
        <v>0.95</v>
      </c>
      <c r="R3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1" s="5">
        <f t="array" ref="S311">MIN(IF((ContinuousStatsTable[GroupByKey]=ContinuousStatsTable[[#This Row],[GroupByKey]]),(ContinuousStatsTable[GroupByKey]=ContinuousStatsTable[[#This Row],[GroupByKey]])*ContinuousStatsTable[Average]))</f>
        <v>0</v>
      </c>
      <c r="T311" s="5">
        <f t="array" ref="T311">MAX(IF((ContinuousStatsTable[GroupByKey]=ContinuousStatsTable[[#This Row],[GroupByKey]]),(ContinuousStatsTable[GroupByKey]=ContinuousStatsTable[[#This Row],[GroupByKey]])*ContinuousStatsTable[Average]))</f>
        <v>0</v>
      </c>
      <c r="U311" s="5">
        <f>IF((ContinuousStatsTable[[#This Row],[RepsRequested]]&gt;1),ContinuousStatsTable[[#This Row],[HalfWidth]],ContinuousStatsTable[[#This Row],[BatchMeansHalfWidth]])</f>
        <v>0</v>
      </c>
    </row>
    <row r="312" spans="1:21" x14ac:dyDescent="0.25">
      <c r="A312" t="s">
        <v>67</v>
      </c>
      <c r="B312" t="s">
        <v>70</v>
      </c>
      <c r="C312">
        <v>7</v>
      </c>
      <c r="D312" t="s">
        <v>95</v>
      </c>
      <c r="E312" t="s">
        <v>84</v>
      </c>
      <c r="F312" t="s">
        <v>85</v>
      </c>
      <c r="G312">
        <v>0</v>
      </c>
      <c r="H312">
        <v>2E+20</v>
      </c>
      <c r="I312">
        <v>0</v>
      </c>
      <c r="J312">
        <v>0</v>
      </c>
      <c r="K312">
        <v>0</v>
      </c>
      <c r="L312">
        <v>0</v>
      </c>
      <c r="M312" s="5" t="str">
        <f>ContinuousStatsTable[[#This Row],[ProjectName]]&amp;ContinuousStatsTable[[#This Row],[Name]]&amp;ContinuousStatsTable[[#This Row],[Type]]&amp;ContinuousStatsTable[[#This Row],[Source]]</f>
        <v>Unnamed Projectseizecleaner.QueueNumber WaitingQueue</v>
      </c>
      <c r="N312" s="5">
        <f t="array" ref="N312">MAX(IF((ProjectInfoTable[ProjectName]=ContinuousStatsTable[[#This Row],[ProjectName]]),(ProjectInfoTable[ProjectName]=ContinuousStatsTable[[#This Row],[ProjectName]])*ProjectInfoTable[NumberOfReplications]))</f>
        <v>15</v>
      </c>
      <c r="O312" s="5">
        <f t="array" ref="O312">IFERROR(AVERAGE(IF((ContinuousStatsTable[GroupByKey]=ContinuousStatsTable[[#This Row],[GroupByKey]]),(ContinuousStatsTable[GroupByKey]=ContinuousStatsTable[[#This Row],[GroupByKey]])*ContinuousStatsTable[Average])),0)</f>
        <v>0</v>
      </c>
      <c r="P312" s="5">
        <f t="array" ref="P312">IFERROR(_xlfn.STDEV.S(IF((ContinuousStatsTable[GroupByKey]=ContinuousStatsTable[[#This Row],[GroupByKey]]),(ContinuousStatsTable[GroupByKey]=ContinuousStatsTable[[#This Row],[GroupByKey]])*ContinuousStatsTable[Average])),0)</f>
        <v>0</v>
      </c>
      <c r="Q312" s="5">
        <f t="array" ref="Q312">MAX(IF((ProjectInfoTable[ProjectName]=ContinuousStatsTable[[#This Row],[ProjectName]]),(ProjectInfoTable[ProjectName]=ContinuousStatsTable[[#This Row],[ProjectName]])*ProjectInfoTable[ConfidenceInterval]))</f>
        <v>0.95</v>
      </c>
      <c r="R3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2" s="5">
        <f t="array" ref="S312">MIN(IF((ContinuousStatsTable[GroupByKey]=ContinuousStatsTable[[#This Row],[GroupByKey]]),(ContinuousStatsTable[GroupByKey]=ContinuousStatsTable[[#This Row],[GroupByKey]])*ContinuousStatsTable[Average]))</f>
        <v>0</v>
      </c>
      <c r="T312" s="5">
        <f t="array" ref="T312">MAX(IF((ContinuousStatsTable[GroupByKey]=ContinuousStatsTable[[#This Row],[GroupByKey]]),(ContinuousStatsTable[GroupByKey]=ContinuousStatsTable[[#This Row],[GroupByKey]])*ContinuousStatsTable[Average]))</f>
        <v>0</v>
      </c>
      <c r="U312" s="5">
        <f>IF((ContinuousStatsTable[[#This Row],[RepsRequested]]&gt;1),ContinuousStatsTable[[#This Row],[HalfWidth]],ContinuousStatsTable[[#This Row],[BatchMeansHalfWidth]])</f>
        <v>0</v>
      </c>
    </row>
    <row r="313" spans="1:21" x14ac:dyDescent="0.25">
      <c r="A313" t="s">
        <v>67</v>
      </c>
      <c r="B313" t="s">
        <v>70</v>
      </c>
      <c r="C313">
        <v>7</v>
      </c>
      <c r="D313" t="s">
        <v>96</v>
      </c>
      <c r="E313" t="s">
        <v>84</v>
      </c>
      <c r="F313" t="s">
        <v>85</v>
      </c>
      <c r="G313">
        <v>0</v>
      </c>
      <c r="H313">
        <v>2E+20</v>
      </c>
      <c r="I313">
        <v>0</v>
      </c>
      <c r="J313">
        <v>0</v>
      </c>
      <c r="K313">
        <v>0</v>
      </c>
      <c r="L313">
        <v>0</v>
      </c>
      <c r="M313" s="5" t="str">
        <f>ContinuousStatsTable[[#This Row],[ProjectName]]&amp;ContinuousStatsTable[[#This Row],[Name]]&amp;ContinuousStatsTable[[#This Row],[Type]]&amp;ContinuousStatsTable[[#This Row],[Source]]</f>
        <v>Unnamed Projectseizepainter.QueueNumber WaitingQueue</v>
      </c>
      <c r="N313" s="5">
        <f t="array" ref="N313">MAX(IF((ProjectInfoTable[ProjectName]=ContinuousStatsTable[[#This Row],[ProjectName]]),(ProjectInfoTable[ProjectName]=ContinuousStatsTable[[#This Row],[ProjectName]])*ProjectInfoTable[NumberOfReplications]))</f>
        <v>15</v>
      </c>
      <c r="O313" s="5">
        <f t="array" ref="O313">IFERROR(AVERAGE(IF((ContinuousStatsTable[GroupByKey]=ContinuousStatsTable[[#This Row],[GroupByKey]]),(ContinuousStatsTable[GroupByKey]=ContinuousStatsTable[[#This Row],[GroupByKey]])*ContinuousStatsTable[Average])),0)</f>
        <v>0</v>
      </c>
      <c r="P313" s="5">
        <f t="array" ref="P313">IFERROR(_xlfn.STDEV.S(IF((ContinuousStatsTable[GroupByKey]=ContinuousStatsTable[[#This Row],[GroupByKey]]),(ContinuousStatsTable[GroupByKey]=ContinuousStatsTable[[#This Row],[GroupByKey]])*ContinuousStatsTable[Average])),0)</f>
        <v>0</v>
      </c>
      <c r="Q313" s="5">
        <f t="array" ref="Q313">MAX(IF((ProjectInfoTable[ProjectName]=ContinuousStatsTable[[#This Row],[ProjectName]]),(ProjectInfoTable[ProjectName]=ContinuousStatsTable[[#This Row],[ProjectName]])*ProjectInfoTable[ConfidenceInterval]))</f>
        <v>0.95</v>
      </c>
      <c r="R3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3" s="5">
        <f t="array" ref="S313">MIN(IF((ContinuousStatsTable[GroupByKey]=ContinuousStatsTable[[#This Row],[GroupByKey]]),(ContinuousStatsTable[GroupByKey]=ContinuousStatsTable[[#This Row],[GroupByKey]])*ContinuousStatsTable[Average]))</f>
        <v>0</v>
      </c>
      <c r="T313" s="5">
        <f t="array" ref="T313">MAX(IF((ContinuousStatsTable[GroupByKey]=ContinuousStatsTable[[#This Row],[GroupByKey]]),(ContinuousStatsTable[GroupByKey]=ContinuousStatsTable[[#This Row],[GroupByKey]])*ContinuousStatsTable[Average]))</f>
        <v>0</v>
      </c>
      <c r="U313" s="5">
        <f>IF((ContinuousStatsTable[[#This Row],[RepsRequested]]&gt;1),ContinuousStatsTable[[#This Row],[HalfWidth]],ContinuousStatsTable[[#This Row],[BatchMeansHalfWidth]])</f>
        <v>0</v>
      </c>
    </row>
    <row r="314" spans="1:21" x14ac:dyDescent="0.25">
      <c r="A314" t="s">
        <v>67</v>
      </c>
      <c r="B314" t="s">
        <v>70</v>
      </c>
      <c r="C314">
        <v>7</v>
      </c>
      <c r="D314" t="s">
        <v>97</v>
      </c>
      <c r="E314" t="s">
        <v>84</v>
      </c>
      <c r="F314" t="s">
        <v>85</v>
      </c>
      <c r="G314">
        <v>0</v>
      </c>
      <c r="H314">
        <v>2E+20</v>
      </c>
      <c r="I314">
        <v>0</v>
      </c>
      <c r="J314">
        <v>0</v>
      </c>
      <c r="K314">
        <v>0</v>
      </c>
      <c r="L314">
        <v>0</v>
      </c>
      <c r="M314" s="5" t="str">
        <f>ContinuousStatsTable[[#This Row],[ProjectName]]&amp;ContinuousStatsTable[[#This Row],[Name]]&amp;ContinuousStatsTable[[#This Row],[Type]]&amp;ContinuousStatsTable[[#This Row],[Source]]</f>
        <v>Unnamed Projectseizeqcman.QueueNumber WaitingQueue</v>
      </c>
      <c r="N314" s="5">
        <f t="array" ref="N314">MAX(IF((ProjectInfoTable[ProjectName]=ContinuousStatsTable[[#This Row],[ProjectName]]),(ProjectInfoTable[ProjectName]=ContinuousStatsTable[[#This Row],[ProjectName]])*ProjectInfoTable[NumberOfReplications]))</f>
        <v>15</v>
      </c>
      <c r="O314" s="5">
        <f t="array" ref="O314">IFERROR(AVERAGE(IF((ContinuousStatsTable[GroupByKey]=ContinuousStatsTable[[#This Row],[GroupByKey]]),(ContinuousStatsTable[GroupByKey]=ContinuousStatsTable[[#This Row],[GroupByKey]])*ContinuousStatsTable[Average])),0)</f>
        <v>0</v>
      </c>
      <c r="P314" s="5">
        <f t="array" ref="P314">IFERROR(_xlfn.STDEV.S(IF((ContinuousStatsTable[GroupByKey]=ContinuousStatsTable[[#This Row],[GroupByKey]]),(ContinuousStatsTable[GroupByKey]=ContinuousStatsTable[[#This Row],[GroupByKey]])*ContinuousStatsTable[Average])),0)</f>
        <v>0</v>
      </c>
      <c r="Q314" s="5">
        <f t="array" ref="Q314">MAX(IF((ProjectInfoTable[ProjectName]=ContinuousStatsTable[[#This Row],[ProjectName]]),(ProjectInfoTable[ProjectName]=ContinuousStatsTable[[#This Row],[ProjectName]])*ProjectInfoTable[ConfidenceInterval]))</f>
        <v>0.95</v>
      </c>
      <c r="R3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4" s="5">
        <f t="array" ref="S314">MIN(IF((ContinuousStatsTable[GroupByKey]=ContinuousStatsTable[[#This Row],[GroupByKey]]),(ContinuousStatsTable[GroupByKey]=ContinuousStatsTable[[#This Row],[GroupByKey]])*ContinuousStatsTable[Average]))</f>
        <v>0</v>
      </c>
      <c r="T314" s="5">
        <f t="array" ref="T314">MAX(IF((ContinuousStatsTable[GroupByKey]=ContinuousStatsTable[[#This Row],[GroupByKey]]),(ContinuousStatsTable[GroupByKey]=ContinuousStatsTable[[#This Row],[GroupByKey]])*ContinuousStatsTable[Average]))</f>
        <v>0</v>
      </c>
      <c r="U314" s="5">
        <f>IF((ContinuousStatsTable[[#This Row],[RepsRequested]]&gt;1),ContinuousStatsTable[[#This Row],[HalfWidth]],ContinuousStatsTable[[#This Row],[BatchMeansHalfWidth]])</f>
        <v>0</v>
      </c>
    </row>
    <row r="315" spans="1:21" x14ac:dyDescent="0.25">
      <c r="A315" t="s">
        <v>67</v>
      </c>
      <c r="B315" t="s">
        <v>70</v>
      </c>
      <c r="C315">
        <v>7</v>
      </c>
      <c r="D315" t="s">
        <v>98</v>
      </c>
      <c r="E315" t="s">
        <v>84</v>
      </c>
      <c r="F315" t="s">
        <v>85</v>
      </c>
      <c r="G315">
        <v>0</v>
      </c>
      <c r="H315">
        <v>2E+20</v>
      </c>
      <c r="I315">
        <v>0</v>
      </c>
      <c r="J315">
        <v>0</v>
      </c>
      <c r="K315">
        <v>0</v>
      </c>
      <c r="L315">
        <v>0</v>
      </c>
      <c r="M315" s="5" t="str">
        <f>ContinuousStatsTable[[#This Row],[ProjectName]]&amp;ContinuousStatsTable[[#This Row],[Name]]&amp;ContinuousStatsTable[[#This Row],[Type]]&amp;ContinuousStatsTable[[#This Row],[Source]]</f>
        <v>Unnamed Projectseizesandblaster.QueueNumber WaitingQueue</v>
      </c>
      <c r="N315" s="5">
        <f t="array" ref="N315">MAX(IF((ProjectInfoTable[ProjectName]=ContinuousStatsTable[[#This Row],[ProjectName]]),(ProjectInfoTable[ProjectName]=ContinuousStatsTable[[#This Row],[ProjectName]])*ProjectInfoTable[NumberOfReplications]))</f>
        <v>15</v>
      </c>
      <c r="O315" s="5">
        <f t="array" ref="O315">IFERROR(AVERAGE(IF((ContinuousStatsTable[GroupByKey]=ContinuousStatsTable[[#This Row],[GroupByKey]]),(ContinuousStatsTable[GroupByKey]=ContinuousStatsTable[[#This Row],[GroupByKey]])*ContinuousStatsTable[Average])),0)</f>
        <v>0</v>
      </c>
      <c r="P315" s="5">
        <f t="array" ref="P315">IFERROR(_xlfn.STDEV.S(IF((ContinuousStatsTable[GroupByKey]=ContinuousStatsTable[[#This Row],[GroupByKey]]),(ContinuousStatsTable[GroupByKey]=ContinuousStatsTable[[#This Row],[GroupByKey]])*ContinuousStatsTable[Average])),0)</f>
        <v>0</v>
      </c>
      <c r="Q315" s="5">
        <f t="array" ref="Q315">MAX(IF((ProjectInfoTable[ProjectName]=ContinuousStatsTable[[#This Row],[ProjectName]]),(ProjectInfoTable[ProjectName]=ContinuousStatsTable[[#This Row],[ProjectName]])*ProjectInfoTable[ConfidenceInterval]))</f>
        <v>0.95</v>
      </c>
      <c r="R3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5" s="5">
        <f t="array" ref="S315">MIN(IF((ContinuousStatsTable[GroupByKey]=ContinuousStatsTable[[#This Row],[GroupByKey]]),(ContinuousStatsTable[GroupByKey]=ContinuousStatsTable[[#This Row],[GroupByKey]])*ContinuousStatsTable[Average]))</f>
        <v>0</v>
      </c>
      <c r="T315" s="5">
        <f t="array" ref="T315">MAX(IF((ContinuousStatsTable[GroupByKey]=ContinuousStatsTable[[#This Row],[GroupByKey]]),(ContinuousStatsTable[GroupByKey]=ContinuousStatsTable[[#This Row],[GroupByKey]])*ContinuousStatsTable[Average]))</f>
        <v>0</v>
      </c>
      <c r="U315" s="5">
        <f>IF((ContinuousStatsTable[[#This Row],[RepsRequested]]&gt;1),ContinuousStatsTable[[#This Row],[HalfWidth]],ContinuousStatsTable[[#This Row],[BatchMeansHalfWidth]])</f>
        <v>0</v>
      </c>
    </row>
    <row r="316" spans="1:21" x14ac:dyDescent="0.25">
      <c r="A316" t="s">
        <v>67</v>
      </c>
      <c r="B316" t="s">
        <v>70</v>
      </c>
      <c r="C316">
        <v>7</v>
      </c>
      <c r="D316" t="s">
        <v>99</v>
      </c>
      <c r="E316" t="s">
        <v>84</v>
      </c>
      <c r="F316" t="s">
        <v>85</v>
      </c>
      <c r="G316">
        <v>0</v>
      </c>
      <c r="H316">
        <v>2E+20</v>
      </c>
      <c r="I316">
        <v>0</v>
      </c>
      <c r="J316">
        <v>0</v>
      </c>
      <c r="K316">
        <v>0</v>
      </c>
      <c r="L316">
        <v>0</v>
      </c>
      <c r="M316" s="5" t="str">
        <f>ContinuousStatsTable[[#This Row],[ProjectName]]&amp;ContinuousStatsTable[[#This Row],[Name]]&amp;ContinuousStatsTable[[#This Row],[Type]]&amp;ContinuousStatsTable[[#This Row],[Source]]</f>
        <v>Unnamed Projectseizewelder.QueueNumber WaitingQueue</v>
      </c>
      <c r="N316" s="5">
        <f t="array" ref="N316">MAX(IF((ProjectInfoTable[ProjectName]=ContinuousStatsTable[[#This Row],[ProjectName]]),(ProjectInfoTable[ProjectName]=ContinuousStatsTable[[#This Row],[ProjectName]])*ProjectInfoTable[NumberOfReplications]))</f>
        <v>15</v>
      </c>
      <c r="O316" s="5">
        <f t="array" ref="O316">IFERROR(AVERAGE(IF((ContinuousStatsTable[GroupByKey]=ContinuousStatsTable[[#This Row],[GroupByKey]]),(ContinuousStatsTable[GroupByKey]=ContinuousStatsTable[[#This Row],[GroupByKey]])*ContinuousStatsTable[Average])),0)</f>
        <v>0</v>
      </c>
      <c r="P316" s="5">
        <f t="array" ref="P316">IFERROR(_xlfn.STDEV.S(IF((ContinuousStatsTable[GroupByKey]=ContinuousStatsTable[[#This Row],[GroupByKey]]),(ContinuousStatsTable[GroupByKey]=ContinuousStatsTable[[#This Row],[GroupByKey]])*ContinuousStatsTable[Average])),0)</f>
        <v>0</v>
      </c>
      <c r="Q316" s="5">
        <f t="array" ref="Q316">MAX(IF((ProjectInfoTable[ProjectName]=ContinuousStatsTable[[#This Row],[ProjectName]]),(ProjectInfoTable[ProjectName]=ContinuousStatsTable[[#This Row],[ProjectName]])*ProjectInfoTable[ConfidenceInterval]))</f>
        <v>0.95</v>
      </c>
      <c r="R3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6" s="5">
        <f t="array" ref="S316">MIN(IF((ContinuousStatsTable[GroupByKey]=ContinuousStatsTable[[#This Row],[GroupByKey]]),(ContinuousStatsTable[GroupByKey]=ContinuousStatsTable[[#This Row],[GroupByKey]])*ContinuousStatsTable[Average]))</f>
        <v>0</v>
      </c>
      <c r="T316" s="5">
        <f t="array" ref="T316">MAX(IF((ContinuousStatsTable[GroupByKey]=ContinuousStatsTable[[#This Row],[GroupByKey]]),(ContinuousStatsTable[GroupByKey]=ContinuousStatsTable[[#This Row],[GroupByKey]])*ContinuousStatsTable[Average]))</f>
        <v>0</v>
      </c>
      <c r="U316" s="5">
        <f>IF((ContinuousStatsTable[[#This Row],[RepsRequested]]&gt;1),ContinuousStatsTable[[#This Row],[HalfWidth]],ContinuousStatsTable[[#This Row],[BatchMeansHalfWidth]])</f>
        <v>0</v>
      </c>
    </row>
    <row r="317" spans="1:21" x14ac:dyDescent="0.25">
      <c r="A317" t="s">
        <v>67</v>
      </c>
      <c r="B317" t="s">
        <v>70</v>
      </c>
      <c r="C317">
        <v>7</v>
      </c>
      <c r="D317" t="s">
        <v>100</v>
      </c>
      <c r="E317" t="s">
        <v>78</v>
      </c>
      <c r="F317" t="s">
        <v>79</v>
      </c>
      <c r="G317">
        <v>4</v>
      </c>
      <c r="H317">
        <v>2E+20</v>
      </c>
      <c r="I317">
        <v>4</v>
      </c>
      <c r="J317">
        <v>4</v>
      </c>
      <c r="K317">
        <v>4</v>
      </c>
      <c r="L317">
        <v>0</v>
      </c>
      <c r="M317" s="5" t="str">
        <f>ContinuousStatsTable[[#This Row],[ProjectName]]&amp;ContinuousStatsTable[[#This Row],[Name]]&amp;ContinuousStatsTable[[#This Row],[Type]]&amp;ContinuousStatsTable[[#This Row],[Source]]</f>
        <v>Unnamed ProjectsteelsheetWIPEntity</v>
      </c>
      <c r="N317" s="5">
        <f t="array" ref="N317">MAX(IF((ProjectInfoTable[ProjectName]=ContinuousStatsTable[[#This Row],[ProjectName]]),(ProjectInfoTable[ProjectName]=ContinuousStatsTable[[#This Row],[ProjectName]])*ProjectInfoTable[NumberOfReplications]))</f>
        <v>15</v>
      </c>
      <c r="O317" s="5">
        <f t="array" ref="O317">IFERROR(AVERAGE(IF((ContinuousStatsTable[GroupByKey]=ContinuousStatsTable[[#This Row],[GroupByKey]]),(ContinuousStatsTable[GroupByKey]=ContinuousStatsTable[[#This Row],[GroupByKey]])*ContinuousStatsTable[Average])),0)</f>
        <v>6.1333333333333337</v>
      </c>
      <c r="P317" s="5">
        <f t="array" ref="P317">IFERROR(_xlfn.STDEV.S(IF((ContinuousStatsTable[GroupByKey]=ContinuousStatsTable[[#This Row],[GroupByKey]]),(ContinuousStatsTable[GroupByKey]=ContinuousStatsTable[[#This Row],[GroupByKey]])*ContinuousStatsTable[Average])),0)</f>
        <v>5.3166405433005028</v>
      </c>
      <c r="Q317" s="5">
        <f t="array" ref="Q317">MAX(IF((ProjectInfoTable[ProjectName]=ContinuousStatsTable[[#This Row],[ProjectName]]),(ProjectInfoTable[ProjectName]=ContinuousStatsTable[[#This Row],[ProjectName]])*ProjectInfoTable[ConfidenceInterval]))</f>
        <v>0.95</v>
      </c>
      <c r="R3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2.944257396015229</v>
      </c>
      <c r="S317" s="5">
        <f t="array" ref="S317">MIN(IF((ContinuousStatsTable[GroupByKey]=ContinuousStatsTable[[#This Row],[GroupByKey]]),(ContinuousStatsTable[GroupByKey]=ContinuousStatsTable[[#This Row],[GroupByKey]])*ContinuousStatsTable[Average]))</f>
        <v>0</v>
      </c>
      <c r="T317" s="5">
        <f t="array" ref="T317">MAX(IF((ContinuousStatsTable[GroupByKey]=ContinuousStatsTable[[#This Row],[GroupByKey]]),(ContinuousStatsTable[GroupByKey]=ContinuousStatsTable[[#This Row],[GroupByKey]])*ContinuousStatsTable[Average]))</f>
        <v>16</v>
      </c>
      <c r="U317" s="5">
        <f>IF((ContinuousStatsTable[[#This Row],[RepsRequested]]&gt;1),ContinuousStatsTable[[#This Row],[HalfWidth]],ContinuousStatsTable[[#This Row],[BatchMeansHalfWidth]])</f>
        <v>2.944257396015229</v>
      </c>
    </row>
    <row r="318" spans="1:21" x14ac:dyDescent="0.25">
      <c r="A318" t="s">
        <v>67</v>
      </c>
      <c r="B318" t="s">
        <v>70</v>
      </c>
      <c r="C318">
        <v>7</v>
      </c>
      <c r="D318" t="s">
        <v>101</v>
      </c>
      <c r="E318" t="s">
        <v>72</v>
      </c>
      <c r="F318" t="s">
        <v>73</v>
      </c>
      <c r="G318">
        <v>0</v>
      </c>
      <c r="H318">
        <v>2E+20</v>
      </c>
      <c r="I318">
        <v>0</v>
      </c>
      <c r="J318">
        <v>0</v>
      </c>
      <c r="K318">
        <v>0</v>
      </c>
      <c r="L318">
        <v>0</v>
      </c>
      <c r="M318" s="5" t="str">
        <f>ContinuousStatsTable[[#This Row],[ProjectName]]&amp;ContinuousStatsTable[[#This Row],[Name]]&amp;ContinuousStatsTable[[#This Row],[Type]]&amp;ContinuousStatsTable[[#This Row],[Source]]</f>
        <v>Unnamed ProjectwelderInstantaneous UtilizationResource</v>
      </c>
      <c r="N318" s="5">
        <f t="array" ref="N318">MAX(IF((ProjectInfoTable[ProjectName]=ContinuousStatsTable[[#This Row],[ProjectName]]),(ProjectInfoTable[ProjectName]=ContinuousStatsTable[[#This Row],[ProjectName]])*ProjectInfoTable[NumberOfReplications]))</f>
        <v>15</v>
      </c>
      <c r="O318" s="5">
        <f t="array" ref="O318">IFERROR(AVERAGE(IF((ContinuousStatsTable[GroupByKey]=ContinuousStatsTable[[#This Row],[GroupByKey]]),(ContinuousStatsTable[GroupByKey]=ContinuousStatsTable[[#This Row],[GroupByKey]])*ContinuousStatsTable[Average])),0)</f>
        <v>0</v>
      </c>
      <c r="P318" s="5">
        <f t="array" ref="P318">IFERROR(_xlfn.STDEV.S(IF((ContinuousStatsTable[GroupByKey]=ContinuousStatsTable[[#This Row],[GroupByKey]]),(ContinuousStatsTable[GroupByKey]=ContinuousStatsTable[[#This Row],[GroupByKey]])*ContinuousStatsTable[Average])),0)</f>
        <v>0</v>
      </c>
      <c r="Q318" s="5">
        <f t="array" ref="Q318">MAX(IF((ProjectInfoTable[ProjectName]=ContinuousStatsTable[[#This Row],[ProjectName]]),(ProjectInfoTable[ProjectName]=ContinuousStatsTable[[#This Row],[ProjectName]])*ProjectInfoTable[ConfidenceInterval]))</f>
        <v>0.95</v>
      </c>
      <c r="R3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8" s="5">
        <f t="array" ref="S318">MIN(IF((ContinuousStatsTable[GroupByKey]=ContinuousStatsTable[[#This Row],[GroupByKey]]),(ContinuousStatsTable[GroupByKey]=ContinuousStatsTable[[#This Row],[GroupByKey]])*ContinuousStatsTable[Average]))</f>
        <v>0</v>
      </c>
      <c r="T318" s="5">
        <f t="array" ref="T318">MAX(IF((ContinuousStatsTable[GroupByKey]=ContinuousStatsTable[[#This Row],[GroupByKey]]),(ContinuousStatsTable[GroupByKey]=ContinuousStatsTable[[#This Row],[GroupByKey]])*ContinuousStatsTable[Average]))</f>
        <v>0</v>
      </c>
      <c r="U318" s="5">
        <f>IF((ContinuousStatsTable[[#This Row],[RepsRequested]]&gt;1),ContinuousStatsTable[[#This Row],[HalfWidth]],ContinuousStatsTable[[#This Row],[BatchMeansHalfWidth]])</f>
        <v>0</v>
      </c>
    </row>
    <row r="319" spans="1:21" x14ac:dyDescent="0.25">
      <c r="A319" t="s">
        <v>67</v>
      </c>
      <c r="B319" t="s">
        <v>70</v>
      </c>
      <c r="C319">
        <v>7</v>
      </c>
      <c r="D319" t="s">
        <v>101</v>
      </c>
      <c r="E319" t="s">
        <v>74</v>
      </c>
      <c r="F319" t="s">
        <v>73</v>
      </c>
      <c r="G319">
        <v>0</v>
      </c>
      <c r="H319">
        <v>2E+20</v>
      </c>
      <c r="I319">
        <v>0</v>
      </c>
      <c r="J319">
        <v>0</v>
      </c>
      <c r="K319">
        <v>0</v>
      </c>
      <c r="L319">
        <v>0</v>
      </c>
      <c r="M319" s="5" t="str">
        <f>ContinuousStatsTable[[#This Row],[ProjectName]]&amp;ContinuousStatsTable[[#This Row],[Name]]&amp;ContinuousStatsTable[[#This Row],[Type]]&amp;ContinuousStatsTable[[#This Row],[Source]]</f>
        <v>Unnamed ProjectwelderNumber BusyResource</v>
      </c>
      <c r="N319" s="5">
        <f t="array" ref="N319">MAX(IF((ProjectInfoTable[ProjectName]=ContinuousStatsTable[[#This Row],[ProjectName]]),(ProjectInfoTable[ProjectName]=ContinuousStatsTable[[#This Row],[ProjectName]])*ProjectInfoTable[NumberOfReplications]))</f>
        <v>15</v>
      </c>
      <c r="O319" s="5">
        <f t="array" ref="O319">IFERROR(AVERAGE(IF((ContinuousStatsTable[GroupByKey]=ContinuousStatsTable[[#This Row],[GroupByKey]]),(ContinuousStatsTable[GroupByKey]=ContinuousStatsTable[[#This Row],[GroupByKey]])*ContinuousStatsTable[Average])),0)</f>
        <v>0</v>
      </c>
      <c r="P319" s="5">
        <f t="array" ref="P319">IFERROR(_xlfn.STDEV.S(IF((ContinuousStatsTable[GroupByKey]=ContinuousStatsTable[[#This Row],[GroupByKey]]),(ContinuousStatsTable[GroupByKey]=ContinuousStatsTable[[#This Row],[GroupByKey]])*ContinuousStatsTable[Average])),0)</f>
        <v>0</v>
      </c>
      <c r="Q319" s="5">
        <f t="array" ref="Q319">MAX(IF((ProjectInfoTable[ProjectName]=ContinuousStatsTable[[#This Row],[ProjectName]]),(ProjectInfoTable[ProjectName]=ContinuousStatsTable[[#This Row],[ProjectName]])*ProjectInfoTable[ConfidenceInterval]))</f>
        <v>0.95</v>
      </c>
      <c r="R3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9" s="5">
        <f t="array" ref="S319">MIN(IF((ContinuousStatsTable[GroupByKey]=ContinuousStatsTable[[#This Row],[GroupByKey]]),(ContinuousStatsTable[GroupByKey]=ContinuousStatsTable[[#This Row],[GroupByKey]])*ContinuousStatsTable[Average]))</f>
        <v>0</v>
      </c>
      <c r="T319" s="5">
        <f t="array" ref="T319">MAX(IF((ContinuousStatsTable[GroupByKey]=ContinuousStatsTable[[#This Row],[GroupByKey]]),(ContinuousStatsTable[GroupByKey]=ContinuousStatsTable[[#This Row],[GroupByKey]])*ContinuousStatsTable[Average]))</f>
        <v>0</v>
      </c>
      <c r="U319" s="5">
        <f>IF((ContinuousStatsTable[[#This Row],[RepsRequested]]&gt;1),ContinuousStatsTable[[#This Row],[HalfWidth]],ContinuousStatsTable[[#This Row],[BatchMeansHalfWidth]])</f>
        <v>0</v>
      </c>
    </row>
    <row r="320" spans="1:21" x14ac:dyDescent="0.25">
      <c r="A320" t="s">
        <v>67</v>
      </c>
      <c r="B320" t="s">
        <v>70</v>
      </c>
      <c r="C320">
        <v>7</v>
      </c>
      <c r="D320" t="s">
        <v>101</v>
      </c>
      <c r="E320" t="s">
        <v>75</v>
      </c>
      <c r="F320" t="s">
        <v>73</v>
      </c>
      <c r="G320">
        <v>1.5834999999999999</v>
      </c>
      <c r="H320">
        <v>3E+20</v>
      </c>
      <c r="I320">
        <v>1</v>
      </c>
      <c r="J320">
        <v>2</v>
      </c>
      <c r="K320">
        <v>2</v>
      </c>
      <c r="L320">
        <v>0</v>
      </c>
      <c r="M320" s="5" t="str">
        <f>ContinuousStatsTable[[#This Row],[ProjectName]]&amp;ContinuousStatsTable[[#This Row],[Name]]&amp;ContinuousStatsTable[[#This Row],[Type]]&amp;ContinuousStatsTable[[#This Row],[Source]]</f>
        <v>Unnamed ProjectwelderNumber ScheduledResource</v>
      </c>
      <c r="N320" s="5">
        <f t="array" ref="N320">MAX(IF((ProjectInfoTable[ProjectName]=ContinuousStatsTable[[#This Row],[ProjectName]]),(ProjectInfoTable[ProjectName]=ContinuousStatsTable[[#This Row],[ProjectName]])*ProjectInfoTable[NumberOfReplications]))</f>
        <v>15</v>
      </c>
      <c r="O320" s="5">
        <f t="array" ref="O320">IFERROR(AVERAGE(IF((ContinuousStatsTable[GroupByKey]=ContinuousStatsTable[[#This Row],[GroupByKey]]),(ContinuousStatsTable[GroupByKey]=ContinuousStatsTable[[#This Row],[GroupByKey]])*ContinuousStatsTable[Average])),0)</f>
        <v>1.5334531146777051</v>
      </c>
      <c r="P320" s="5">
        <f t="array" ref="P320">IFERROR(_xlfn.STDEV.S(IF((ContinuousStatsTable[GroupByKey]=ContinuousStatsTable[[#This Row],[GroupByKey]]),(ContinuousStatsTable[GroupByKey]=ContinuousStatsTable[[#This Row],[GroupByKey]])*ContinuousStatsTable[Average])),0)</f>
        <v>0.24154952363702747</v>
      </c>
      <c r="Q320" s="5">
        <f t="array" ref="Q320">MAX(IF((ProjectInfoTable[ProjectName]=ContinuousStatsTable[[#This Row],[ProjectName]]),(ProjectInfoTable[ProjectName]=ContinuousStatsTable[[#This Row],[ProjectName]])*ProjectInfoTable[ConfidenceInterval]))</f>
        <v>0.95</v>
      </c>
      <c r="R3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0.13376566756397254</v>
      </c>
      <c r="S320" s="5">
        <f t="array" ref="S320">MIN(IF((ContinuousStatsTable[GroupByKey]=ContinuousStatsTable[[#This Row],[GroupByKey]]),(ContinuousStatsTable[GroupByKey]=ContinuousStatsTable[[#This Row],[GroupByKey]])*ContinuousStatsTable[Average]))</f>
        <v>1</v>
      </c>
      <c r="T320" s="5">
        <f t="array" ref="T320">MAX(IF((ContinuousStatsTable[GroupByKey]=ContinuousStatsTable[[#This Row],[GroupByKey]]),(ContinuousStatsTable[GroupByKey]=ContinuousStatsTable[[#This Row],[GroupByKey]])*ContinuousStatsTable[Average]))</f>
        <v>2</v>
      </c>
      <c r="U320" s="5">
        <f>IF((ContinuousStatsTable[[#This Row],[RepsRequested]]&gt;1),ContinuousStatsTable[[#This Row],[HalfWidth]],ContinuousStatsTable[[#This Row],[BatchMeansHalfWidth]])</f>
        <v>0.13376566756397254</v>
      </c>
    </row>
    <row r="321" spans="1:21" x14ac:dyDescent="0.25">
      <c r="A321" t="s">
        <v>67</v>
      </c>
      <c r="B321" t="s">
        <v>70</v>
      </c>
      <c r="C321">
        <v>7</v>
      </c>
      <c r="D321" t="s">
        <v>102</v>
      </c>
      <c r="E321" t="s">
        <v>72</v>
      </c>
      <c r="F321" t="s">
        <v>73</v>
      </c>
      <c r="G321">
        <v>0</v>
      </c>
      <c r="H321">
        <v>2E+20</v>
      </c>
      <c r="I321">
        <v>0</v>
      </c>
      <c r="J321">
        <v>0</v>
      </c>
      <c r="K321">
        <v>0</v>
      </c>
      <c r="L321">
        <v>0</v>
      </c>
      <c r="M321" s="5" t="str">
        <f>ContinuousStatsTable[[#This Row],[ProjectName]]&amp;ContinuousStatsTable[[#This Row],[Name]]&amp;ContinuousStatsTable[[#This Row],[Type]]&amp;ContinuousStatsTable[[#This Row],[Source]]</f>
        <v>Unnamed ProjectweldingqcworkerInstantaneous UtilizationResource</v>
      </c>
      <c r="N321" s="5">
        <f t="array" ref="N321">MAX(IF((ProjectInfoTable[ProjectName]=ContinuousStatsTable[[#This Row],[ProjectName]]),(ProjectInfoTable[ProjectName]=ContinuousStatsTable[[#This Row],[ProjectName]])*ProjectInfoTable[NumberOfReplications]))</f>
        <v>15</v>
      </c>
      <c r="O321" s="5">
        <f t="array" ref="O321">IFERROR(AVERAGE(IF((ContinuousStatsTable[GroupByKey]=ContinuousStatsTable[[#This Row],[GroupByKey]]),(ContinuousStatsTable[GroupByKey]=ContinuousStatsTable[[#This Row],[GroupByKey]])*ContinuousStatsTable[Average])),0)</f>
        <v>0</v>
      </c>
      <c r="P321" s="5">
        <f t="array" ref="P321">IFERROR(_xlfn.STDEV.S(IF((ContinuousStatsTable[GroupByKey]=ContinuousStatsTable[[#This Row],[GroupByKey]]),(ContinuousStatsTable[GroupByKey]=ContinuousStatsTable[[#This Row],[GroupByKey]])*ContinuousStatsTable[Average])),0)</f>
        <v>0</v>
      </c>
      <c r="Q321" s="5">
        <f t="array" ref="Q321">MAX(IF((ProjectInfoTable[ProjectName]=ContinuousStatsTable[[#This Row],[ProjectName]]),(ProjectInfoTable[ProjectName]=ContinuousStatsTable[[#This Row],[ProjectName]])*ProjectInfoTable[ConfidenceInterval]))</f>
        <v>0.95</v>
      </c>
      <c r="R3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1" s="5">
        <f t="array" ref="S321">MIN(IF((ContinuousStatsTable[GroupByKey]=ContinuousStatsTable[[#This Row],[GroupByKey]]),(ContinuousStatsTable[GroupByKey]=ContinuousStatsTable[[#This Row],[GroupByKey]])*ContinuousStatsTable[Average]))</f>
        <v>0</v>
      </c>
      <c r="T321" s="5">
        <f t="array" ref="T321">MAX(IF((ContinuousStatsTable[GroupByKey]=ContinuousStatsTable[[#This Row],[GroupByKey]]),(ContinuousStatsTable[GroupByKey]=ContinuousStatsTable[[#This Row],[GroupByKey]])*ContinuousStatsTable[Average]))</f>
        <v>0</v>
      </c>
      <c r="U321" s="5">
        <f>IF((ContinuousStatsTable[[#This Row],[RepsRequested]]&gt;1),ContinuousStatsTable[[#This Row],[HalfWidth]],ContinuousStatsTable[[#This Row],[BatchMeansHalfWidth]])</f>
        <v>0</v>
      </c>
    </row>
    <row r="322" spans="1:21" x14ac:dyDescent="0.25">
      <c r="A322" t="s">
        <v>67</v>
      </c>
      <c r="B322" t="s">
        <v>70</v>
      </c>
      <c r="C322">
        <v>7</v>
      </c>
      <c r="D322" t="s">
        <v>102</v>
      </c>
      <c r="E322" t="s">
        <v>74</v>
      </c>
      <c r="F322" t="s">
        <v>73</v>
      </c>
      <c r="G322">
        <v>0</v>
      </c>
      <c r="H322">
        <v>2E+20</v>
      </c>
      <c r="I322">
        <v>0</v>
      </c>
      <c r="J322">
        <v>0</v>
      </c>
      <c r="K322">
        <v>0</v>
      </c>
      <c r="L322">
        <v>0</v>
      </c>
      <c r="M322" s="5" t="str">
        <f>ContinuousStatsTable[[#This Row],[ProjectName]]&amp;ContinuousStatsTable[[#This Row],[Name]]&amp;ContinuousStatsTable[[#This Row],[Type]]&amp;ContinuousStatsTable[[#This Row],[Source]]</f>
        <v>Unnamed ProjectweldingqcworkerNumber BusyResource</v>
      </c>
      <c r="N322" s="5">
        <f t="array" ref="N322">MAX(IF((ProjectInfoTable[ProjectName]=ContinuousStatsTable[[#This Row],[ProjectName]]),(ProjectInfoTable[ProjectName]=ContinuousStatsTable[[#This Row],[ProjectName]])*ProjectInfoTable[NumberOfReplications]))</f>
        <v>15</v>
      </c>
      <c r="O322" s="5">
        <f t="array" ref="O322">IFERROR(AVERAGE(IF((ContinuousStatsTable[GroupByKey]=ContinuousStatsTable[[#This Row],[GroupByKey]]),(ContinuousStatsTable[GroupByKey]=ContinuousStatsTable[[#This Row],[GroupByKey]])*ContinuousStatsTable[Average])),0)</f>
        <v>0</v>
      </c>
      <c r="P322" s="5">
        <f t="array" ref="P322">IFERROR(_xlfn.STDEV.S(IF((ContinuousStatsTable[GroupByKey]=ContinuousStatsTable[[#This Row],[GroupByKey]]),(ContinuousStatsTable[GroupByKey]=ContinuousStatsTable[[#This Row],[GroupByKey]])*ContinuousStatsTable[Average])),0)</f>
        <v>0</v>
      </c>
      <c r="Q322" s="5">
        <f t="array" ref="Q322">MAX(IF((ProjectInfoTable[ProjectName]=ContinuousStatsTable[[#This Row],[ProjectName]]),(ProjectInfoTable[ProjectName]=ContinuousStatsTable[[#This Row],[ProjectName]])*ProjectInfoTable[ConfidenceInterval]))</f>
        <v>0.95</v>
      </c>
      <c r="R3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2" s="5">
        <f t="array" ref="S322">MIN(IF((ContinuousStatsTable[GroupByKey]=ContinuousStatsTable[[#This Row],[GroupByKey]]),(ContinuousStatsTable[GroupByKey]=ContinuousStatsTable[[#This Row],[GroupByKey]])*ContinuousStatsTable[Average]))</f>
        <v>0</v>
      </c>
      <c r="T322" s="5">
        <f t="array" ref="T322">MAX(IF((ContinuousStatsTable[GroupByKey]=ContinuousStatsTable[[#This Row],[GroupByKey]]),(ContinuousStatsTable[GroupByKey]=ContinuousStatsTable[[#This Row],[GroupByKey]])*ContinuousStatsTable[Average]))</f>
        <v>0</v>
      </c>
      <c r="U322" s="5">
        <f>IF((ContinuousStatsTable[[#This Row],[RepsRequested]]&gt;1),ContinuousStatsTable[[#This Row],[HalfWidth]],ContinuousStatsTable[[#This Row],[BatchMeansHalfWidth]])</f>
        <v>0</v>
      </c>
    </row>
    <row r="323" spans="1:21" x14ac:dyDescent="0.25">
      <c r="A323" t="s">
        <v>67</v>
      </c>
      <c r="B323" t="s">
        <v>70</v>
      </c>
      <c r="C323">
        <v>7</v>
      </c>
      <c r="D323" t="s">
        <v>102</v>
      </c>
      <c r="E323" t="s">
        <v>75</v>
      </c>
      <c r="F323" t="s">
        <v>73</v>
      </c>
      <c r="G323">
        <v>1.5834999999999999</v>
      </c>
      <c r="H323">
        <v>3E+20</v>
      </c>
      <c r="I323">
        <v>1</v>
      </c>
      <c r="J323">
        <v>2</v>
      </c>
      <c r="K323">
        <v>2</v>
      </c>
      <c r="L323">
        <v>0</v>
      </c>
      <c r="M323" s="5" t="str">
        <f>ContinuousStatsTable[[#This Row],[ProjectName]]&amp;ContinuousStatsTable[[#This Row],[Name]]&amp;ContinuousStatsTable[[#This Row],[Type]]&amp;ContinuousStatsTable[[#This Row],[Source]]</f>
        <v>Unnamed ProjectweldingqcworkerNumber ScheduledResource</v>
      </c>
      <c r="N323" s="5">
        <f t="array" ref="N323">MAX(IF((ProjectInfoTable[ProjectName]=ContinuousStatsTable[[#This Row],[ProjectName]]),(ProjectInfoTable[ProjectName]=ContinuousStatsTable[[#This Row],[ProjectName]])*ProjectInfoTable[NumberOfReplications]))</f>
        <v>15</v>
      </c>
      <c r="O323" s="5">
        <f t="array" ref="O323">IFERROR(AVERAGE(IF((ContinuousStatsTable[GroupByKey]=ContinuousStatsTable[[#This Row],[GroupByKey]]),(ContinuousStatsTable[GroupByKey]=ContinuousStatsTable[[#This Row],[GroupByKey]])*ContinuousStatsTable[Average])),0)</f>
        <v>1.5334635492504263</v>
      </c>
      <c r="P323" s="5">
        <f t="array" ref="P323">IFERROR(_xlfn.STDEV.S(IF((ContinuousStatsTable[GroupByKey]=ContinuousStatsTable[[#This Row],[GroupByKey]]),(ContinuousStatsTable[GroupByKey]=ContinuousStatsTable[[#This Row],[GroupByKey]])*ContinuousStatsTable[Average])),0)</f>
        <v>0.24155183649982462</v>
      </c>
      <c r="Q323" s="5">
        <f t="array" ref="Q323">MAX(IF((ProjectInfoTable[ProjectName]=ContinuousStatsTable[[#This Row],[ProjectName]]),(ProjectInfoTable[ProjectName]=ContinuousStatsTable[[#This Row],[ProjectName]])*ProjectInfoTable[ConfidenceInterval]))</f>
        <v>0.95</v>
      </c>
      <c r="R3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0.1337669483846978</v>
      </c>
      <c r="S323" s="5">
        <f t="array" ref="S323">MIN(IF((ContinuousStatsTable[GroupByKey]=ContinuousStatsTable[[#This Row],[GroupByKey]]),(ContinuousStatsTable[GroupByKey]=ContinuousStatsTable[[#This Row],[GroupByKey]])*ContinuousStatsTable[Average]))</f>
        <v>1</v>
      </c>
      <c r="T323" s="5">
        <f t="array" ref="T323">MAX(IF((ContinuousStatsTable[GroupByKey]=ContinuousStatsTable[[#This Row],[GroupByKey]]),(ContinuousStatsTable[GroupByKey]=ContinuousStatsTable[[#This Row],[GroupByKey]])*ContinuousStatsTable[Average]))</f>
        <v>2</v>
      </c>
      <c r="U323" s="5">
        <f>IF((ContinuousStatsTable[[#This Row],[RepsRequested]]&gt;1),ContinuousStatsTable[[#This Row],[HalfWidth]],ContinuousStatsTable[[#This Row],[BatchMeansHalfWidth]])</f>
        <v>0.1337669483846978</v>
      </c>
    </row>
    <row r="324" spans="1:21" x14ac:dyDescent="0.25">
      <c r="A324" t="s">
        <v>67</v>
      </c>
      <c r="B324" t="s">
        <v>70</v>
      </c>
      <c r="C324">
        <v>8</v>
      </c>
      <c r="D324" t="s">
        <v>71</v>
      </c>
      <c r="E324" t="s">
        <v>72</v>
      </c>
      <c r="F324" t="s">
        <v>73</v>
      </c>
      <c r="G324">
        <v>0</v>
      </c>
      <c r="H324">
        <v>2E+20</v>
      </c>
      <c r="I324">
        <v>0</v>
      </c>
      <c r="J324">
        <v>0</v>
      </c>
      <c r="K324">
        <v>0</v>
      </c>
      <c r="L324">
        <v>0</v>
      </c>
      <c r="M324" s="5" t="str">
        <f>ContinuousStatsTable[[#This Row],[ProjectName]]&amp;ContinuousStatsTable[[#This Row],[Name]]&amp;ContinuousStatsTable[[#This Row],[Type]]&amp;ContinuousStatsTable[[#This Row],[Source]]</f>
        <v>Unnamed ProjectassemblerInstantaneous UtilizationResource</v>
      </c>
      <c r="N324" s="5">
        <f t="array" ref="N324">MAX(IF((ProjectInfoTable[ProjectName]=ContinuousStatsTable[[#This Row],[ProjectName]]),(ProjectInfoTable[ProjectName]=ContinuousStatsTable[[#This Row],[ProjectName]])*ProjectInfoTable[NumberOfReplications]))</f>
        <v>15</v>
      </c>
      <c r="O324" s="5">
        <f t="array" ref="O324">IFERROR(AVERAGE(IF((ContinuousStatsTable[GroupByKey]=ContinuousStatsTable[[#This Row],[GroupByKey]]),(ContinuousStatsTable[GroupByKey]=ContinuousStatsTable[[#This Row],[GroupByKey]])*ContinuousStatsTable[Average])),0)</f>
        <v>0</v>
      </c>
      <c r="P324" s="5">
        <f t="array" ref="P324">IFERROR(_xlfn.STDEV.S(IF((ContinuousStatsTable[GroupByKey]=ContinuousStatsTable[[#This Row],[GroupByKey]]),(ContinuousStatsTable[GroupByKey]=ContinuousStatsTable[[#This Row],[GroupByKey]])*ContinuousStatsTable[Average])),0)</f>
        <v>0</v>
      </c>
      <c r="Q324" s="5">
        <f t="array" ref="Q324">MAX(IF((ProjectInfoTable[ProjectName]=ContinuousStatsTable[[#This Row],[ProjectName]]),(ProjectInfoTable[ProjectName]=ContinuousStatsTable[[#This Row],[ProjectName]])*ProjectInfoTable[ConfidenceInterval]))</f>
        <v>0.95</v>
      </c>
      <c r="R3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4" s="5">
        <f t="array" ref="S324">MIN(IF((ContinuousStatsTable[GroupByKey]=ContinuousStatsTable[[#This Row],[GroupByKey]]),(ContinuousStatsTable[GroupByKey]=ContinuousStatsTable[[#This Row],[GroupByKey]])*ContinuousStatsTable[Average]))</f>
        <v>0</v>
      </c>
      <c r="T324" s="5">
        <f t="array" ref="T324">MAX(IF((ContinuousStatsTable[GroupByKey]=ContinuousStatsTable[[#This Row],[GroupByKey]]),(ContinuousStatsTable[GroupByKey]=ContinuousStatsTable[[#This Row],[GroupByKey]])*ContinuousStatsTable[Average]))</f>
        <v>0</v>
      </c>
      <c r="U324" s="5">
        <f>IF((ContinuousStatsTable[[#This Row],[RepsRequested]]&gt;1),ContinuousStatsTable[[#This Row],[HalfWidth]],ContinuousStatsTable[[#This Row],[BatchMeansHalfWidth]])</f>
        <v>0</v>
      </c>
    </row>
    <row r="325" spans="1:21" x14ac:dyDescent="0.25">
      <c r="A325" t="s">
        <v>67</v>
      </c>
      <c r="B325" t="s">
        <v>70</v>
      </c>
      <c r="C325">
        <v>8</v>
      </c>
      <c r="D325" t="s">
        <v>71</v>
      </c>
      <c r="E325" t="s">
        <v>74</v>
      </c>
      <c r="F325" t="s">
        <v>73</v>
      </c>
      <c r="G325">
        <v>0</v>
      </c>
      <c r="H325">
        <v>2E+20</v>
      </c>
      <c r="I325">
        <v>0</v>
      </c>
      <c r="J325">
        <v>0</v>
      </c>
      <c r="K325">
        <v>0</v>
      </c>
      <c r="L325">
        <v>0</v>
      </c>
      <c r="M325" s="5" t="str">
        <f>ContinuousStatsTable[[#This Row],[ProjectName]]&amp;ContinuousStatsTable[[#This Row],[Name]]&amp;ContinuousStatsTable[[#This Row],[Type]]&amp;ContinuousStatsTable[[#This Row],[Source]]</f>
        <v>Unnamed ProjectassemblerNumber BusyResource</v>
      </c>
      <c r="N325" s="5">
        <f t="array" ref="N325">MAX(IF((ProjectInfoTable[ProjectName]=ContinuousStatsTable[[#This Row],[ProjectName]]),(ProjectInfoTable[ProjectName]=ContinuousStatsTable[[#This Row],[ProjectName]])*ProjectInfoTable[NumberOfReplications]))</f>
        <v>15</v>
      </c>
      <c r="O325" s="5">
        <f t="array" ref="O325">IFERROR(AVERAGE(IF((ContinuousStatsTable[GroupByKey]=ContinuousStatsTable[[#This Row],[GroupByKey]]),(ContinuousStatsTable[GroupByKey]=ContinuousStatsTable[[#This Row],[GroupByKey]])*ContinuousStatsTable[Average])),0)</f>
        <v>0</v>
      </c>
      <c r="P325" s="5">
        <f t="array" ref="P325">IFERROR(_xlfn.STDEV.S(IF((ContinuousStatsTable[GroupByKey]=ContinuousStatsTable[[#This Row],[GroupByKey]]),(ContinuousStatsTable[GroupByKey]=ContinuousStatsTable[[#This Row],[GroupByKey]])*ContinuousStatsTable[Average])),0)</f>
        <v>0</v>
      </c>
      <c r="Q325" s="5">
        <f t="array" ref="Q325">MAX(IF((ProjectInfoTable[ProjectName]=ContinuousStatsTable[[#This Row],[ProjectName]]),(ProjectInfoTable[ProjectName]=ContinuousStatsTable[[#This Row],[ProjectName]])*ProjectInfoTable[ConfidenceInterval]))</f>
        <v>0.95</v>
      </c>
      <c r="R3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5" s="5">
        <f t="array" ref="S325">MIN(IF((ContinuousStatsTable[GroupByKey]=ContinuousStatsTable[[#This Row],[GroupByKey]]),(ContinuousStatsTable[GroupByKey]=ContinuousStatsTable[[#This Row],[GroupByKey]])*ContinuousStatsTable[Average]))</f>
        <v>0</v>
      </c>
      <c r="T325" s="5">
        <f t="array" ref="T325">MAX(IF((ContinuousStatsTable[GroupByKey]=ContinuousStatsTable[[#This Row],[GroupByKey]]),(ContinuousStatsTable[GroupByKey]=ContinuousStatsTable[[#This Row],[GroupByKey]])*ContinuousStatsTable[Average]))</f>
        <v>0</v>
      </c>
      <c r="U325" s="5">
        <f>IF((ContinuousStatsTable[[#This Row],[RepsRequested]]&gt;1),ContinuousStatsTable[[#This Row],[HalfWidth]],ContinuousStatsTable[[#This Row],[BatchMeansHalfWidth]])</f>
        <v>0</v>
      </c>
    </row>
    <row r="326" spans="1:21" x14ac:dyDescent="0.25">
      <c r="A326" t="s">
        <v>67</v>
      </c>
      <c r="B326" t="s">
        <v>70</v>
      </c>
      <c r="C326">
        <v>8</v>
      </c>
      <c r="D326" t="s">
        <v>71</v>
      </c>
      <c r="E326" t="s">
        <v>75</v>
      </c>
      <c r="F326" t="s">
        <v>73</v>
      </c>
      <c r="G326">
        <v>1</v>
      </c>
      <c r="H326">
        <v>2E+20</v>
      </c>
      <c r="I326">
        <v>1</v>
      </c>
      <c r="J326">
        <v>1</v>
      </c>
      <c r="K326">
        <v>1</v>
      </c>
      <c r="L326">
        <v>0</v>
      </c>
      <c r="M326" s="5" t="str">
        <f>ContinuousStatsTable[[#This Row],[ProjectName]]&amp;ContinuousStatsTable[[#This Row],[Name]]&amp;ContinuousStatsTable[[#This Row],[Type]]&amp;ContinuousStatsTable[[#This Row],[Source]]</f>
        <v>Unnamed ProjectassemblerNumber ScheduledResource</v>
      </c>
      <c r="N326" s="5">
        <f t="array" ref="N326">MAX(IF((ProjectInfoTable[ProjectName]=ContinuousStatsTable[[#This Row],[ProjectName]]),(ProjectInfoTable[ProjectName]=ContinuousStatsTable[[#This Row],[ProjectName]])*ProjectInfoTable[NumberOfReplications]))</f>
        <v>15</v>
      </c>
      <c r="O326" s="5">
        <f t="array" ref="O326">IFERROR(AVERAGE(IF((ContinuousStatsTable[GroupByKey]=ContinuousStatsTable[[#This Row],[GroupByKey]]),(ContinuousStatsTable[GroupByKey]=ContinuousStatsTable[[#This Row],[GroupByKey]])*ContinuousStatsTable[Average])),0)</f>
        <v>1.5333142680768803</v>
      </c>
      <c r="P326" s="5">
        <f t="array" ref="P326">IFERROR(_xlfn.STDEV.S(IF((ContinuousStatsTable[GroupByKey]=ContinuousStatsTable[[#This Row],[GroupByKey]]),(ContinuousStatsTable[GroupByKey]=ContinuousStatsTable[[#This Row],[GroupByKey]])*ContinuousStatsTable[Average])),0)</f>
        <v>0.24151891999367611</v>
      </c>
      <c r="Q326" s="5">
        <f t="array" ref="Q326">MAX(IF((ProjectInfoTable[ProjectName]=ContinuousStatsTable[[#This Row],[ProjectName]]),(ProjectInfoTable[ProjectName]=ContinuousStatsTable[[#This Row],[ProjectName]])*ProjectInfoTable[ConfidenceInterval]))</f>
        <v>0.95</v>
      </c>
      <c r="R3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0.13374871983117992</v>
      </c>
      <c r="S326" s="5">
        <f t="array" ref="S326">MIN(IF((ContinuousStatsTable[GroupByKey]=ContinuousStatsTable[[#This Row],[GroupByKey]]),(ContinuousStatsTable[GroupByKey]=ContinuousStatsTable[[#This Row],[GroupByKey]])*ContinuousStatsTable[Average]))</f>
        <v>1</v>
      </c>
      <c r="T326" s="5">
        <f t="array" ref="T326">MAX(IF((ContinuousStatsTable[GroupByKey]=ContinuousStatsTable[[#This Row],[GroupByKey]]),(ContinuousStatsTable[GroupByKey]=ContinuousStatsTable[[#This Row],[GroupByKey]])*ContinuousStatsTable[Average]))</f>
        <v>2</v>
      </c>
      <c r="U326" s="5">
        <f>IF((ContinuousStatsTable[[#This Row],[RepsRequested]]&gt;1),ContinuousStatsTable[[#This Row],[HalfWidth]],ContinuousStatsTable[[#This Row],[BatchMeansHalfWidth]])</f>
        <v>0.13374871983117992</v>
      </c>
    </row>
    <row r="327" spans="1:21" x14ac:dyDescent="0.25">
      <c r="A327" t="s">
        <v>67</v>
      </c>
      <c r="B327" t="s">
        <v>70</v>
      </c>
      <c r="C327">
        <v>8</v>
      </c>
      <c r="D327" t="s">
        <v>76</v>
      </c>
      <c r="E327" t="s">
        <v>72</v>
      </c>
      <c r="F327" t="s">
        <v>73</v>
      </c>
      <c r="G327">
        <v>0</v>
      </c>
      <c r="H327">
        <v>2E+20</v>
      </c>
      <c r="I327">
        <v>0</v>
      </c>
      <c r="J327">
        <v>0</v>
      </c>
      <c r="K327">
        <v>0</v>
      </c>
      <c r="L327">
        <v>0</v>
      </c>
      <c r="M327" s="5" t="str">
        <f>ContinuousStatsTable[[#This Row],[ProjectName]]&amp;ContinuousStatsTable[[#This Row],[Name]]&amp;ContinuousStatsTable[[#This Row],[Type]]&amp;ContinuousStatsTable[[#This Row],[Source]]</f>
        <v>Unnamed ProjectassemblyqcworkerInstantaneous UtilizationResource</v>
      </c>
      <c r="N327" s="5">
        <f t="array" ref="N327">MAX(IF((ProjectInfoTable[ProjectName]=ContinuousStatsTable[[#This Row],[ProjectName]]),(ProjectInfoTable[ProjectName]=ContinuousStatsTable[[#This Row],[ProjectName]])*ProjectInfoTable[NumberOfReplications]))</f>
        <v>15</v>
      </c>
      <c r="O327" s="5">
        <f t="array" ref="O327">IFERROR(AVERAGE(IF((ContinuousStatsTable[GroupByKey]=ContinuousStatsTable[[#This Row],[GroupByKey]]),(ContinuousStatsTable[GroupByKey]=ContinuousStatsTable[[#This Row],[GroupByKey]])*ContinuousStatsTable[Average])),0)</f>
        <v>0</v>
      </c>
      <c r="P327" s="5">
        <f t="array" ref="P327">IFERROR(_xlfn.STDEV.S(IF((ContinuousStatsTable[GroupByKey]=ContinuousStatsTable[[#This Row],[GroupByKey]]),(ContinuousStatsTable[GroupByKey]=ContinuousStatsTable[[#This Row],[GroupByKey]])*ContinuousStatsTable[Average])),0)</f>
        <v>0</v>
      </c>
      <c r="Q327" s="5">
        <f t="array" ref="Q327">MAX(IF((ProjectInfoTable[ProjectName]=ContinuousStatsTable[[#This Row],[ProjectName]]),(ProjectInfoTable[ProjectName]=ContinuousStatsTable[[#This Row],[ProjectName]])*ProjectInfoTable[ConfidenceInterval]))</f>
        <v>0.95</v>
      </c>
      <c r="R3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7" s="5">
        <f t="array" ref="S327">MIN(IF((ContinuousStatsTable[GroupByKey]=ContinuousStatsTable[[#This Row],[GroupByKey]]),(ContinuousStatsTable[GroupByKey]=ContinuousStatsTable[[#This Row],[GroupByKey]])*ContinuousStatsTable[Average]))</f>
        <v>0</v>
      </c>
      <c r="T327" s="5">
        <f t="array" ref="T327">MAX(IF((ContinuousStatsTable[GroupByKey]=ContinuousStatsTable[[#This Row],[GroupByKey]]),(ContinuousStatsTable[GroupByKey]=ContinuousStatsTable[[#This Row],[GroupByKey]])*ContinuousStatsTable[Average]))</f>
        <v>0</v>
      </c>
      <c r="U327" s="5">
        <f>IF((ContinuousStatsTable[[#This Row],[RepsRequested]]&gt;1),ContinuousStatsTable[[#This Row],[HalfWidth]],ContinuousStatsTable[[#This Row],[BatchMeansHalfWidth]])</f>
        <v>0</v>
      </c>
    </row>
    <row r="328" spans="1:21" x14ac:dyDescent="0.25">
      <c r="A328" t="s">
        <v>67</v>
      </c>
      <c r="B328" t="s">
        <v>70</v>
      </c>
      <c r="C328">
        <v>8</v>
      </c>
      <c r="D328" t="s">
        <v>76</v>
      </c>
      <c r="E328" t="s">
        <v>74</v>
      </c>
      <c r="F328" t="s">
        <v>73</v>
      </c>
      <c r="G328">
        <v>0</v>
      </c>
      <c r="H328">
        <v>2E+20</v>
      </c>
      <c r="I328">
        <v>0</v>
      </c>
      <c r="J328">
        <v>0</v>
      </c>
      <c r="K328">
        <v>0</v>
      </c>
      <c r="L328">
        <v>0</v>
      </c>
      <c r="M328" s="5" t="str">
        <f>ContinuousStatsTable[[#This Row],[ProjectName]]&amp;ContinuousStatsTable[[#This Row],[Name]]&amp;ContinuousStatsTable[[#This Row],[Type]]&amp;ContinuousStatsTable[[#This Row],[Source]]</f>
        <v>Unnamed ProjectassemblyqcworkerNumber BusyResource</v>
      </c>
      <c r="N328" s="5">
        <f t="array" ref="N328">MAX(IF((ProjectInfoTable[ProjectName]=ContinuousStatsTable[[#This Row],[ProjectName]]),(ProjectInfoTable[ProjectName]=ContinuousStatsTable[[#This Row],[ProjectName]])*ProjectInfoTable[NumberOfReplications]))</f>
        <v>15</v>
      </c>
      <c r="O328" s="5">
        <f t="array" ref="O328">IFERROR(AVERAGE(IF((ContinuousStatsTable[GroupByKey]=ContinuousStatsTable[[#This Row],[GroupByKey]]),(ContinuousStatsTable[GroupByKey]=ContinuousStatsTable[[#This Row],[GroupByKey]])*ContinuousStatsTable[Average])),0)</f>
        <v>0</v>
      </c>
      <c r="P328" s="5">
        <f t="array" ref="P328">IFERROR(_xlfn.STDEV.S(IF((ContinuousStatsTable[GroupByKey]=ContinuousStatsTable[[#This Row],[GroupByKey]]),(ContinuousStatsTable[GroupByKey]=ContinuousStatsTable[[#This Row],[GroupByKey]])*ContinuousStatsTable[Average])),0)</f>
        <v>0</v>
      </c>
      <c r="Q328" s="5">
        <f t="array" ref="Q328">MAX(IF((ProjectInfoTable[ProjectName]=ContinuousStatsTable[[#This Row],[ProjectName]]),(ProjectInfoTable[ProjectName]=ContinuousStatsTable[[#This Row],[ProjectName]])*ProjectInfoTable[ConfidenceInterval]))</f>
        <v>0.95</v>
      </c>
      <c r="R3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8" s="5">
        <f t="array" ref="S328">MIN(IF((ContinuousStatsTable[GroupByKey]=ContinuousStatsTable[[#This Row],[GroupByKey]]),(ContinuousStatsTable[GroupByKey]=ContinuousStatsTable[[#This Row],[GroupByKey]])*ContinuousStatsTable[Average]))</f>
        <v>0</v>
      </c>
      <c r="T328" s="5">
        <f t="array" ref="T328">MAX(IF((ContinuousStatsTable[GroupByKey]=ContinuousStatsTable[[#This Row],[GroupByKey]]),(ContinuousStatsTable[GroupByKey]=ContinuousStatsTable[[#This Row],[GroupByKey]])*ContinuousStatsTable[Average]))</f>
        <v>0</v>
      </c>
      <c r="U328" s="5">
        <f>IF((ContinuousStatsTable[[#This Row],[RepsRequested]]&gt;1),ContinuousStatsTable[[#This Row],[HalfWidth]],ContinuousStatsTable[[#This Row],[BatchMeansHalfWidth]])</f>
        <v>0</v>
      </c>
    </row>
    <row r="329" spans="1:21" x14ac:dyDescent="0.25">
      <c r="A329" t="s">
        <v>67</v>
      </c>
      <c r="B329" t="s">
        <v>70</v>
      </c>
      <c r="C329">
        <v>8</v>
      </c>
      <c r="D329" t="s">
        <v>76</v>
      </c>
      <c r="E329" t="s">
        <v>75</v>
      </c>
      <c r="F329" t="s">
        <v>73</v>
      </c>
      <c r="G329">
        <v>1</v>
      </c>
      <c r="H329">
        <v>2E+20</v>
      </c>
      <c r="I329">
        <v>1</v>
      </c>
      <c r="J329">
        <v>1</v>
      </c>
      <c r="K329">
        <v>1</v>
      </c>
      <c r="L329">
        <v>0</v>
      </c>
      <c r="M329" s="5" t="str">
        <f>ContinuousStatsTable[[#This Row],[ProjectName]]&amp;ContinuousStatsTable[[#This Row],[Name]]&amp;ContinuousStatsTable[[#This Row],[Type]]&amp;ContinuousStatsTable[[#This Row],[Source]]</f>
        <v>Unnamed ProjectassemblyqcworkerNumber ScheduledResource</v>
      </c>
      <c r="N329" s="5">
        <f t="array" ref="N329">MAX(IF((ProjectInfoTable[ProjectName]=ContinuousStatsTable[[#This Row],[ProjectName]]),(ProjectInfoTable[ProjectName]=ContinuousStatsTable[[#This Row],[ProjectName]])*ProjectInfoTable[NumberOfReplications]))</f>
        <v>15</v>
      </c>
      <c r="O329" s="5">
        <f t="array" ref="O329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329" s="5">
        <f t="array" ref="P329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329" s="5">
        <f t="array" ref="Q329">MAX(IF((ProjectInfoTable[ProjectName]=ContinuousStatsTable[[#This Row],[ProjectName]]),(ProjectInfoTable[ProjectName]=ContinuousStatsTable[[#This Row],[ProjectName]])*ProjectInfoTable[ConfidenceInterval]))</f>
        <v>0.95</v>
      </c>
      <c r="R3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329" s="5">
        <f t="array" ref="S329">MIN(IF((ContinuousStatsTable[GroupByKey]=ContinuousStatsTable[[#This Row],[GroupByKey]]),(ContinuousStatsTable[GroupByKey]=ContinuousStatsTable[[#This Row],[GroupByKey]])*ContinuousStatsTable[Average]))</f>
        <v>1</v>
      </c>
      <c r="T329" s="5">
        <f t="array" ref="T329">MAX(IF((ContinuousStatsTable[GroupByKey]=ContinuousStatsTable[[#This Row],[GroupByKey]]),(ContinuousStatsTable[GroupByKey]=ContinuousStatsTable[[#This Row],[GroupByKey]])*ContinuousStatsTable[Average]))</f>
        <v>2</v>
      </c>
      <c r="U329" s="5">
        <f>IF((ContinuousStatsTable[[#This Row],[RepsRequested]]&gt;1),ContinuousStatsTable[[#This Row],[HalfWidth]],ContinuousStatsTable[[#This Row],[BatchMeansHalfWidth]])</f>
        <v>0.13376733135491528</v>
      </c>
    </row>
    <row r="330" spans="1:21" x14ac:dyDescent="0.25">
      <c r="A330" t="s">
        <v>67</v>
      </c>
      <c r="B330" t="s">
        <v>70</v>
      </c>
      <c r="C330">
        <v>8</v>
      </c>
      <c r="D330" t="s">
        <v>77</v>
      </c>
      <c r="E330" t="s">
        <v>78</v>
      </c>
      <c r="F330" t="s">
        <v>79</v>
      </c>
      <c r="G330">
        <v>0</v>
      </c>
      <c r="H330">
        <v>2E+20</v>
      </c>
      <c r="I330">
        <v>0</v>
      </c>
      <c r="J330">
        <v>0</v>
      </c>
      <c r="K330">
        <v>0</v>
      </c>
      <c r="L330">
        <v>0</v>
      </c>
      <c r="M330" s="5" t="str">
        <f>ContinuousStatsTable[[#This Row],[ProjectName]]&amp;ContinuousStatsTable[[#This Row],[Name]]&amp;ContinuousStatsTable[[#This Row],[Type]]&amp;ContinuousStatsTable[[#This Row],[Source]]</f>
        <v>Unnamed Projectbatched_partsWIPEntity</v>
      </c>
      <c r="N330" s="5">
        <f t="array" ref="N330">MAX(IF((ProjectInfoTable[ProjectName]=ContinuousStatsTable[[#This Row],[ProjectName]]),(ProjectInfoTable[ProjectName]=ContinuousStatsTable[[#This Row],[ProjectName]])*ProjectInfoTable[NumberOfReplications]))</f>
        <v>15</v>
      </c>
      <c r="O330" s="5">
        <f t="array" ref="O330">IFERROR(AVERAGE(IF((ContinuousStatsTable[GroupByKey]=ContinuousStatsTable[[#This Row],[GroupByKey]]),(ContinuousStatsTable[GroupByKey]=ContinuousStatsTable[[#This Row],[GroupByKey]])*ContinuousStatsTable[Average])),0)</f>
        <v>0</v>
      </c>
      <c r="P330" s="5">
        <f t="array" ref="P330">IFERROR(_xlfn.STDEV.S(IF((ContinuousStatsTable[GroupByKey]=ContinuousStatsTable[[#This Row],[GroupByKey]]),(ContinuousStatsTable[GroupByKey]=ContinuousStatsTable[[#This Row],[GroupByKey]])*ContinuousStatsTable[Average])),0)</f>
        <v>0</v>
      </c>
      <c r="Q330" s="5">
        <f t="array" ref="Q330">MAX(IF((ProjectInfoTable[ProjectName]=ContinuousStatsTable[[#This Row],[ProjectName]]),(ProjectInfoTable[ProjectName]=ContinuousStatsTable[[#This Row],[ProjectName]])*ProjectInfoTable[ConfidenceInterval]))</f>
        <v>0.95</v>
      </c>
      <c r="R3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0" s="5">
        <f t="array" ref="S330">MIN(IF((ContinuousStatsTable[GroupByKey]=ContinuousStatsTable[[#This Row],[GroupByKey]]),(ContinuousStatsTable[GroupByKey]=ContinuousStatsTable[[#This Row],[GroupByKey]])*ContinuousStatsTable[Average]))</f>
        <v>0</v>
      </c>
      <c r="T330" s="5">
        <f t="array" ref="T330">MAX(IF((ContinuousStatsTable[GroupByKey]=ContinuousStatsTable[[#This Row],[GroupByKey]]),(ContinuousStatsTable[GroupByKey]=ContinuousStatsTable[[#This Row],[GroupByKey]])*ContinuousStatsTable[Average]))</f>
        <v>0</v>
      </c>
      <c r="U330" s="5">
        <f>IF((ContinuousStatsTable[[#This Row],[RepsRequested]]&gt;1),ContinuousStatsTable[[#This Row],[HalfWidth]],ContinuousStatsTable[[#This Row],[BatchMeansHalfWidth]])</f>
        <v>0</v>
      </c>
    </row>
    <row r="331" spans="1:21" x14ac:dyDescent="0.25">
      <c r="A331" t="s">
        <v>67</v>
      </c>
      <c r="B331" t="s">
        <v>70</v>
      </c>
      <c r="C331">
        <v>8</v>
      </c>
      <c r="D331" t="s">
        <v>80</v>
      </c>
      <c r="E331" t="s">
        <v>72</v>
      </c>
      <c r="F331" t="s">
        <v>73</v>
      </c>
      <c r="G331">
        <v>0</v>
      </c>
      <c r="H331">
        <v>2E+20</v>
      </c>
      <c r="I331">
        <v>0</v>
      </c>
      <c r="J331">
        <v>0</v>
      </c>
      <c r="K331">
        <v>0</v>
      </c>
      <c r="L331">
        <v>0</v>
      </c>
      <c r="M331" s="5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331" s="5">
        <f t="array" ref="N331">MAX(IF((ProjectInfoTable[ProjectName]=ContinuousStatsTable[[#This Row],[ProjectName]]),(ProjectInfoTable[ProjectName]=ContinuousStatsTable[[#This Row],[ProjectName]])*ProjectInfoTable[NumberOfReplications]))</f>
        <v>15</v>
      </c>
      <c r="O331" s="5">
        <f t="array" ref="O331">IFERROR(AVERAGE(IF((ContinuousStatsTable[GroupByKey]=ContinuousStatsTable[[#This Row],[GroupByKey]]),(ContinuousStatsTable[GroupByKey]=ContinuousStatsTable[[#This Row],[GroupByKey]])*ContinuousStatsTable[Average])),0)</f>
        <v>0</v>
      </c>
      <c r="P331" s="5">
        <f t="array" ref="P331">IFERROR(_xlfn.STDEV.S(IF((ContinuousStatsTable[GroupByKey]=ContinuousStatsTable[[#This Row],[GroupByKey]]),(ContinuousStatsTable[GroupByKey]=ContinuousStatsTable[[#This Row],[GroupByKey]])*ContinuousStatsTable[Average])),0)</f>
        <v>0</v>
      </c>
      <c r="Q331" s="5">
        <f t="array" ref="Q331">MAX(IF((ProjectInfoTable[ProjectName]=ContinuousStatsTable[[#This Row],[ProjectName]]),(ProjectInfoTable[ProjectName]=ContinuousStatsTable[[#This Row],[ProjectName]])*ProjectInfoTable[ConfidenceInterval]))</f>
        <v>0.95</v>
      </c>
      <c r="R3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1" s="5">
        <f t="array" ref="S331">MIN(IF((ContinuousStatsTable[GroupByKey]=ContinuousStatsTable[[#This Row],[GroupByKey]]),(ContinuousStatsTable[GroupByKey]=ContinuousStatsTable[[#This Row],[GroupByKey]])*ContinuousStatsTable[Average]))</f>
        <v>0</v>
      </c>
      <c r="T331" s="5">
        <f t="array" ref="T331">MAX(IF((ContinuousStatsTable[GroupByKey]=ContinuousStatsTable[[#This Row],[GroupByKey]]),(ContinuousStatsTable[GroupByKey]=ContinuousStatsTable[[#This Row],[GroupByKey]])*ContinuousStatsTable[Average]))</f>
        <v>0</v>
      </c>
      <c r="U331" s="5">
        <f>IF((ContinuousStatsTable[[#This Row],[RepsRequested]]&gt;1),ContinuousStatsTable[[#This Row],[HalfWidth]],ContinuousStatsTable[[#This Row],[BatchMeansHalfWidth]])</f>
        <v>0</v>
      </c>
    </row>
    <row r="332" spans="1:21" x14ac:dyDescent="0.25">
      <c r="A332" t="s">
        <v>67</v>
      </c>
      <c r="B332" t="s">
        <v>70</v>
      </c>
      <c r="C332">
        <v>8</v>
      </c>
      <c r="D332" t="s">
        <v>80</v>
      </c>
      <c r="E332" t="s">
        <v>74</v>
      </c>
      <c r="F332" t="s">
        <v>73</v>
      </c>
      <c r="G332">
        <v>0</v>
      </c>
      <c r="H332">
        <v>2E+20</v>
      </c>
      <c r="I332">
        <v>0</v>
      </c>
      <c r="J332">
        <v>0</v>
      </c>
      <c r="K332">
        <v>0</v>
      </c>
      <c r="L332">
        <v>0</v>
      </c>
      <c r="M332" s="5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332" s="5">
        <f t="array" ref="N332">MAX(IF((ProjectInfoTable[ProjectName]=ContinuousStatsTable[[#This Row],[ProjectName]]),(ProjectInfoTable[ProjectName]=ContinuousStatsTable[[#This Row],[ProjectName]])*ProjectInfoTable[NumberOfReplications]))</f>
        <v>15</v>
      </c>
      <c r="O332" s="5">
        <f t="array" ref="O332">IFERROR(AVERAGE(IF((ContinuousStatsTable[GroupByKey]=ContinuousStatsTable[[#This Row],[GroupByKey]]),(ContinuousStatsTable[GroupByKey]=ContinuousStatsTable[[#This Row],[GroupByKey]])*ContinuousStatsTable[Average])),0)</f>
        <v>0</v>
      </c>
      <c r="P332" s="5">
        <f t="array" ref="P332">IFERROR(_xlfn.STDEV.S(IF((ContinuousStatsTable[GroupByKey]=ContinuousStatsTable[[#This Row],[GroupByKey]]),(ContinuousStatsTable[GroupByKey]=ContinuousStatsTable[[#This Row],[GroupByKey]])*ContinuousStatsTable[Average])),0)</f>
        <v>0</v>
      </c>
      <c r="Q332" s="5">
        <f t="array" ref="Q332">MAX(IF((ProjectInfoTable[ProjectName]=ContinuousStatsTable[[#This Row],[ProjectName]]),(ProjectInfoTable[ProjectName]=ContinuousStatsTable[[#This Row],[ProjectName]])*ProjectInfoTable[ConfidenceInterval]))</f>
        <v>0.95</v>
      </c>
      <c r="R3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2" s="5">
        <f t="array" ref="S332">MIN(IF((ContinuousStatsTable[GroupByKey]=ContinuousStatsTable[[#This Row],[GroupByKey]]),(ContinuousStatsTable[GroupByKey]=ContinuousStatsTable[[#This Row],[GroupByKey]])*ContinuousStatsTable[Average]))</f>
        <v>0</v>
      </c>
      <c r="T332" s="5">
        <f t="array" ref="T332">MAX(IF((ContinuousStatsTable[GroupByKey]=ContinuousStatsTable[[#This Row],[GroupByKey]]),(ContinuousStatsTable[GroupByKey]=ContinuousStatsTable[[#This Row],[GroupByKey]])*ContinuousStatsTable[Average]))</f>
        <v>0</v>
      </c>
      <c r="U332" s="5">
        <f>IF((ContinuousStatsTable[[#This Row],[RepsRequested]]&gt;1),ContinuousStatsTable[[#This Row],[HalfWidth]],ContinuousStatsTable[[#This Row],[BatchMeansHalfWidth]])</f>
        <v>0</v>
      </c>
    </row>
    <row r="333" spans="1:21" x14ac:dyDescent="0.25">
      <c r="A333" t="s">
        <v>67</v>
      </c>
      <c r="B333" t="s">
        <v>70</v>
      </c>
      <c r="C333">
        <v>8</v>
      </c>
      <c r="D333" t="s">
        <v>80</v>
      </c>
      <c r="E333" t="s">
        <v>75</v>
      </c>
      <c r="F333" t="s">
        <v>73</v>
      </c>
      <c r="G333">
        <v>1</v>
      </c>
      <c r="H333">
        <v>2E+20</v>
      </c>
      <c r="I333">
        <v>1</v>
      </c>
      <c r="J333">
        <v>1</v>
      </c>
      <c r="K333">
        <v>1</v>
      </c>
      <c r="L333">
        <v>0</v>
      </c>
      <c r="M333" s="5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333" s="5">
        <f t="array" ref="N333">MAX(IF((ProjectInfoTable[ProjectName]=ContinuousStatsTable[[#This Row],[ProjectName]]),(ProjectInfoTable[ProjectName]=ContinuousStatsTable[[#This Row],[ProjectName]])*ProjectInfoTable[NumberOfReplications]))</f>
        <v>15</v>
      </c>
      <c r="O333" s="5">
        <f t="array" ref="O333">IFERROR(AVERAGE(IF((ContinuousStatsTable[GroupByKey]=ContinuousStatsTable[[#This Row],[GroupByKey]]),(ContinuousStatsTable[GroupByKey]=ContinuousStatsTable[[#This Row],[GroupByKey]])*ContinuousStatsTable[Average])),0)</f>
        <v>1.5334471868881776</v>
      </c>
      <c r="P333" s="5">
        <f t="array" ref="P333">IFERROR(_xlfn.STDEV.S(IF((ContinuousStatsTable[GroupByKey]=ContinuousStatsTable[[#This Row],[GroupByKey]]),(ContinuousStatsTable[GroupByKey]=ContinuousStatsTable[[#This Row],[GroupByKey]])*ContinuousStatsTable[Average])),0)</f>
        <v>0.24154821158553658</v>
      </c>
      <c r="Q333" s="5">
        <f t="array" ref="Q333">MAX(IF((ProjectInfoTable[ProjectName]=ContinuousStatsTable[[#This Row],[ProjectName]]),(ProjectInfoTable[ProjectName]=ContinuousStatsTable[[#This Row],[ProjectName]])*ProjectInfoTable[ConfidenceInterval]))</f>
        <v>0.95</v>
      </c>
      <c r="R3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0.13376494097407529</v>
      </c>
      <c r="S333" s="5">
        <f t="array" ref="S333">MIN(IF((ContinuousStatsTable[GroupByKey]=ContinuousStatsTable[[#This Row],[GroupByKey]]),(ContinuousStatsTable[GroupByKey]=ContinuousStatsTable[[#This Row],[GroupByKey]])*ContinuousStatsTable[Average]))</f>
        <v>1</v>
      </c>
      <c r="T333" s="5">
        <f t="array" ref="T333">MAX(IF((ContinuousStatsTable[GroupByKey]=ContinuousStatsTable[[#This Row],[GroupByKey]]),(ContinuousStatsTable[GroupByKey]=ContinuousStatsTable[[#This Row],[GroupByKey]])*ContinuousStatsTable[Average]))</f>
        <v>2</v>
      </c>
      <c r="U333" s="5">
        <f>IF((ContinuousStatsTable[[#This Row],[RepsRequested]]&gt;1),ContinuousStatsTable[[#This Row],[HalfWidth]],ContinuousStatsTable[[#This Row],[BatchMeansHalfWidth]])</f>
        <v>0.13376494097407529</v>
      </c>
    </row>
    <row r="334" spans="1:21" x14ac:dyDescent="0.25">
      <c r="A334" t="s">
        <v>67</v>
      </c>
      <c r="B334" t="s">
        <v>70</v>
      </c>
      <c r="C334">
        <v>8</v>
      </c>
      <c r="D334" t="s">
        <v>81</v>
      </c>
      <c r="E334" t="s">
        <v>72</v>
      </c>
      <c r="F334" t="s">
        <v>73</v>
      </c>
      <c r="G334">
        <v>0</v>
      </c>
      <c r="H334">
        <v>2E+20</v>
      </c>
      <c r="I334">
        <v>0</v>
      </c>
      <c r="J334">
        <v>0</v>
      </c>
      <c r="K334">
        <v>0</v>
      </c>
      <c r="L334">
        <v>0</v>
      </c>
      <c r="M334" s="5" t="str">
        <f>ContinuousStatsTable[[#This Row],[ProjectName]]&amp;ContinuousStatsTable[[#This Row],[Name]]&amp;ContinuousStatsTable[[#This Row],[Type]]&amp;ContinuousStatsTable[[#This Row],[Source]]</f>
        <v>Unnamed ProjectcutterInstantaneous UtilizationResource</v>
      </c>
      <c r="N334" s="5">
        <f t="array" ref="N334">MAX(IF((ProjectInfoTable[ProjectName]=ContinuousStatsTable[[#This Row],[ProjectName]]),(ProjectInfoTable[ProjectName]=ContinuousStatsTable[[#This Row],[ProjectName]])*ProjectInfoTable[NumberOfReplications]))</f>
        <v>15</v>
      </c>
      <c r="O334" s="5">
        <f t="array" ref="O334">IFERROR(AVERAGE(IF((ContinuousStatsTable[GroupByKey]=ContinuousStatsTable[[#This Row],[GroupByKey]]),(ContinuousStatsTable[GroupByKey]=ContinuousStatsTable[[#This Row],[GroupByKey]])*ContinuousStatsTable[Average])),0)</f>
        <v>0</v>
      </c>
      <c r="P334" s="5">
        <f t="array" ref="P334">IFERROR(_xlfn.STDEV.S(IF((ContinuousStatsTable[GroupByKey]=ContinuousStatsTable[[#This Row],[GroupByKey]]),(ContinuousStatsTable[GroupByKey]=ContinuousStatsTable[[#This Row],[GroupByKey]])*ContinuousStatsTable[Average])),0)</f>
        <v>0</v>
      </c>
      <c r="Q334" s="5">
        <f t="array" ref="Q334">MAX(IF((ProjectInfoTable[ProjectName]=ContinuousStatsTable[[#This Row],[ProjectName]]),(ProjectInfoTable[ProjectName]=ContinuousStatsTable[[#This Row],[ProjectName]])*ProjectInfoTable[ConfidenceInterval]))</f>
        <v>0.95</v>
      </c>
      <c r="R3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4" s="5">
        <f t="array" ref="S334">MIN(IF((ContinuousStatsTable[GroupByKey]=ContinuousStatsTable[[#This Row],[GroupByKey]]),(ContinuousStatsTable[GroupByKey]=ContinuousStatsTable[[#This Row],[GroupByKey]])*ContinuousStatsTable[Average]))</f>
        <v>0</v>
      </c>
      <c r="T334" s="5">
        <f t="array" ref="T334">MAX(IF((ContinuousStatsTable[GroupByKey]=ContinuousStatsTable[[#This Row],[GroupByKey]]),(ContinuousStatsTable[GroupByKey]=ContinuousStatsTable[[#This Row],[GroupByKey]])*ContinuousStatsTable[Average]))</f>
        <v>0</v>
      </c>
      <c r="U334" s="5">
        <f>IF((ContinuousStatsTable[[#This Row],[RepsRequested]]&gt;1),ContinuousStatsTable[[#This Row],[HalfWidth]],ContinuousStatsTable[[#This Row],[BatchMeansHalfWidth]])</f>
        <v>0</v>
      </c>
    </row>
    <row r="335" spans="1:21" x14ac:dyDescent="0.25">
      <c r="A335" t="s">
        <v>67</v>
      </c>
      <c r="B335" t="s">
        <v>70</v>
      </c>
      <c r="C335">
        <v>8</v>
      </c>
      <c r="D335" t="s">
        <v>81</v>
      </c>
      <c r="E335" t="s">
        <v>74</v>
      </c>
      <c r="F335" t="s">
        <v>73</v>
      </c>
      <c r="G335">
        <v>0</v>
      </c>
      <c r="H335">
        <v>2E+20</v>
      </c>
      <c r="I335">
        <v>0</v>
      </c>
      <c r="J335">
        <v>0</v>
      </c>
      <c r="K335">
        <v>0</v>
      </c>
      <c r="L335">
        <v>0</v>
      </c>
      <c r="M335" s="5" t="str">
        <f>ContinuousStatsTable[[#This Row],[ProjectName]]&amp;ContinuousStatsTable[[#This Row],[Name]]&amp;ContinuousStatsTable[[#This Row],[Type]]&amp;ContinuousStatsTable[[#This Row],[Source]]</f>
        <v>Unnamed ProjectcutterNumber BusyResource</v>
      </c>
      <c r="N335" s="5">
        <f t="array" ref="N335">MAX(IF((ProjectInfoTable[ProjectName]=ContinuousStatsTable[[#This Row],[ProjectName]]),(ProjectInfoTable[ProjectName]=ContinuousStatsTable[[#This Row],[ProjectName]])*ProjectInfoTable[NumberOfReplications]))</f>
        <v>15</v>
      </c>
      <c r="O335" s="5">
        <f t="array" ref="O335">IFERROR(AVERAGE(IF((ContinuousStatsTable[GroupByKey]=ContinuousStatsTable[[#This Row],[GroupByKey]]),(ContinuousStatsTable[GroupByKey]=ContinuousStatsTable[[#This Row],[GroupByKey]])*ContinuousStatsTable[Average])),0)</f>
        <v>0</v>
      </c>
      <c r="P335" s="5">
        <f t="array" ref="P335">IFERROR(_xlfn.STDEV.S(IF((ContinuousStatsTable[GroupByKey]=ContinuousStatsTable[[#This Row],[GroupByKey]]),(ContinuousStatsTable[GroupByKey]=ContinuousStatsTable[[#This Row],[GroupByKey]])*ContinuousStatsTable[Average])),0)</f>
        <v>0</v>
      </c>
      <c r="Q335" s="5">
        <f t="array" ref="Q335">MAX(IF((ProjectInfoTable[ProjectName]=ContinuousStatsTable[[#This Row],[ProjectName]]),(ProjectInfoTable[ProjectName]=ContinuousStatsTable[[#This Row],[ProjectName]])*ProjectInfoTable[ConfidenceInterval]))</f>
        <v>0.95</v>
      </c>
      <c r="R3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5" s="5">
        <f t="array" ref="S335">MIN(IF((ContinuousStatsTable[GroupByKey]=ContinuousStatsTable[[#This Row],[GroupByKey]]),(ContinuousStatsTable[GroupByKey]=ContinuousStatsTable[[#This Row],[GroupByKey]])*ContinuousStatsTable[Average]))</f>
        <v>0</v>
      </c>
      <c r="T335" s="5">
        <f t="array" ref="T335">MAX(IF((ContinuousStatsTable[GroupByKey]=ContinuousStatsTable[[#This Row],[GroupByKey]]),(ContinuousStatsTable[GroupByKey]=ContinuousStatsTable[[#This Row],[GroupByKey]])*ContinuousStatsTable[Average]))</f>
        <v>0</v>
      </c>
      <c r="U335" s="5">
        <f>IF((ContinuousStatsTable[[#This Row],[RepsRequested]]&gt;1),ContinuousStatsTable[[#This Row],[HalfWidth]],ContinuousStatsTable[[#This Row],[BatchMeansHalfWidth]])</f>
        <v>0</v>
      </c>
    </row>
    <row r="336" spans="1:21" x14ac:dyDescent="0.25">
      <c r="A336" t="s">
        <v>67</v>
      </c>
      <c r="B336" t="s">
        <v>70</v>
      </c>
      <c r="C336">
        <v>8</v>
      </c>
      <c r="D336" t="s">
        <v>81</v>
      </c>
      <c r="E336" t="s">
        <v>75</v>
      </c>
      <c r="F336" t="s">
        <v>73</v>
      </c>
      <c r="G336">
        <v>1</v>
      </c>
      <c r="H336">
        <v>2E+20</v>
      </c>
      <c r="I336">
        <v>1</v>
      </c>
      <c r="J336">
        <v>1</v>
      </c>
      <c r="K336">
        <v>1</v>
      </c>
      <c r="L336">
        <v>0</v>
      </c>
      <c r="M336" s="5" t="str">
        <f>ContinuousStatsTable[[#This Row],[ProjectName]]&amp;ContinuousStatsTable[[#This Row],[Name]]&amp;ContinuousStatsTable[[#This Row],[Type]]&amp;ContinuousStatsTable[[#This Row],[Source]]</f>
        <v>Unnamed ProjectcutterNumber ScheduledResource</v>
      </c>
      <c r="N336" s="5">
        <f t="array" ref="N336">MAX(IF((ProjectInfoTable[ProjectName]=ContinuousStatsTable[[#This Row],[ProjectName]]),(ProjectInfoTable[ProjectName]=ContinuousStatsTable[[#This Row],[ProjectName]])*ProjectInfoTable[NumberOfReplications]))</f>
        <v>15</v>
      </c>
      <c r="O336" s="5">
        <f t="array" ref="O336">IFERROR(AVERAGE(IF((ContinuousStatsTable[GroupByKey]=ContinuousStatsTable[[#This Row],[GroupByKey]]),(ContinuousStatsTable[GroupByKey]=ContinuousStatsTable[[#This Row],[GroupByKey]])*ContinuousStatsTable[Average])),0)</f>
        <v>1.5332999999999999</v>
      </c>
      <c r="P336" s="5">
        <f t="array" ref="P336">IFERROR(_xlfn.STDEV.S(IF((ContinuousStatsTable[GroupByKey]=ContinuousStatsTable[[#This Row],[GroupByKey]]),(ContinuousStatsTable[GroupByKey]=ContinuousStatsTable[[#This Row],[GroupByKey]])*ContinuousStatsTable[Average])),0)</f>
        <v>0.24151556349584294</v>
      </c>
      <c r="Q336" s="5">
        <f t="array" ref="Q336">MAX(IF((ProjectInfoTable[ProjectName]=ContinuousStatsTable[[#This Row],[ProjectName]]),(ProjectInfoTable[ProjectName]=ContinuousStatsTable[[#This Row],[ProjectName]])*ProjectInfoTable[ConfidenceInterval]))</f>
        <v>0.95</v>
      </c>
      <c r="R3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0.1337468610646356</v>
      </c>
      <c r="S336" s="5">
        <f t="array" ref="S336">MIN(IF((ContinuousStatsTable[GroupByKey]=ContinuousStatsTable[[#This Row],[GroupByKey]]),(ContinuousStatsTable[GroupByKey]=ContinuousStatsTable[[#This Row],[GroupByKey]])*ContinuousStatsTable[Average]))</f>
        <v>1</v>
      </c>
      <c r="T336" s="5">
        <f t="array" ref="T336">MAX(IF((ContinuousStatsTable[GroupByKey]=ContinuousStatsTable[[#This Row],[GroupByKey]]),(ContinuousStatsTable[GroupByKey]=ContinuousStatsTable[[#This Row],[GroupByKey]])*ContinuousStatsTable[Average]))</f>
        <v>2</v>
      </c>
      <c r="U336" s="5">
        <f>IF((ContinuousStatsTable[[#This Row],[RepsRequested]]&gt;1),ContinuousStatsTable[[#This Row],[HalfWidth]],ContinuousStatsTable[[#This Row],[BatchMeansHalfWidth]])</f>
        <v>0.1337468610646356</v>
      </c>
    </row>
    <row r="337" spans="1:21" x14ac:dyDescent="0.25">
      <c r="A337" t="s">
        <v>67</v>
      </c>
      <c r="B337" t="s">
        <v>70</v>
      </c>
      <c r="C337">
        <v>8</v>
      </c>
      <c r="D337" t="s">
        <v>82</v>
      </c>
      <c r="E337" t="s">
        <v>72</v>
      </c>
      <c r="F337" t="s">
        <v>73</v>
      </c>
      <c r="G337">
        <v>0</v>
      </c>
      <c r="H337">
        <v>2E+20</v>
      </c>
      <c r="I337">
        <v>0</v>
      </c>
      <c r="J337">
        <v>0</v>
      </c>
      <c r="K337">
        <v>0</v>
      </c>
      <c r="L337">
        <v>0</v>
      </c>
      <c r="M337" s="5" t="str">
        <f>ContinuousStatsTable[[#This Row],[ProjectName]]&amp;ContinuousStatsTable[[#This Row],[Name]]&amp;ContinuousStatsTable[[#This Row],[Type]]&amp;ContinuousStatsTable[[#This Row],[Source]]</f>
        <v>Unnamed ProjectfinalqcmanInstantaneous UtilizationResource</v>
      </c>
      <c r="N337" s="5">
        <f t="array" ref="N337">MAX(IF((ProjectInfoTable[ProjectName]=ContinuousStatsTable[[#This Row],[ProjectName]]),(ProjectInfoTable[ProjectName]=ContinuousStatsTable[[#This Row],[ProjectName]])*ProjectInfoTable[NumberOfReplications]))</f>
        <v>15</v>
      </c>
      <c r="O337" s="5">
        <f t="array" ref="O337">IFERROR(AVERAGE(IF((ContinuousStatsTable[GroupByKey]=ContinuousStatsTable[[#This Row],[GroupByKey]]),(ContinuousStatsTable[GroupByKey]=ContinuousStatsTable[[#This Row],[GroupByKey]])*ContinuousStatsTable[Average])),0)</f>
        <v>0</v>
      </c>
      <c r="P337" s="5">
        <f t="array" ref="P337">IFERROR(_xlfn.STDEV.S(IF((ContinuousStatsTable[GroupByKey]=ContinuousStatsTable[[#This Row],[GroupByKey]]),(ContinuousStatsTable[GroupByKey]=ContinuousStatsTable[[#This Row],[GroupByKey]])*ContinuousStatsTable[Average])),0)</f>
        <v>0</v>
      </c>
      <c r="Q337" s="5">
        <f t="array" ref="Q337">MAX(IF((ProjectInfoTable[ProjectName]=ContinuousStatsTable[[#This Row],[ProjectName]]),(ProjectInfoTable[ProjectName]=ContinuousStatsTable[[#This Row],[ProjectName]])*ProjectInfoTable[ConfidenceInterval]))</f>
        <v>0.95</v>
      </c>
      <c r="R3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7" s="5">
        <f t="array" ref="S337">MIN(IF((ContinuousStatsTable[GroupByKey]=ContinuousStatsTable[[#This Row],[GroupByKey]]),(ContinuousStatsTable[GroupByKey]=ContinuousStatsTable[[#This Row],[GroupByKey]])*ContinuousStatsTable[Average]))</f>
        <v>0</v>
      </c>
      <c r="T337" s="5">
        <f t="array" ref="T337">MAX(IF((ContinuousStatsTable[GroupByKey]=ContinuousStatsTable[[#This Row],[GroupByKey]]),(ContinuousStatsTable[GroupByKey]=ContinuousStatsTable[[#This Row],[GroupByKey]])*ContinuousStatsTable[Average]))</f>
        <v>0</v>
      </c>
      <c r="U337" s="5">
        <f>IF((ContinuousStatsTable[[#This Row],[RepsRequested]]&gt;1),ContinuousStatsTable[[#This Row],[HalfWidth]],ContinuousStatsTable[[#This Row],[BatchMeansHalfWidth]])</f>
        <v>0</v>
      </c>
    </row>
    <row r="338" spans="1:21" x14ac:dyDescent="0.25">
      <c r="A338" t="s">
        <v>67</v>
      </c>
      <c r="B338" t="s">
        <v>70</v>
      </c>
      <c r="C338">
        <v>8</v>
      </c>
      <c r="D338" t="s">
        <v>82</v>
      </c>
      <c r="E338" t="s">
        <v>74</v>
      </c>
      <c r="F338" t="s">
        <v>73</v>
      </c>
      <c r="G338">
        <v>0</v>
      </c>
      <c r="H338">
        <v>2E+20</v>
      </c>
      <c r="I338">
        <v>0</v>
      </c>
      <c r="J338">
        <v>0</v>
      </c>
      <c r="K338">
        <v>0</v>
      </c>
      <c r="L338">
        <v>0</v>
      </c>
      <c r="M338" s="5" t="str">
        <f>ContinuousStatsTable[[#This Row],[ProjectName]]&amp;ContinuousStatsTable[[#This Row],[Name]]&amp;ContinuousStatsTable[[#This Row],[Type]]&amp;ContinuousStatsTable[[#This Row],[Source]]</f>
        <v>Unnamed ProjectfinalqcmanNumber BusyResource</v>
      </c>
      <c r="N338" s="5">
        <f t="array" ref="N338">MAX(IF((ProjectInfoTable[ProjectName]=ContinuousStatsTable[[#This Row],[ProjectName]]),(ProjectInfoTable[ProjectName]=ContinuousStatsTable[[#This Row],[ProjectName]])*ProjectInfoTable[NumberOfReplications]))</f>
        <v>15</v>
      </c>
      <c r="O338" s="5">
        <f t="array" ref="O338">IFERROR(AVERAGE(IF((ContinuousStatsTable[GroupByKey]=ContinuousStatsTable[[#This Row],[GroupByKey]]),(ContinuousStatsTable[GroupByKey]=ContinuousStatsTable[[#This Row],[GroupByKey]])*ContinuousStatsTable[Average])),0)</f>
        <v>0</v>
      </c>
      <c r="P338" s="5">
        <f t="array" ref="P338">IFERROR(_xlfn.STDEV.S(IF((ContinuousStatsTable[GroupByKey]=ContinuousStatsTable[[#This Row],[GroupByKey]]),(ContinuousStatsTable[GroupByKey]=ContinuousStatsTable[[#This Row],[GroupByKey]])*ContinuousStatsTable[Average])),0)</f>
        <v>0</v>
      </c>
      <c r="Q338" s="5">
        <f t="array" ref="Q338">MAX(IF((ProjectInfoTable[ProjectName]=ContinuousStatsTable[[#This Row],[ProjectName]]),(ProjectInfoTable[ProjectName]=ContinuousStatsTable[[#This Row],[ProjectName]])*ProjectInfoTable[ConfidenceInterval]))</f>
        <v>0.95</v>
      </c>
      <c r="R3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8" s="5">
        <f t="array" ref="S338">MIN(IF((ContinuousStatsTable[GroupByKey]=ContinuousStatsTable[[#This Row],[GroupByKey]]),(ContinuousStatsTable[GroupByKey]=ContinuousStatsTable[[#This Row],[GroupByKey]])*ContinuousStatsTable[Average]))</f>
        <v>0</v>
      </c>
      <c r="T338" s="5">
        <f t="array" ref="T338">MAX(IF((ContinuousStatsTable[GroupByKey]=ContinuousStatsTable[[#This Row],[GroupByKey]]),(ContinuousStatsTable[GroupByKey]=ContinuousStatsTable[[#This Row],[GroupByKey]])*ContinuousStatsTable[Average]))</f>
        <v>0</v>
      </c>
      <c r="U338" s="5">
        <f>IF((ContinuousStatsTable[[#This Row],[RepsRequested]]&gt;1),ContinuousStatsTable[[#This Row],[HalfWidth]],ContinuousStatsTable[[#This Row],[BatchMeansHalfWidth]])</f>
        <v>0</v>
      </c>
    </row>
    <row r="339" spans="1:21" x14ac:dyDescent="0.25">
      <c r="A339" t="s">
        <v>67</v>
      </c>
      <c r="B339" t="s">
        <v>70</v>
      </c>
      <c r="C339">
        <v>8</v>
      </c>
      <c r="D339" t="s">
        <v>82</v>
      </c>
      <c r="E339" t="s">
        <v>75</v>
      </c>
      <c r="F339" t="s">
        <v>73</v>
      </c>
      <c r="G339">
        <v>1</v>
      </c>
      <c r="H339">
        <v>2E+20</v>
      </c>
      <c r="I339">
        <v>1</v>
      </c>
      <c r="J339">
        <v>1</v>
      </c>
      <c r="K339">
        <v>1</v>
      </c>
      <c r="L339">
        <v>0</v>
      </c>
      <c r="M339" s="5" t="str">
        <f>ContinuousStatsTable[[#This Row],[ProjectName]]&amp;ContinuousStatsTable[[#This Row],[Name]]&amp;ContinuousStatsTable[[#This Row],[Type]]&amp;ContinuousStatsTable[[#This Row],[Source]]</f>
        <v>Unnamed ProjectfinalqcmanNumber ScheduledResource</v>
      </c>
      <c r="N339" s="5">
        <f t="array" ref="N339">MAX(IF((ProjectInfoTable[ProjectName]=ContinuousStatsTable[[#This Row],[ProjectName]]),(ProjectInfoTable[ProjectName]=ContinuousStatsTable[[#This Row],[ProjectName]])*ProjectInfoTable[NumberOfReplications]))</f>
        <v>15</v>
      </c>
      <c r="O339" s="5">
        <f t="array" ref="O339">IFERROR(AVERAGE(IF((ContinuousStatsTable[GroupByKey]=ContinuousStatsTable[[#This Row],[GroupByKey]]),(ContinuousStatsTable[GroupByKey]=ContinuousStatsTable[[#This Row],[GroupByKey]])*ContinuousStatsTable[Average])),0)</f>
        <v>1.5334510661643974</v>
      </c>
      <c r="P339" s="5">
        <f t="array" ref="P339">IFERROR(_xlfn.STDEV.S(IF((ContinuousStatsTable[GroupByKey]=ContinuousStatsTable[[#This Row],[GroupByKey]]),(ContinuousStatsTable[GroupByKey]=ContinuousStatsTable[[#This Row],[GroupByKey]])*ContinuousStatsTable[Average])),0)</f>
        <v>0.24154906725932371</v>
      </c>
      <c r="Q339" s="5">
        <f t="array" ref="Q339">MAX(IF((ProjectInfoTable[ProjectName]=ContinuousStatsTable[[#This Row],[ProjectName]]),(ProjectInfoTable[ProjectName]=ContinuousStatsTable[[#This Row],[ProjectName]])*ProjectInfoTable[ConfidenceInterval]))</f>
        <v>0.95</v>
      </c>
      <c r="R3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0.13376541483042423</v>
      </c>
      <c r="S339" s="5">
        <f t="array" ref="S339">MIN(IF((ContinuousStatsTable[GroupByKey]=ContinuousStatsTable[[#This Row],[GroupByKey]]),(ContinuousStatsTable[GroupByKey]=ContinuousStatsTable[[#This Row],[GroupByKey]])*ContinuousStatsTable[Average]))</f>
        <v>1</v>
      </c>
      <c r="T339" s="5">
        <f t="array" ref="T339">MAX(IF((ContinuousStatsTable[GroupByKey]=ContinuousStatsTable[[#This Row],[GroupByKey]]),(ContinuousStatsTable[GroupByKey]=ContinuousStatsTable[[#This Row],[GroupByKey]])*ContinuousStatsTable[Average]))</f>
        <v>2</v>
      </c>
      <c r="U339" s="5">
        <f>IF((ContinuousStatsTable[[#This Row],[RepsRequested]]&gt;1),ContinuousStatsTable[[#This Row],[HalfWidth]],ContinuousStatsTable[[#This Row],[BatchMeansHalfWidth]])</f>
        <v>0.13376541483042423</v>
      </c>
    </row>
    <row r="340" spans="1:21" x14ac:dyDescent="0.25">
      <c r="A340" t="s">
        <v>67</v>
      </c>
      <c r="B340" t="s">
        <v>70</v>
      </c>
      <c r="C340">
        <v>8</v>
      </c>
      <c r="D340" t="s">
        <v>83</v>
      </c>
      <c r="E340" t="s">
        <v>84</v>
      </c>
      <c r="F340" t="s">
        <v>85</v>
      </c>
      <c r="G340">
        <v>0</v>
      </c>
      <c r="H340">
        <v>2E+20</v>
      </c>
      <c r="I340">
        <v>0</v>
      </c>
      <c r="J340">
        <v>0</v>
      </c>
      <c r="K340">
        <v>0</v>
      </c>
      <c r="L340">
        <v>0</v>
      </c>
      <c r="M340" s="5" t="str">
        <f>ContinuousStatsTable[[#This Row],[ProjectName]]&amp;ContinuousStatsTable[[#This Row],[Name]]&amp;ContinuousStatsTable[[#This Row],[Type]]&amp;ContinuousStatsTable[[#This Row],[Source]]</f>
        <v>Unnamed Projectinspectorseize.QueueNumber WaitingQueue</v>
      </c>
      <c r="N340" s="5">
        <f t="array" ref="N340">MAX(IF((ProjectInfoTable[ProjectName]=ContinuousStatsTable[[#This Row],[ProjectName]]),(ProjectInfoTable[ProjectName]=ContinuousStatsTable[[#This Row],[ProjectName]])*ProjectInfoTable[NumberOfReplications]))</f>
        <v>15</v>
      </c>
      <c r="O340" s="5">
        <f t="array" ref="O340">IFERROR(AVERAGE(IF((ContinuousStatsTable[GroupByKey]=ContinuousStatsTable[[#This Row],[GroupByKey]]),(ContinuousStatsTable[GroupByKey]=ContinuousStatsTable[[#This Row],[GroupByKey]])*ContinuousStatsTable[Average])),0)</f>
        <v>0</v>
      </c>
      <c r="P340" s="5">
        <f t="array" ref="P340">IFERROR(_xlfn.STDEV.S(IF((ContinuousStatsTable[GroupByKey]=ContinuousStatsTable[[#This Row],[GroupByKey]]),(ContinuousStatsTable[GroupByKey]=ContinuousStatsTable[[#This Row],[GroupByKey]])*ContinuousStatsTable[Average])),0)</f>
        <v>0</v>
      </c>
      <c r="Q340" s="5">
        <f t="array" ref="Q340">MAX(IF((ProjectInfoTable[ProjectName]=ContinuousStatsTable[[#This Row],[ProjectName]]),(ProjectInfoTable[ProjectName]=ContinuousStatsTable[[#This Row],[ProjectName]])*ProjectInfoTable[ConfidenceInterval]))</f>
        <v>0.95</v>
      </c>
      <c r="R3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0" s="5">
        <f t="array" ref="S340">MIN(IF((ContinuousStatsTable[GroupByKey]=ContinuousStatsTable[[#This Row],[GroupByKey]]),(ContinuousStatsTable[GroupByKey]=ContinuousStatsTable[[#This Row],[GroupByKey]])*ContinuousStatsTable[Average]))</f>
        <v>0</v>
      </c>
      <c r="T340" s="5">
        <f t="array" ref="T340">MAX(IF((ContinuousStatsTable[GroupByKey]=ContinuousStatsTable[[#This Row],[GroupByKey]]),(ContinuousStatsTable[GroupByKey]=ContinuousStatsTable[[#This Row],[GroupByKey]])*ContinuousStatsTable[Average]))</f>
        <v>0</v>
      </c>
      <c r="U340" s="5">
        <f>IF((ContinuousStatsTable[[#This Row],[RepsRequested]]&gt;1),ContinuousStatsTable[[#This Row],[HalfWidth]],ContinuousStatsTable[[#This Row],[BatchMeansHalfWidth]])</f>
        <v>0</v>
      </c>
    </row>
    <row r="341" spans="1:21" x14ac:dyDescent="0.25">
      <c r="A341" t="s">
        <v>67</v>
      </c>
      <c r="B341" t="s">
        <v>70</v>
      </c>
      <c r="C341">
        <v>8</v>
      </c>
      <c r="D341" t="s">
        <v>86</v>
      </c>
      <c r="E341" t="s">
        <v>84</v>
      </c>
      <c r="F341" t="s">
        <v>85</v>
      </c>
      <c r="G341">
        <v>0</v>
      </c>
      <c r="H341">
        <v>2E+20</v>
      </c>
      <c r="I341">
        <v>0</v>
      </c>
      <c r="J341">
        <v>0</v>
      </c>
      <c r="K341">
        <v>0</v>
      </c>
      <c r="L341">
        <v>0</v>
      </c>
      <c r="M341" s="5" t="str">
        <f>ContinuousStatsTable[[#This Row],[ProjectName]]&amp;ContinuousStatsTable[[#This Row],[Name]]&amp;ContinuousStatsTable[[#This Row],[Type]]&amp;ContinuousStatsTable[[#This Row],[Source]]</f>
        <v>Unnamed Projectmatch_truckcombo.Queue1Number WaitingQueue</v>
      </c>
      <c r="N341" s="5">
        <f t="array" ref="N341">MAX(IF((ProjectInfoTable[ProjectName]=ContinuousStatsTable[[#This Row],[ProjectName]]),(ProjectInfoTable[ProjectName]=ContinuousStatsTable[[#This Row],[ProjectName]])*ProjectInfoTable[NumberOfReplications]))</f>
        <v>15</v>
      </c>
      <c r="O341" s="5">
        <f t="array" ref="O341">IFERROR(AVERAGE(IF((ContinuousStatsTable[GroupByKey]=ContinuousStatsTable[[#This Row],[GroupByKey]]),(ContinuousStatsTable[GroupByKey]=ContinuousStatsTable[[#This Row],[GroupByKey]])*ContinuousStatsTable[Average])),0)</f>
        <v>3.3333333333333335</v>
      </c>
      <c r="P341" s="5">
        <f t="array" ref="P341">IFERROR(_xlfn.STDEV.S(IF((ContinuousStatsTable[GroupByKey]=ContinuousStatsTable[[#This Row],[GroupByKey]]),(ContinuousStatsTable[GroupByKey]=ContinuousStatsTable[[#This Row],[GroupByKey]])*ContinuousStatsTable[Average])),0)</f>
        <v>4.577377082170635</v>
      </c>
      <c r="Q341" s="5">
        <f t="array" ref="Q341">MAX(IF((ProjectInfoTable[ProjectName]=ContinuousStatsTable[[#This Row],[ProjectName]]),(ProjectInfoTable[ProjectName]=ContinuousStatsTable[[#This Row],[ProjectName]])*ProjectInfoTable[ConfidenceInterval]))</f>
        <v>0.95</v>
      </c>
      <c r="R3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2.5348669368881507</v>
      </c>
      <c r="S341" s="5">
        <f t="array" ref="S341">MIN(IF((ContinuousStatsTable[GroupByKey]=ContinuousStatsTable[[#This Row],[GroupByKey]]),(ContinuousStatsTable[GroupByKey]=ContinuousStatsTable[[#This Row],[GroupByKey]])*ContinuousStatsTable[Average]))</f>
        <v>0</v>
      </c>
      <c r="T341" s="5">
        <f t="array" ref="T341">MAX(IF((ContinuousStatsTable[GroupByKey]=ContinuousStatsTable[[#This Row],[GroupByKey]]),(ContinuousStatsTable[GroupByKey]=ContinuousStatsTable[[#This Row],[GroupByKey]])*ContinuousStatsTable[Average]))</f>
        <v>12</v>
      </c>
      <c r="U341" s="5">
        <f>IF((ContinuousStatsTable[[#This Row],[RepsRequested]]&gt;1),ContinuousStatsTable[[#This Row],[HalfWidth]],ContinuousStatsTable[[#This Row],[BatchMeansHalfWidth]])</f>
        <v>2.5348669368881507</v>
      </c>
    </row>
    <row r="342" spans="1:21" x14ac:dyDescent="0.25">
      <c r="A342" t="s">
        <v>67</v>
      </c>
      <c r="B342" t="s">
        <v>70</v>
      </c>
      <c r="C342">
        <v>8</v>
      </c>
      <c r="D342" t="s">
        <v>87</v>
      </c>
      <c r="E342" t="s">
        <v>84</v>
      </c>
      <c r="F342" t="s">
        <v>85</v>
      </c>
      <c r="G342">
        <v>0</v>
      </c>
      <c r="H342">
        <v>2E+20</v>
      </c>
      <c r="I342">
        <v>0</v>
      </c>
      <c r="J342">
        <v>0</v>
      </c>
      <c r="K342">
        <v>0</v>
      </c>
      <c r="L342">
        <v>0</v>
      </c>
      <c r="M342" s="5" t="str">
        <f>ContinuousStatsTable[[#This Row],[ProjectName]]&amp;ContinuousStatsTable[[#This Row],[Name]]&amp;ContinuousStatsTable[[#This Row],[Type]]&amp;ContinuousStatsTable[[#This Row],[Source]]</f>
        <v>Unnamed Projectmatch_truckcombo.Queue2Number WaitingQueue</v>
      </c>
      <c r="N342" s="5">
        <f t="array" ref="N342">MAX(IF((ProjectInfoTable[ProjectName]=ContinuousStatsTable[[#This Row],[ProjectName]]),(ProjectInfoTable[ProjectName]=ContinuousStatsTable[[#This Row],[ProjectName]])*ProjectInfoTable[NumberOfReplications]))</f>
        <v>15</v>
      </c>
      <c r="O342" s="5">
        <f t="array" ref="O342">IFERROR(AVERAGE(IF((ContinuousStatsTable[GroupByKey]=ContinuousStatsTable[[#This Row],[GroupByKey]]),(ContinuousStatsTable[GroupByKey]=ContinuousStatsTable[[#This Row],[GroupByKey]])*ContinuousStatsTable[Average])),0)</f>
        <v>2.8</v>
      </c>
      <c r="P342" s="5">
        <f t="array" ref="P342">IFERROR(_xlfn.STDEV.S(IF((ContinuousStatsTable[GroupByKey]=ContinuousStatsTable[[#This Row],[GroupByKey]]),(ContinuousStatsTable[GroupByKey]=ContinuousStatsTable[[#This Row],[GroupByKey]])*ContinuousStatsTable[Average])),0)</f>
        <v>5.226307081896902</v>
      </c>
      <c r="Q342" s="5">
        <f t="array" ref="Q342">MAX(IF((ProjectInfoTable[ProjectName]=ContinuousStatsTable[[#This Row],[ProjectName]]),(ProjectInfoTable[ProjectName]=ContinuousStatsTable[[#This Row],[ProjectName]])*ProjectInfoTable[ConfidenceInterval]))</f>
        <v>0.95</v>
      </c>
      <c r="R3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2.8942323925042523</v>
      </c>
      <c r="S342" s="5">
        <f t="array" ref="S342">MIN(IF((ContinuousStatsTable[GroupByKey]=ContinuousStatsTable[[#This Row],[GroupByKey]]),(ContinuousStatsTable[GroupByKey]=ContinuousStatsTable[[#This Row],[GroupByKey]])*ContinuousStatsTable[Average]))</f>
        <v>0</v>
      </c>
      <c r="T342" s="5">
        <f t="array" ref="T342">MAX(IF((ContinuousStatsTable[GroupByKey]=ContinuousStatsTable[[#This Row],[GroupByKey]]),(ContinuousStatsTable[GroupByKey]=ContinuousStatsTable[[#This Row],[GroupByKey]])*ContinuousStatsTable[Average]))</f>
        <v>16</v>
      </c>
      <c r="U342" s="5">
        <f>IF((ContinuousStatsTable[[#This Row],[RepsRequested]]&gt;1),ContinuousStatsTable[[#This Row],[HalfWidth]],ContinuousStatsTable[[#This Row],[BatchMeansHalfWidth]])</f>
        <v>2.8942323925042523</v>
      </c>
    </row>
    <row r="343" spans="1:21" x14ac:dyDescent="0.25">
      <c r="A343" t="s">
        <v>67</v>
      </c>
      <c r="B343" t="s">
        <v>70</v>
      </c>
      <c r="C343">
        <v>8</v>
      </c>
      <c r="D343" t="s">
        <v>88</v>
      </c>
      <c r="E343" t="s">
        <v>72</v>
      </c>
      <c r="F343" t="s">
        <v>73</v>
      </c>
      <c r="G343">
        <v>0</v>
      </c>
      <c r="H343">
        <v>2E+20</v>
      </c>
      <c r="I343">
        <v>0</v>
      </c>
      <c r="J343">
        <v>0</v>
      </c>
      <c r="K343">
        <v>0</v>
      </c>
      <c r="L343">
        <v>0</v>
      </c>
      <c r="M343" s="5" t="str">
        <f>ContinuousStatsTable[[#This Row],[ProjectName]]&amp;ContinuousStatsTable[[#This Row],[Name]]&amp;ContinuousStatsTable[[#This Row],[Type]]&amp;ContinuousStatsTable[[#This Row],[Source]]</f>
        <v>Unnamed ProjectpaintingmachineInstantaneous UtilizationResource</v>
      </c>
      <c r="N343" s="5">
        <f t="array" ref="N343">MAX(IF((ProjectInfoTable[ProjectName]=ContinuousStatsTable[[#This Row],[ProjectName]]),(ProjectInfoTable[ProjectName]=ContinuousStatsTable[[#This Row],[ProjectName]])*ProjectInfoTable[NumberOfReplications]))</f>
        <v>15</v>
      </c>
      <c r="O343" s="5">
        <f t="array" ref="O343">IFERROR(AVERAGE(IF((ContinuousStatsTable[GroupByKey]=ContinuousStatsTable[[#This Row],[GroupByKey]]),(ContinuousStatsTable[GroupByKey]=ContinuousStatsTable[[#This Row],[GroupByKey]])*ContinuousStatsTable[Average])),0)</f>
        <v>0</v>
      </c>
      <c r="P343" s="5">
        <f t="array" ref="P343">IFERROR(_xlfn.STDEV.S(IF((ContinuousStatsTable[GroupByKey]=ContinuousStatsTable[[#This Row],[GroupByKey]]),(ContinuousStatsTable[GroupByKey]=ContinuousStatsTable[[#This Row],[GroupByKey]])*ContinuousStatsTable[Average])),0)</f>
        <v>0</v>
      </c>
      <c r="Q343" s="5">
        <f t="array" ref="Q343">MAX(IF((ProjectInfoTable[ProjectName]=ContinuousStatsTable[[#This Row],[ProjectName]]),(ProjectInfoTable[ProjectName]=ContinuousStatsTable[[#This Row],[ProjectName]])*ProjectInfoTable[ConfidenceInterval]))</f>
        <v>0.95</v>
      </c>
      <c r="R3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3" s="5">
        <f t="array" ref="S343">MIN(IF((ContinuousStatsTable[GroupByKey]=ContinuousStatsTable[[#This Row],[GroupByKey]]),(ContinuousStatsTable[GroupByKey]=ContinuousStatsTable[[#This Row],[GroupByKey]])*ContinuousStatsTable[Average]))</f>
        <v>0</v>
      </c>
      <c r="T343" s="5">
        <f t="array" ref="T343">MAX(IF((ContinuousStatsTable[GroupByKey]=ContinuousStatsTable[[#This Row],[GroupByKey]]),(ContinuousStatsTable[GroupByKey]=ContinuousStatsTable[[#This Row],[GroupByKey]])*ContinuousStatsTable[Average]))</f>
        <v>0</v>
      </c>
      <c r="U343" s="5">
        <f>IF((ContinuousStatsTable[[#This Row],[RepsRequested]]&gt;1),ContinuousStatsTable[[#This Row],[HalfWidth]],ContinuousStatsTable[[#This Row],[BatchMeansHalfWidth]])</f>
        <v>0</v>
      </c>
    </row>
    <row r="344" spans="1:21" x14ac:dyDescent="0.25">
      <c r="A344" t="s">
        <v>67</v>
      </c>
      <c r="B344" t="s">
        <v>70</v>
      </c>
      <c r="C344">
        <v>8</v>
      </c>
      <c r="D344" t="s">
        <v>88</v>
      </c>
      <c r="E344" t="s">
        <v>74</v>
      </c>
      <c r="F344" t="s">
        <v>73</v>
      </c>
      <c r="G344">
        <v>0</v>
      </c>
      <c r="H344">
        <v>2E+20</v>
      </c>
      <c r="I344">
        <v>0</v>
      </c>
      <c r="J344">
        <v>0</v>
      </c>
      <c r="K344">
        <v>0</v>
      </c>
      <c r="L344">
        <v>0</v>
      </c>
      <c r="M344" s="5" t="str">
        <f>ContinuousStatsTable[[#This Row],[ProjectName]]&amp;ContinuousStatsTable[[#This Row],[Name]]&amp;ContinuousStatsTable[[#This Row],[Type]]&amp;ContinuousStatsTable[[#This Row],[Source]]</f>
        <v>Unnamed ProjectpaintingmachineNumber BusyResource</v>
      </c>
      <c r="N344" s="5">
        <f t="array" ref="N344">MAX(IF((ProjectInfoTable[ProjectName]=ContinuousStatsTable[[#This Row],[ProjectName]]),(ProjectInfoTable[ProjectName]=ContinuousStatsTable[[#This Row],[ProjectName]])*ProjectInfoTable[NumberOfReplications]))</f>
        <v>15</v>
      </c>
      <c r="O344" s="5">
        <f t="array" ref="O344">IFERROR(AVERAGE(IF((ContinuousStatsTable[GroupByKey]=ContinuousStatsTable[[#This Row],[GroupByKey]]),(ContinuousStatsTable[GroupByKey]=ContinuousStatsTable[[#This Row],[GroupByKey]])*ContinuousStatsTable[Average])),0)</f>
        <v>0</v>
      </c>
      <c r="P344" s="5">
        <f t="array" ref="P344">IFERROR(_xlfn.STDEV.S(IF((ContinuousStatsTable[GroupByKey]=ContinuousStatsTable[[#This Row],[GroupByKey]]),(ContinuousStatsTable[GroupByKey]=ContinuousStatsTable[[#This Row],[GroupByKey]])*ContinuousStatsTable[Average])),0)</f>
        <v>0</v>
      </c>
      <c r="Q344" s="5">
        <f t="array" ref="Q344">MAX(IF((ProjectInfoTable[ProjectName]=ContinuousStatsTable[[#This Row],[ProjectName]]),(ProjectInfoTable[ProjectName]=ContinuousStatsTable[[#This Row],[ProjectName]])*ProjectInfoTable[ConfidenceInterval]))</f>
        <v>0.95</v>
      </c>
      <c r="R3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4" s="5">
        <f t="array" ref="S344">MIN(IF((ContinuousStatsTable[GroupByKey]=ContinuousStatsTable[[#This Row],[GroupByKey]]),(ContinuousStatsTable[GroupByKey]=ContinuousStatsTable[[#This Row],[GroupByKey]])*ContinuousStatsTable[Average]))</f>
        <v>0</v>
      </c>
      <c r="T344" s="5">
        <f t="array" ref="T344">MAX(IF((ContinuousStatsTable[GroupByKey]=ContinuousStatsTable[[#This Row],[GroupByKey]]),(ContinuousStatsTable[GroupByKey]=ContinuousStatsTable[[#This Row],[GroupByKey]])*ContinuousStatsTable[Average]))</f>
        <v>0</v>
      </c>
      <c r="U344" s="5">
        <f>IF((ContinuousStatsTable[[#This Row],[RepsRequested]]&gt;1),ContinuousStatsTable[[#This Row],[HalfWidth]],ContinuousStatsTable[[#This Row],[BatchMeansHalfWidth]])</f>
        <v>0</v>
      </c>
    </row>
    <row r="345" spans="1:21" x14ac:dyDescent="0.25">
      <c r="A345" t="s">
        <v>67</v>
      </c>
      <c r="B345" t="s">
        <v>70</v>
      </c>
      <c r="C345">
        <v>8</v>
      </c>
      <c r="D345" t="s">
        <v>88</v>
      </c>
      <c r="E345" t="s">
        <v>75</v>
      </c>
      <c r="F345" t="s">
        <v>73</v>
      </c>
      <c r="G345">
        <v>1</v>
      </c>
      <c r="H345">
        <v>2E+20</v>
      </c>
      <c r="I345">
        <v>1</v>
      </c>
      <c r="J345">
        <v>1</v>
      </c>
      <c r="K345">
        <v>1</v>
      </c>
      <c r="L345">
        <v>0</v>
      </c>
      <c r="M345" s="5" t="str">
        <f>ContinuousStatsTable[[#This Row],[ProjectName]]&amp;ContinuousStatsTable[[#This Row],[Name]]&amp;ContinuousStatsTable[[#This Row],[Type]]&amp;ContinuousStatsTable[[#This Row],[Source]]</f>
        <v>Unnamed ProjectpaintingmachineNumber ScheduledResource</v>
      </c>
      <c r="N345" s="5">
        <f t="array" ref="N345">MAX(IF((ProjectInfoTable[ProjectName]=ContinuousStatsTable[[#This Row],[ProjectName]]),(ProjectInfoTable[ProjectName]=ContinuousStatsTable[[#This Row],[ProjectName]])*ProjectInfoTable[NumberOfReplications]))</f>
        <v>15</v>
      </c>
      <c r="O345" s="5">
        <f t="array" ref="O345">IFERROR(AVERAGE(IF((ContinuousStatsTable[GroupByKey]=ContinuousStatsTable[[#This Row],[GroupByKey]]),(ContinuousStatsTable[GroupByKey]=ContinuousStatsTable[[#This Row],[GroupByKey]])*ContinuousStatsTable[Average])),0)</f>
        <v>1</v>
      </c>
      <c r="P345" s="5">
        <f t="array" ref="P345">IFERROR(_xlfn.STDEV.S(IF((ContinuousStatsTable[GroupByKey]=ContinuousStatsTable[[#This Row],[GroupByKey]]),(ContinuousStatsTable[GroupByKey]=ContinuousStatsTable[[#This Row],[GroupByKey]])*ContinuousStatsTable[Average])),0)</f>
        <v>0</v>
      </c>
      <c r="Q345" s="5">
        <f t="array" ref="Q345">MAX(IF((ProjectInfoTable[ProjectName]=ContinuousStatsTable[[#This Row],[ProjectName]]),(ProjectInfoTable[ProjectName]=ContinuousStatsTable[[#This Row],[ProjectName]])*ProjectInfoTable[ConfidenceInterval]))</f>
        <v>0.95</v>
      </c>
      <c r="R3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5" s="5">
        <f t="array" ref="S345">MIN(IF((ContinuousStatsTable[GroupByKey]=ContinuousStatsTable[[#This Row],[GroupByKey]]),(ContinuousStatsTable[GroupByKey]=ContinuousStatsTable[[#This Row],[GroupByKey]])*ContinuousStatsTable[Average]))</f>
        <v>1</v>
      </c>
      <c r="T345" s="5">
        <f t="array" ref="T345">MAX(IF((ContinuousStatsTable[GroupByKey]=ContinuousStatsTable[[#This Row],[GroupByKey]]),(ContinuousStatsTable[GroupByKey]=ContinuousStatsTable[[#This Row],[GroupByKey]])*ContinuousStatsTable[Average]))</f>
        <v>1</v>
      </c>
      <c r="U345" s="5">
        <f>IF((ContinuousStatsTable[[#This Row],[RepsRequested]]&gt;1),ContinuousStatsTable[[#This Row],[HalfWidth]],ContinuousStatsTable[[#This Row],[BatchMeansHalfWidth]])</f>
        <v>0</v>
      </c>
    </row>
    <row r="346" spans="1:21" x14ac:dyDescent="0.25">
      <c r="A346" t="s">
        <v>67</v>
      </c>
      <c r="B346" t="s">
        <v>70</v>
      </c>
      <c r="C346">
        <v>8</v>
      </c>
      <c r="D346" t="s">
        <v>89</v>
      </c>
      <c r="E346" t="s">
        <v>72</v>
      </c>
      <c r="F346" t="s">
        <v>73</v>
      </c>
      <c r="G346">
        <v>0</v>
      </c>
      <c r="H346">
        <v>2E+20</v>
      </c>
      <c r="I346">
        <v>0</v>
      </c>
      <c r="J346">
        <v>0</v>
      </c>
      <c r="K346">
        <v>0</v>
      </c>
      <c r="L346">
        <v>0</v>
      </c>
      <c r="M346" s="5" t="str">
        <f>ContinuousStatsTable[[#This Row],[ProjectName]]&amp;ContinuousStatsTable[[#This Row],[Name]]&amp;ContinuousStatsTable[[#This Row],[Type]]&amp;ContinuousStatsTable[[#This Row],[Source]]</f>
        <v>Unnamed ProjectpaintingoperatorInstantaneous UtilizationResource</v>
      </c>
      <c r="N346" s="5">
        <f t="array" ref="N346">MAX(IF((ProjectInfoTable[ProjectName]=ContinuousStatsTable[[#This Row],[ProjectName]]),(ProjectInfoTable[ProjectName]=ContinuousStatsTable[[#This Row],[ProjectName]])*ProjectInfoTable[NumberOfReplications]))</f>
        <v>15</v>
      </c>
      <c r="O346" s="5">
        <f t="array" ref="O346">IFERROR(AVERAGE(IF((ContinuousStatsTable[GroupByKey]=ContinuousStatsTable[[#This Row],[GroupByKey]]),(ContinuousStatsTable[GroupByKey]=ContinuousStatsTable[[#This Row],[GroupByKey]])*ContinuousStatsTable[Average])),0)</f>
        <v>0</v>
      </c>
      <c r="P346" s="5">
        <f t="array" ref="P346">IFERROR(_xlfn.STDEV.S(IF((ContinuousStatsTable[GroupByKey]=ContinuousStatsTable[[#This Row],[GroupByKey]]),(ContinuousStatsTable[GroupByKey]=ContinuousStatsTable[[#This Row],[GroupByKey]])*ContinuousStatsTable[Average])),0)</f>
        <v>0</v>
      </c>
      <c r="Q346" s="5">
        <f t="array" ref="Q346">MAX(IF((ProjectInfoTable[ProjectName]=ContinuousStatsTable[[#This Row],[ProjectName]]),(ProjectInfoTable[ProjectName]=ContinuousStatsTable[[#This Row],[ProjectName]])*ProjectInfoTable[ConfidenceInterval]))</f>
        <v>0.95</v>
      </c>
      <c r="R3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6" s="5">
        <f t="array" ref="S346">MIN(IF((ContinuousStatsTable[GroupByKey]=ContinuousStatsTable[[#This Row],[GroupByKey]]),(ContinuousStatsTable[GroupByKey]=ContinuousStatsTable[[#This Row],[GroupByKey]])*ContinuousStatsTable[Average]))</f>
        <v>0</v>
      </c>
      <c r="T346" s="5">
        <f t="array" ref="T346">MAX(IF((ContinuousStatsTable[GroupByKey]=ContinuousStatsTable[[#This Row],[GroupByKey]]),(ContinuousStatsTable[GroupByKey]=ContinuousStatsTable[[#This Row],[GroupByKey]])*ContinuousStatsTable[Average]))</f>
        <v>0</v>
      </c>
      <c r="U346" s="5">
        <f>IF((ContinuousStatsTable[[#This Row],[RepsRequested]]&gt;1),ContinuousStatsTable[[#This Row],[HalfWidth]],ContinuousStatsTable[[#This Row],[BatchMeansHalfWidth]])</f>
        <v>0</v>
      </c>
    </row>
    <row r="347" spans="1:21" x14ac:dyDescent="0.25">
      <c r="A347" t="s">
        <v>67</v>
      </c>
      <c r="B347" t="s">
        <v>70</v>
      </c>
      <c r="C347">
        <v>8</v>
      </c>
      <c r="D347" t="s">
        <v>89</v>
      </c>
      <c r="E347" t="s">
        <v>74</v>
      </c>
      <c r="F347" t="s">
        <v>73</v>
      </c>
      <c r="G347">
        <v>0</v>
      </c>
      <c r="H347">
        <v>2E+20</v>
      </c>
      <c r="I347">
        <v>0</v>
      </c>
      <c r="J347">
        <v>0</v>
      </c>
      <c r="K347">
        <v>0</v>
      </c>
      <c r="L347">
        <v>0</v>
      </c>
      <c r="M347" s="5" t="str">
        <f>ContinuousStatsTable[[#This Row],[ProjectName]]&amp;ContinuousStatsTable[[#This Row],[Name]]&amp;ContinuousStatsTable[[#This Row],[Type]]&amp;ContinuousStatsTable[[#This Row],[Source]]</f>
        <v>Unnamed ProjectpaintingoperatorNumber BusyResource</v>
      </c>
      <c r="N347" s="5">
        <f t="array" ref="N347">MAX(IF((ProjectInfoTable[ProjectName]=ContinuousStatsTable[[#This Row],[ProjectName]]),(ProjectInfoTable[ProjectName]=ContinuousStatsTable[[#This Row],[ProjectName]])*ProjectInfoTable[NumberOfReplications]))</f>
        <v>15</v>
      </c>
      <c r="O347" s="5">
        <f t="array" ref="O347">IFERROR(AVERAGE(IF((ContinuousStatsTable[GroupByKey]=ContinuousStatsTable[[#This Row],[GroupByKey]]),(ContinuousStatsTable[GroupByKey]=ContinuousStatsTable[[#This Row],[GroupByKey]])*ContinuousStatsTable[Average])),0)</f>
        <v>0</v>
      </c>
      <c r="P347" s="5">
        <f t="array" ref="P347">IFERROR(_xlfn.STDEV.S(IF((ContinuousStatsTable[GroupByKey]=ContinuousStatsTable[[#This Row],[GroupByKey]]),(ContinuousStatsTable[GroupByKey]=ContinuousStatsTable[[#This Row],[GroupByKey]])*ContinuousStatsTable[Average])),0)</f>
        <v>0</v>
      </c>
      <c r="Q347" s="5">
        <f t="array" ref="Q347">MAX(IF((ProjectInfoTable[ProjectName]=ContinuousStatsTable[[#This Row],[ProjectName]]),(ProjectInfoTable[ProjectName]=ContinuousStatsTable[[#This Row],[ProjectName]])*ProjectInfoTable[ConfidenceInterval]))</f>
        <v>0.95</v>
      </c>
      <c r="R3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7" s="5">
        <f t="array" ref="S347">MIN(IF((ContinuousStatsTable[GroupByKey]=ContinuousStatsTable[[#This Row],[GroupByKey]]),(ContinuousStatsTable[GroupByKey]=ContinuousStatsTable[[#This Row],[GroupByKey]])*ContinuousStatsTable[Average]))</f>
        <v>0</v>
      </c>
      <c r="T347" s="5">
        <f t="array" ref="T347">MAX(IF((ContinuousStatsTable[GroupByKey]=ContinuousStatsTable[[#This Row],[GroupByKey]]),(ContinuousStatsTable[GroupByKey]=ContinuousStatsTable[[#This Row],[GroupByKey]])*ContinuousStatsTable[Average]))</f>
        <v>0</v>
      </c>
      <c r="U347" s="5">
        <f>IF((ContinuousStatsTable[[#This Row],[RepsRequested]]&gt;1),ContinuousStatsTable[[#This Row],[HalfWidth]],ContinuousStatsTable[[#This Row],[BatchMeansHalfWidth]])</f>
        <v>0</v>
      </c>
    </row>
    <row r="348" spans="1:21" x14ac:dyDescent="0.25">
      <c r="A348" t="s">
        <v>67</v>
      </c>
      <c r="B348" t="s">
        <v>70</v>
      </c>
      <c r="C348">
        <v>8</v>
      </c>
      <c r="D348" t="s">
        <v>89</v>
      </c>
      <c r="E348" t="s">
        <v>75</v>
      </c>
      <c r="F348" t="s">
        <v>73</v>
      </c>
      <c r="G348">
        <v>1</v>
      </c>
      <c r="H348">
        <v>2E+20</v>
      </c>
      <c r="I348">
        <v>1</v>
      </c>
      <c r="J348">
        <v>1</v>
      </c>
      <c r="K348">
        <v>1</v>
      </c>
      <c r="L348">
        <v>0</v>
      </c>
      <c r="M348" s="5" t="str">
        <f>ContinuousStatsTable[[#This Row],[ProjectName]]&amp;ContinuousStatsTable[[#This Row],[Name]]&amp;ContinuousStatsTable[[#This Row],[Type]]&amp;ContinuousStatsTable[[#This Row],[Source]]</f>
        <v>Unnamed ProjectpaintingoperatorNumber ScheduledResource</v>
      </c>
      <c r="N348" s="5">
        <f t="array" ref="N348">MAX(IF((ProjectInfoTable[ProjectName]=ContinuousStatsTable[[#This Row],[ProjectName]]),(ProjectInfoTable[ProjectName]=ContinuousStatsTable[[#This Row],[ProjectName]])*ProjectInfoTable[NumberOfReplications]))</f>
        <v>15</v>
      </c>
      <c r="O348" s="5">
        <f t="array" ref="O348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348" s="5">
        <f t="array" ref="P348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348" s="5">
        <f t="array" ref="Q348">MAX(IF((ProjectInfoTable[ProjectName]=ContinuousStatsTable[[#This Row],[ProjectName]]),(ProjectInfoTable[ProjectName]=ContinuousStatsTable[[#This Row],[ProjectName]])*ProjectInfoTable[ConfidenceInterval]))</f>
        <v>0.95</v>
      </c>
      <c r="R3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348" s="5">
        <f t="array" ref="S348">MIN(IF((ContinuousStatsTable[GroupByKey]=ContinuousStatsTable[[#This Row],[GroupByKey]]),(ContinuousStatsTable[GroupByKey]=ContinuousStatsTable[[#This Row],[GroupByKey]])*ContinuousStatsTable[Average]))</f>
        <v>1</v>
      </c>
      <c r="T348" s="5">
        <f t="array" ref="T348">MAX(IF((ContinuousStatsTable[GroupByKey]=ContinuousStatsTable[[#This Row],[GroupByKey]]),(ContinuousStatsTable[GroupByKey]=ContinuousStatsTable[[#This Row],[GroupByKey]])*ContinuousStatsTable[Average]))</f>
        <v>2</v>
      </c>
      <c r="U348" s="5">
        <f>IF((ContinuousStatsTable[[#This Row],[RepsRequested]]&gt;1),ContinuousStatsTable[[#This Row],[HalfWidth]],ContinuousStatsTable[[#This Row],[BatchMeansHalfWidth]])</f>
        <v>0.13376733135491528</v>
      </c>
    </row>
    <row r="349" spans="1:21" x14ac:dyDescent="0.25">
      <c r="A349" t="s">
        <v>67</v>
      </c>
      <c r="B349" t="s">
        <v>70</v>
      </c>
      <c r="C349">
        <v>8</v>
      </c>
      <c r="D349" t="s">
        <v>90</v>
      </c>
      <c r="E349" t="s">
        <v>72</v>
      </c>
      <c r="F349" t="s">
        <v>73</v>
      </c>
      <c r="G349">
        <v>0</v>
      </c>
      <c r="H349">
        <v>2E+20</v>
      </c>
      <c r="I349">
        <v>0</v>
      </c>
      <c r="J349">
        <v>0</v>
      </c>
      <c r="K349">
        <v>0</v>
      </c>
      <c r="L349">
        <v>0</v>
      </c>
      <c r="M349" s="5" t="str">
        <f>ContinuousStatsTable[[#This Row],[ProjectName]]&amp;ContinuousStatsTable[[#This Row],[Name]]&amp;ContinuousStatsTable[[#This Row],[Type]]&amp;ContinuousStatsTable[[#This Row],[Source]]</f>
        <v>Unnamed ProjectsandblastmachineInstantaneous UtilizationResource</v>
      </c>
      <c r="N349" s="5">
        <f t="array" ref="N349">MAX(IF((ProjectInfoTable[ProjectName]=ContinuousStatsTable[[#This Row],[ProjectName]]),(ProjectInfoTable[ProjectName]=ContinuousStatsTable[[#This Row],[ProjectName]])*ProjectInfoTable[NumberOfReplications]))</f>
        <v>15</v>
      </c>
      <c r="O349" s="5">
        <f t="array" ref="O349">IFERROR(AVERAGE(IF((ContinuousStatsTable[GroupByKey]=ContinuousStatsTable[[#This Row],[GroupByKey]]),(ContinuousStatsTable[GroupByKey]=ContinuousStatsTable[[#This Row],[GroupByKey]])*ContinuousStatsTable[Average])),0)</f>
        <v>0</v>
      </c>
      <c r="P349" s="5">
        <f t="array" ref="P349">IFERROR(_xlfn.STDEV.S(IF((ContinuousStatsTable[GroupByKey]=ContinuousStatsTable[[#This Row],[GroupByKey]]),(ContinuousStatsTable[GroupByKey]=ContinuousStatsTable[[#This Row],[GroupByKey]])*ContinuousStatsTable[Average])),0)</f>
        <v>0</v>
      </c>
      <c r="Q349" s="5">
        <f t="array" ref="Q349">MAX(IF((ProjectInfoTable[ProjectName]=ContinuousStatsTable[[#This Row],[ProjectName]]),(ProjectInfoTable[ProjectName]=ContinuousStatsTable[[#This Row],[ProjectName]])*ProjectInfoTable[ConfidenceInterval]))</f>
        <v>0.95</v>
      </c>
      <c r="R3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9" s="5">
        <f t="array" ref="S349">MIN(IF((ContinuousStatsTable[GroupByKey]=ContinuousStatsTable[[#This Row],[GroupByKey]]),(ContinuousStatsTable[GroupByKey]=ContinuousStatsTable[[#This Row],[GroupByKey]])*ContinuousStatsTable[Average]))</f>
        <v>0</v>
      </c>
      <c r="T349" s="5">
        <f t="array" ref="T349">MAX(IF((ContinuousStatsTable[GroupByKey]=ContinuousStatsTable[[#This Row],[GroupByKey]]),(ContinuousStatsTable[GroupByKey]=ContinuousStatsTable[[#This Row],[GroupByKey]])*ContinuousStatsTable[Average]))</f>
        <v>0</v>
      </c>
      <c r="U349" s="5">
        <f>IF((ContinuousStatsTable[[#This Row],[RepsRequested]]&gt;1),ContinuousStatsTable[[#This Row],[HalfWidth]],ContinuousStatsTable[[#This Row],[BatchMeansHalfWidth]])</f>
        <v>0</v>
      </c>
    </row>
    <row r="350" spans="1:21" x14ac:dyDescent="0.25">
      <c r="A350" t="s">
        <v>67</v>
      </c>
      <c r="B350" t="s">
        <v>70</v>
      </c>
      <c r="C350">
        <v>8</v>
      </c>
      <c r="D350" t="s">
        <v>90</v>
      </c>
      <c r="E350" t="s">
        <v>74</v>
      </c>
      <c r="F350" t="s">
        <v>73</v>
      </c>
      <c r="G350">
        <v>0</v>
      </c>
      <c r="H350">
        <v>2E+20</v>
      </c>
      <c r="I350">
        <v>0</v>
      </c>
      <c r="J350">
        <v>0</v>
      </c>
      <c r="K350">
        <v>0</v>
      </c>
      <c r="L350">
        <v>0</v>
      </c>
      <c r="M350" s="5" t="str">
        <f>ContinuousStatsTable[[#This Row],[ProjectName]]&amp;ContinuousStatsTable[[#This Row],[Name]]&amp;ContinuousStatsTable[[#This Row],[Type]]&amp;ContinuousStatsTable[[#This Row],[Source]]</f>
        <v>Unnamed ProjectsandblastmachineNumber BusyResource</v>
      </c>
      <c r="N350" s="5">
        <f t="array" ref="N350">MAX(IF((ProjectInfoTable[ProjectName]=ContinuousStatsTable[[#This Row],[ProjectName]]),(ProjectInfoTable[ProjectName]=ContinuousStatsTable[[#This Row],[ProjectName]])*ProjectInfoTable[NumberOfReplications]))</f>
        <v>15</v>
      </c>
      <c r="O350" s="5">
        <f t="array" ref="O350">IFERROR(AVERAGE(IF((ContinuousStatsTable[GroupByKey]=ContinuousStatsTable[[#This Row],[GroupByKey]]),(ContinuousStatsTable[GroupByKey]=ContinuousStatsTable[[#This Row],[GroupByKey]])*ContinuousStatsTable[Average])),0)</f>
        <v>0</v>
      </c>
      <c r="P350" s="5">
        <f t="array" ref="P350">IFERROR(_xlfn.STDEV.S(IF((ContinuousStatsTable[GroupByKey]=ContinuousStatsTable[[#This Row],[GroupByKey]]),(ContinuousStatsTable[GroupByKey]=ContinuousStatsTable[[#This Row],[GroupByKey]])*ContinuousStatsTable[Average])),0)</f>
        <v>0</v>
      </c>
      <c r="Q350" s="5">
        <f t="array" ref="Q350">MAX(IF((ProjectInfoTable[ProjectName]=ContinuousStatsTable[[#This Row],[ProjectName]]),(ProjectInfoTable[ProjectName]=ContinuousStatsTable[[#This Row],[ProjectName]])*ProjectInfoTable[ConfidenceInterval]))</f>
        <v>0.95</v>
      </c>
      <c r="R3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0" s="5">
        <f t="array" ref="S350">MIN(IF((ContinuousStatsTable[GroupByKey]=ContinuousStatsTable[[#This Row],[GroupByKey]]),(ContinuousStatsTable[GroupByKey]=ContinuousStatsTable[[#This Row],[GroupByKey]])*ContinuousStatsTable[Average]))</f>
        <v>0</v>
      </c>
      <c r="T350" s="5">
        <f t="array" ref="T350">MAX(IF((ContinuousStatsTable[GroupByKey]=ContinuousStatsTable[[#This Row],[GroupByKey]]),(ContinuousStatsTable[GroupByKey]=ContinuousStatsTable[[#This Row],[GroupByKey]])*ContinuousStatsTable[Average]))</f>
        <v>0</v>
      </c>
      <c r="U350" s="5">
        <f>IF((ContinuousStatsTable[[#This Row],[RepsRequested]]&gt;1),ContinuousStatsTable[[#This Row],[HalfWidth]],ContinuousStatsTable[[#This Row],[BatchMeansHalfWidth]])</f>
        <v>0</v>
      </c>
    </row>
    <row r="351" spans="1:21" x14ac:dyDescent="0.25">
      <c r="A351" t="s">
        <v>67</v>
      </c>
      <c r="B351" t="s">
        <v>70</v>
      </c>
      <c r="C351">
        <v>8</v>
      </c>
      <c r="D351" t="s">
        <v>90</v>
      </c>
      <c r="E351" t="s">
        <v>75</v>
      </c>
      <c r="F351" t="s">
        <v>73</v>
      </c>
      <c r="G351">
        <v>1</v>
      </c>
      <c r="H351">
        <v>2E+20</v>
      </c>
      <c r="I351">
        <v>1</v>
      </c>
      <c r="J351">
        <v>1</v>
      </c>
      <c r="K351">
        <v>1</v>
      </c>
      <c r="L351">
        <v>0</v>
      </c>
      <c r="M351" s="5" t="str">
        <f>ContinuousStatsTable[[#This Row],[ProjectName]]&amp;ContinuousStatsTable[[#This Row],[Name]]&amp;ContinuousStatsTable[[#This Row],[Type]]&amp;ContinuousStatsTable[[#This Row],[Source]]</f>
        <v>Unnamed ProjectsandblastmachineNumber ScheduledResource</v>
      </c>
      <c r="N351" s="5">
        <f t="array" ref="N351">MAX(IF((ProjectInfoTable[ProjectName]=ContinuousStatsTable[[#This Row],[ProjectName]]),(ProjectInfoTable[ProjectName]=ContinuousStatsTable[[#This Row],[ProjectName]])*ProjectInfoTable[NumberOfReplications]))</f>
        <v>15</v>
      </c>
      <c r="O351" s="5">
        <f t="array" ref="O351">IFERROR(AVERAGE(IF((ContinuousStatsTable[GroupByKey]=ContinuousStatsTable[[#This Row],[GroupByKey]]),(ContinuousStatsTable[GroupByKey]=ContinuousStatsTable[[#This Row],[GroupByKey]])*ContinuousStatsTable[Average])),0)</f>
        <v>1</v>
      </c>
      <c r="P351" s="5">
        <f t="array" ref="P351">IFERROR(_xlfn.STDEV.S(IF((ContinuousStatsTable[GroupByKey]=ContinuousStatsTable[[#This Row],[GroupByKey]]),(ContinuousStatsTable[GroupByKey]=ContinuousStatsTable[[#This Row],[GroupByKey]])*ContinuousStatsTable[Average])),0)</f>
        <v>0</v>
      </c>
      <c r="Q351" s="5">
        <f t="array" ref="Q351">MAX(IF((ProjectInfoTable[ProjectName]=ContinuousStatsTable[[#This Row],[ProjectName]]),(ProjectInfoTable[ProjectName]=ContinuousStatsTable[[#This Row],[ProjectName]])*ProjectInfoTable[ConfidenceInterval]))</f>
        <v>0.95</v>
      </c>
      <c r="R3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1" s="5">
        <f t="array" ref="S351">MIN(IF((ContinuousStatsTable[GroupByKey]=ContinuousStatsTable[[#This Row],[GroupByKey]]),(ContinuousStatsTable[GroupByKey]=ContinuousStatsTable[[#This Row],[GroupByKey]])*ContinuousStatsTable[Average]))</f>
        <v>1</v>
      </c>
      <c r="T351" s="5">
        <f t="array" ref="T351">MAX(IF((ContinuousStatsTable[GroupByKey]=ContinuousStatsTable[[#This Row],[GroupByKey]]),(ContinuousStatsTable[GroupByKey]=ContinuousStatsTable[[#This Row],[GroupByKey]])*ContinuousStatsTable[Average]))</f>
        <v>1</v>
      </c>
      <c r="U351" s="5">
        <f>IF((ContinuousStatsTable[[#This Row],[RepsRequested]]&gt;1),ContinuousStatsTable[[#This Row],[HalfWidth]],ContinuousStatsTable[[#This Row],[BatchMeansHalfWidth]])</f>
        <v>0</v>
      </c>
    </row>
    <row r="352" spans="1:21" x14ac:dyDescent="0.25">
      <c r="A352" t="s">
        <v>67</v>
      </c>
      <c r="B352" t="s">
        <v>70</v>
      </c>
      <c r="C352">
        <v>8</v>
      </c>
      <c r="D352" t="s">
        <v>91</v>
      </c>
      <c r="E352" t="s">
        <v>72</v>
      </c>
      <c r="F352" t="s">
        <v>73</v>
      </c>
      <c r="G352">
        <v>0</v>
      </c>
      <c r="H352">
        <v>2E+20</v>
      </c>
      <c r="I352">
        <v>0</v>
      </c>
      <c r="J352">
        <v>0</v>
      </c>
      <c r="K352">
        <v>0</v>
      </c>
      <c r="L352">
        <v>0</v>
      </c>
      <c r="M352" s="5" t="str">
        <f>ContinuousStatsTable[[#This Row],[ProjectName]]&amp;ContinuousStatsTable[[#This Row],[Name]]&amp;ContinuousStatsTable[[#This Row],[Type]]&amp;ContinuousStatsTable[[#This Row],[Source]]</f>
        <v>Unnamed ProjectsandblastoperatorInstantaneous UtilizationResource</v>
      </c>
      <c r="N352" s="5">
        <f t="array" ref="N352">MAX(IF((ProjectInfoTable[ProjectName]=ContinuousStatsTable[[#This Row],[ProjectName]]),(ProjectInfoTable[ProjectName]=ContinuousStatsTable[[#This Row],[ProjectName]])*ProjectInfoTable[NumberOfReplications]))</f>
        <v>15</v>
      </c>
      <c r="O352" s="5">
        <f t="array" ref="O352">IFERROR(AVERAGE(IF((ContinuousStatsTable[GroupByKey]=ContinuousStatsTable[[#This Row],[GroupByKey]]),(ContinuousStatsTable[GroupByKey]=ContinuousStatsTable[[#This Row],[GroupByKey]])*ContinuousStatsTable[Average])),0)</f>
        <v>0</v>
      </c>
      <c r="P352" s="5">
        <f t="array" ref="P352">IFERROR(_xlfn.STDEV.S(IF((ContinuousStatsTable[GroupByKey]=ContinuousStatsTable[[#This Row],[GroupByKey]]),(ContinuousStatsTable[GroupByKey]=ContinuousStatsTable[[#This Row],[GroupByKey]])*ContinuousStatsTable[Average])),0)</f>
        <v>0</v>
      </c>
      <c r="Q352" s="5">
        <f t="array" ref="Q352">MAX(IF((ProjectInfoTable[ProjectName]=ContinuousStatsTable[[#This Row],[ProjectName]]),(ProjectInfoTable[ProjectName]=ContinuousStatsTable[[#This Row],[ProjectName]])*ProjectInfoTable[ConfidenceInterval]))</f>
        <v>0.95</v>
      </c>
      <c r="R3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2" s="5">
        <f t="array" ref="S352">MIN(IF((ContinuousStatsTable[GroupByKey]=ContinuousStatsTable[[#This Row],[GroupByKey]]),(ContinuousStatsTable[GroupByKey]=ContinuousStatsTable[[#This Row],[GroupByKey]])*ContinuousStatsTable[Average]))</f>
        <v>0</v>
      </c>
      <c r="T352" s="5">
        <f t="array" ref="T352">MAX(IF((ContinuousStatsTable[GroupByKey]=ContinuousStatsTable[[#This Row],[GroupByKey]]),(ContinuousStatsTable[GroupByKey]=ContinuousStatsTable[[#This Row],[GroupByKey]])*ContinuousStatsTable[Average]))</f>
        <v>0</v>
      </c>
      <c r="U352" s="5">
        <f>IF((ContinuousStatsTable[[#This Row],[RepsRequested]]&gt;1),ContinuousStatsTable[[#This Row],[HalfWidth]],ContinuousStatsTable[[#This Row],[BatchMeansHalfWidth]])</f>
        <v>0</v>
      </c>
    </row>
    <row r="353" spans="1:21" x14ac:dyDescent="0.25">
      <c r="A353" t="s">
        <v>67</v>
      </c>
      <c r="B353" t="s">
        <v>70</v>
      </c>
      <c r="C353">
        <v>8</v>
      </c>
      <c r="D353" t="s">
        <v>91</v>
      </c>
      <c r="E353" t="s">
        <v>74</v>
      </c>
      <c r="F353" t="s">
        <v>73</v>
      </c>
      <c r="G353">
        <v>0</v>
      </c>
      <c r="H353">
        <v>2E+20</v>
      </c>
      <c r="I353">
        <v>0</v>
      </c>
      <c r="J353">
        <v>0</v>
      </c>
      <c r="K353">
        <v>0</v>
      </c>
      <c r="L353">
        <v>0</v>
      </c>
      <c r="M353" s="5" t="str">
        <f>ContinuousStatsTable[[#This Row],[ProjectName]]&amp;ContinuousStatsTable[[#This Row],[Name]]&amp;ContinuousStatsTable[[#This Row],[Type]]&amp;ContinuousStatsTable[[#This Row],[Source]]</f>
        <v>Unnamed ProjectsandblastoperatorNumber BusyResource</v>
      </c>
      <c r="N353" s="5">
        <f t="array" ref="N353">MAX(IF((ProjectInfoTable[ProjectName]=ContinuousStatsTable[[#This Row],[ProjectName]]),(ProjectInfoTable[ProjectName]=ContinuousStatsTable[[#This Row],[ProjectName]])*ProjectInfoTable[NumberOfReplications]))</f>
        <v>15</v>
      </c>
      <c r="O353" s="5">
        <f t="array" ref="O353">IFERROR(AVERAGE(IF((ContinuousStatsTable[GroupByKey]=ContinuousStatsTable[[#This Row],[GroupByKey]]),(ContinuousStatsTable[GroupByKey]=ContinuousStatsTable[[#This Row],[GroupByKey]])*ContinuousStatsTable[Average])),0)</f>
        <v>0</v>
      </c>
      <c r="P353" s="5">
        <f t="array" ref="P353">IFERROR(_xlfn.STDEV.S(IF((ContinuousStatsTable[GroupByKey]=ContinuousStatsTable[[#This Row],[GroupByKey]]),(ContinuousStatsTable[GroupByKey]=ContinuousStatsTable[[#This Row],[GroupByKey]])*ContinuousStatsTable[Average])),0)</f>
        <v>0</v>
      </c>
      <c r="Q353" s="5">
        <f t="array" ref="Q353">MAX(IF((ProjectInfoTable[ProjectName]=ContinuousStatsTable[[#This Row],[ProjectName]]),(ProjectInfoTable[ProjectName]=ContinuousStatsTable[[#This Row],[ProjectName]])*ProjectInfoTable[ConfidenceInterval]))</f>
        <v>0.95</v>
      </c>
      <c r="R3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3" s="5">
        <f t="array" ref="S353">MIN(IF((ContinuousStatsTable[GroupByKey]=ContinuousStatsTable[[#This Row],[GroupByKey]]),(ContinuousStatsTable[GroupByKey]=ContinuousStatsTable[[#This Row],[GroupByKey]])*ContinuousStatsTable[Average]))</f>
        <v>0</v>
      </c>
      <c r="T353" s="5">
        <f t="array" ref="T353">MAX(IF((ContinuousStatsTable[GroupByKey]=ContinuousStatsTable[[#This Row],[GroupByKey]]),(ContinuousStatsTable[GroupByKey]=ContinuousStatsTable[[#This Row],[GroupByKey]])*ContinuousStatsTable[Average]))</f>
        <v>0</v>
      </c>
      <c r="U353" s="5">
        <f>IF((ContinuousStatsTable[[#This Row],[RepsRequested]]&gt;1),ContinuousStatsTable[[#This Row],[HalfWidth]],ContinuousStatsTable[[#This Row],[BatchMeansHalfWidth]])</f>
        <v>0</v>
      </c>
    </row>
    <row r="354" spans="1:21" x14ac:dyDescent="0.25">
      <c r="A354" t="s">
        <v>67</v>
      </c>
      <c r="B354" t="s">
        <v>70</v>
      </c>
      <c r="C354">
        <v>8</v>
      </c>
      <c r="D354" t="s">
        <v>91</v>
      </c>
      <c r="E354" t="s">
        <v>75</v>
      </c>
      <c r="F354" t="s">
        <v>73</v>
      </c>
      <c r="G354">
        <v>1</v>
      </c>
      <c r="H354">
        <v>2E+20</v>
      </c>
      <c r="I354">
        <v>1</v>
      </c>
      <c r="J354">
        <v>1</v>
      </c>
      <c r="K354">
        <v>1</v>
      </c>
      <c r="L354">
        <v>0</v>
      </c>
      <c r="M354" s="5" t="str">
        <f>ContinuousStatsTable[[#This Row],[ProjectName]]&amp;ContinuousStatsTable[[#This Row],[Name]]&amp;ContinuousStatsTable[[#This Row],[Type]]&amp;ContinuousStatsTable[[#This Row],[Source]]</f>
        <v>Unnamed ProjectsandblastoperatorNumber ScheduledResource</v>
      </c>
      <c r="N354" s="5">
        <f t="array" ref="N354">MAX(IF((ProjectInfoTable[ProjectName]=ContinuousStatsTable[[#This Row],[ProjectName]]),(ProjectInfoTable[ProjectName]=ContinuousStatsTable[[#This Row],[ProjectName]])*ProjectInfoTable[NumberOfReplications]))</f>
        <v>15</v>
      </c>
      <c r="O354" s="5">
        <f t="array" ref="O354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354" s="5">
        <f t="array" ref="P354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354" s="5">
        <f t="array" ref="Q354">MAX(IF((ProjectInfoTable[ProjectName]=ContinuousStatsTable[[#This Row],[ProjectName]]),(ProjectInfoTable[ProjectName]=ContinuousStatsTable[[#This Row],[ProjectName]])*ProjectInfoTable[ConfidenceInterval]))</f>
        <v>0.95</v>
      </c>
      <c r="R3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354" s="5">
        <f t="array" ref="S354">MIN(IF((ContinuousStatsTable[GroupByKey]=ContinuousStatsTable[[#This Row],[GroupByKey]]),(ContinuousStatsTable[GroupByKey]=ContinuousStatsTable[[#This Row],[GroupByKey]])*ContinuousStatsTable[Average]))</f>
        <v>1</v>
      </c>
      <c r="T354" s="5">
        <f t="array" ref="T354">MAX(IF((ContinuousStatsTable[GroupByKey]=ContinuousStatsTable[[#This Row],[GroupByKey]]),(ContinuousStatsTable[GroupByKey]=ContinuousStatsTable[[#This Row],[GroupByKey]])*ContinuousStatsTable[Average]))</f>
        <v>2</v>
      </c>
      <c r="U354" s="5">
        <f>IF((ContinuousStatsTable[[#This Row],[RepsRequested]]&gt;1),ContinuousStatsTable[[#This Row],[HalfWidth]],ContinuousStatsTable[[#This Row],[BatchMeansHalfWidth]])</f>
        <v>0.13376733135491528</v>
      </c>
    </row>
    <row r="355" spans="1:21" x14ac:dyDescent="0.25">
      <c r="A355" t="s">
        <v>67</v>
      </c>
      <c r="B355" t="s">
        <v>70</v>
      </c>
      <c r="C355">
        <v>8</v>
      </c>
      <c r="D355" t="s">
        <v>92</v>
      </c>
      <c r="E355" t="s">
        <v>84</v>
      </c>
      <c r="F355" t="s">
        <v>85</v>
      </c>
      <c r="G355">
        <v>0</v>
      </c>
      <c r="H355">
        <v>2E+20</v>
      </c>
      <c r="I355">
        <v>0</v>
      </c>
      <c r="J355">
        <v>0</v>
      </c>
      <c r="K355">
        <v>0</v>
      </c>
      <c r="L355">
        <v>0</v>
      </c>
      <c r="M355" s="5" t="str">
        <f>ContinuousStatsTable[[#This Row],[ProjectName]]&amp;ContinuousStatsTable[[#This Row],[Name]]&amp;ContinuousStatsTable[[#This Row],[Type]]&amp;ContinuousStatsTable[[#This Row],[Source]]</f>
        <v>Unnamed Projectseize_assembler.QueueNumber WaitingQueue</v>
      </c>
      <c r="N355" s="5">
        <f t="array" ref="N355">MAX(IF((ProjectInfoTable[ProjectName]=ContinuousStatsTable[[#This Row],[ProjectName]]),(ProjectInfoTable[ProjectName]=ContinuousStatsTable[[#This Row],[ProjectName]])*ProjectInfoTable[NumberOfReplications]))</f>
        <v>15</v>
      </c>
      <c r="O355" s="5">
        <f t="array" ref="O355">IFERROR(AVERAGE(IF((ContinuousStatsTable[GroupByKey]=ContinuousStatsTable[[#This Row],[GroupByKey]]),(ContinuousStatsTable[GroupByKey]=ContinuousStatsTable[[#This Row],[GroupByKey]])*ContinuousStatsTable[Average])),0)</f>
        <v>0</v>
      </c>
      <c r="P355" s="5">
        <f t="array" ref="P355">IFERROR(_xlfn.STDEV.S(IF((ContinuousStatsTable[GroupByKey]=ContinuousStatsTable[[#This Row],[GroupByKey]]),(ContinuousStatsTable[GroupByKey]=ContinuousStatsTable[[#This Row],[GroupByKey]])*ContinuousStatsTable[Average])),0)</f>
        <v>0</v>
      </c>
      <c r="Q355" s="5">
        <f t="array" ref="Q355">MAX(IF((ProjectInfoTable[ProjectName]=ContinuousStatsTable[[#This Row],[ProjectName]]),(ProjectInfoTable[ProjectName]=ContinuousStatsTable[[#This Row],[ProjectName]])*ProjectInfoTable[ConfidenceInterval]))</f>
        <v>0.95</v>
      </c>
      <c r="R3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5" s="5">
        <f t="array" ref="S355">MIN(IF((ContinuousStatsTable[GroupByKey]=ContinuousStatsTable[[#This Row],[GroupByKey]]),(ContinuousStatsTable[GroupByKey]=ContinuousStatsTable[[#This Row],[GroupByKey]])*ContinuousStatsTable[Average]))</f>
        <v>0</v>
      </c>
      <c r="T355" s="5">
        <f t="array" ref="T355">MAX(IF((ContinuousStatsTable[GroupByKey]=ContinuousStatsTable[[#This Row],[GroupByKey]]),(ContinuousStatsTable[GroupByKey]=ContinuousStatsTable[[#This Row],[GroupByKey]])*ContinuousStatsTable[Average]))</f>
        <v>0</v>
      </c>
      <c r="U355" s="5">
        <f>IF((ContinuousStatsTable[[#This Row],[RepsRequested]]&gt;1),ContinuousStatsTable[[#This Row],[HalfWidth]],ContinuousStatsTable[[#This Row],[BatchMeansHalfWidth]])</f>
        <v>0</v>
      </c>
    </row>
    <row r="356" spans="1:21" x14ac:dyDescent="0.25">
      <c r="A356" t="s">
        <v>67</v>
      </c>
      <c r="B356" t="s">
        <v>70</v>
      </c>
      <c r="C356">
        <v>8</v>
      </c>
      <c r="D356" t="s">
        <v>93</v>
      </c>
      <c r="E356" t="s">
        <v>84</v>
      </c>
      <c r="F356" t="s">
        <v>85</v>
      </c>
      <c r="G356">
        <v>0</v>
      </c>
      <c r="H356">
        <v>2E+20</v>
      </c>
      <c r="I356">
        <v>0</v>
      </c>
      <c r="J356">
        <v>0</v>
      </c>
      <c r="K356">
        <v>0</v>
      </c>
      <c r="L356">
        <v>0</v>
      </c>
      <c r="M356" s="5" t="str">
        <f>ContinuousStatsTable[[#This Row],[ProjectName]]&amp;ContinuousStatsTable[[#This Row],[Name]]&amp;ContinuousStatsTable[[#This Row],[Type]]&amp;ContinuousStatsTable[[#This Row],[Source]]</f>
        <v>Unnamed Projectseize_cutter.QueueNumber WaitingQueue</v>
      </c>
      <c r="N356" s="5">
        <f t="array" ref="N356">MAX(IF((ProjectInfoTable[ProjectName]=ContinuousStatsTable[[#This Row],[ProjectName]]),(ProjectInfoTable[ProjectName]=ContinuousStatsTable[[#This Row],[ProjectName]])*ProjectInfoTable[NumberOfReplications]))</f>
        <v>15</v>
      </c>
      <c r="O356" s="5">
        <f t="array" ref="O356">IFERROR(AVERAGE(IF((ContinuousStatsTable[GroupByKey]=ContinuousStatsTable[[#This Row],[GroupByKey]]),(ContinuousStatsTable[GroupByKey]=ContinuousStatsTable[[#This Row],[GroupByKey]])*ContinuousStatsTable[Average])),0)</f>
        <v>0</v>
      </c>
      <c r="P356" s="5">
        <f t="array" ref="P356">IFERROR(_xlfn.STDEV.S(IF((ContinuousStatsTable[GroupByKey]=ContinuousStatsTable[[#This Row],[GroupByKey]]),(ContinuousStatsTable[GroupByKey]=ContinuousStatsTable[[#This Row],[GroupByKey]])*ContinuousStatsTable[Average])),0)</f>
        <v>0</v>
      </c>
      <c r="Q356" s="5">
        <f t="array" ref="Q356">MAX(IF((ProjectInfoTable[ProjectName]=ContinuousStatsTable[[#This Row],[ProjectName]]),(ProjectInfoTable[ProjectName]=ContinuousStatsTable[[#This Row],[ProjectName]])*ProjectInfoTable[ConfidenceInterval]))</f>
        <v>0.95</v>
      </c>
      <c r="R3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6" s="5">
        <f t="array" ref="S356">MIN(IF((ContinuousStatsTable[GroupByKey]=ContinuousStatsTable[[#This Row],[GroupByKey]]),(ContinuousStatsTable[GroupByKey]=ContinuousStatsTable[[#This Row],[GroupByKey]])*ContinuousStatsTable[Average]))</f>
        <v>0</v>
      </c>
      <c r="T356" s="5">
        <f t="array" ref="T356">MAX(IF((ContinuousStatsTable[GroupByKey]=ContinuousStatsTable[[#This Row],[GroupByKey]]),(ContinuousStatsTable[GroupByKey]=ContinuousStatsTable[[#This Row],[GroupByKey]])*ContinuousStatsTable[Average]))</f>
        <v>0</v>
      </c>
      <c r="U356" s="5">
        <f>IF((ContinuousStatsTable[[#This Row],[RepsRequested]]&gt;1),ContinuousStatsTable[[#This Row],[HalfWidth]],ContinuousStatsTable[[#This Row],[BatchMeansHalfWidth]])</f>
        <v>0</v>
      </c>
    </row>
    <row r="357" spans="1:21" x14ac:dyDescent="0.25">
      <c r="A357" t="s">
        <v>67</v>
      </c>
      <c r="B357" t="s">
        <v>70</v>
      </c>
      <c r="C357">
        <v>8</v>
      </c>
      <c r="D357" t="s">
        <v>94</v>
      </c>
      <c r="E357" t="s">
        <v>84</v>
      </c>
      <c r="F357" t="s">
        <v>85</v>
      </c>
      <c r="G357">
        <v>0</v>
      </c>
      <c r="H357">
        <v>2E+20</v>
      </c>
      <c r="I357">
        <v>0</v>
      </c>
      <c r="J357">
        <v>0</v>
      </c>
      <c r="K357">
        <v>0</v>
      </c>
      <c r="L357">
        <v>0</v>
      </c>
      <c r="M357" s="5" t="str">
        <f>ContinuousStatsTable[[#This Row],[ProjectName]]&amp;ContinuousStatsTable[[#This Row],[Name]]&amp;ContinuousStatsTable[[#This Row],[Type]]&amp;ContinuousStatsTable[[#This Row],[Source]]</f>
        <v>Unnamed Projectseizeassemblyqcman.QueueNumber WaitingQueue</v>
      </c>
      <c r="N357" s="5">
        <f t="array" ref="N357">MAX(IF((ProjectInfoTable[ProjectName]=ContinuousStatsTable[[#This Row],[ProjectName]]),(ProjectInfoTable[ProjectName]=ContinuousStatsTable[[#This Row],[ProjectName]])*ProjectInfoTable[NumberOfReplications]))</f>
        <v>15</v>
      </c>
      <c r="O357" s="5">
        <f t="array" ref="O357">IFERROR(AVERAGE(IF((ContinuousStatsTable[GroupByKey]=ContinuousStatsTable[[#This Row],[GroupByKey]]),(ContinuousStatsTable[GroupByKey]=ContinuousStatsTable[[#This Row],[GroupByKey]])*ContinuousStatsTable[Average])),0)</f>
        <v>0</v>
      </c>
      <c r="P357" s="5">
        <f t="array" ref="P357">IFERROR(_xlfn.STDEV.S(IF((ContinuousStatsTable[GroupByKey]=ContinuousStatsTable[[#This Row],[GroupByKey]]),(ContinuousStatsTable[GroupByKey]=ContinuousStatsTable[[#This Row],[GroupByKey]])*ContinuousStatsTable[Average])),0)</f>
        <v>0</v>
      </c>
      <c r="Q357" s="5">
        <f t="array" ref="Q357">MAX(IF((ProjectInfoTable[ProjectName]=ContinuousStatsTable[[#This Row],[ProjectName]]),(ProjectInfoTable[ProjectName]=ContinuousStatsTable[[#This Row],[ProjectName]])*ProjectInfoTable[ConfidenceInterval]))</f>
        <v>0.95</v>
      </c>
      <c r="R3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7" s="5">
        <f t="array" ref="S357">MIN(IF((ContinuousStatsTable[GroupByKey]=ContinuousStatsTable[[#This Row],[GroupByKey]]),(ContinuousStatsTable[GroupByKey]=ContinuousStatsTable[[#This Row],[GroupByKey]])*ContinuousStatsTable[Average]))</f>
        <v>0</v>
      </c>
      <c r="T357" s="5">
        <f t="array" ref="T357">MAX(IF((ContinuousStatsTable[GroupByKey]=ContinuousStatsTable[[#This Row],[GroupByKey]]),(ContinuousStatsTable[GroupByKey]=ContinuousStatsTable[[#This Row],[GroupByKey]])*ContinuousStatsTable[Average]))</f>
        <v>0</v>
      </c>
      <c r="U357" s="5">
        <f>IF((ContinuousStatsTable[[#This Row],[RepsRequested]]&gt;1),ContinuousStatsTable[[#This Row],[HalfWidth]],ContinuousStatsTable[[#This Row],[BatchMeansHalfWidth]])</f>
        <v>0</v>
      </c>
    </row>
    <row r="358" spans="1:21" x14ac:dyDescent="0.25">
      <c r="A358" t="s">
        <v>67</v>
      </c>
      <c r="B358" t="s">
        <v>70</v>
      </c>
      <c r="C358">
        <v>8</v>
      </c>
      <c r="D358" t="s">
        <v>95</v>
      </c>
      <c r="E358" t="s">
        <v>84</v>
      </c>
      <c r="F358" t="s">
        <v>85</v>
      </c>
      <c r="G358">
        <v>0</v>
      </c>
      <c r="H358">
        <v>2E+20</v>
      </c>
      <c r="I358">
        <v>0</v>
      </c>
      <c r="J358">
        <v>0</v>
      </c>
      <c r="K358">
        <v>0</v>
      </c>
      <c r="L358">
        <v>0</v>
      </c>
      <c r="M358" s="5" t="str">
        <f>ContinuousStatsTable[[#This Row],[ProjectName]]&amp;ContinuousStatsTable[[#This Row],[Name]]&amp;ContinuousStatsTable[[#This Row],[Type]]&amp;ContinuousStatsTable[[#This Row],[Source]]</f>
        <v>Unnamed Projectseizecleaner.QueueNumber WaitingQueue</v>
      </c>
      <c r="N358" s="5">
        <f t="array" ref="N358">MAX(IF((ProjectInfoTable[ProjectName]=ContinuousStatsTable[[#This Row],[ProjectName]]),(ProjectInfoTable[ProjectName]=ContinuousStatsTable[[#This Row],[ProjectName]])*ProjectInfoTable[NumberOfReplications]))</f>
        <v>15</v>
      </c>
      <c r="O358" s="5">
        <f t="array" ref="O358">IFERROR(AVERAGE(IF((ContinuousStatsTable[GroupByKey]=ContinuousStatsTable[[#This Row],[GroupByKey]]),(ContinuousStatsTable[GroupByKey]=ContinuousStatsTable[[#This Row],[GroupByKey]])*ContinuousStatsTable[Average])),0)</f>
        <v>0</v>
      </c>
      <c r="P358" s="5">
        <f t="array" ref="P358">IFERROR(_xlfn.STDEV.S(IF((ContinuousStatsTable[GroupByKey]=ContinuousStatsTable[[#This Row],[GroupByKey]]),(ContinuousStatsTable[GroupByKey]=ContinuousStatsTable[[#This Row],[GroupByKey]])*ContinuousStatsTable[Average])),0)</f>
        <v>0</v>
      </c>
      <c r="Q358" s="5">
        <f t="array" ref="Q358">MAX(IF((ProjectInfoTable[ProjectName]=ContinuousStatsTable[[#This Row],[ProjectName]]),(ProjectInfoTable[ProjectName]=ContinuousStatsTable[[#This Row],[ProjectName]])*ProjectInfoTable[ConfidenceInterval]))</f>
        <v>0.95</v>
      </c>
      <c r="R3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8" s="5">
        <f t="array" ref="S358">MIN(IF((ContinuousStatsTable[GroupByKey]=ContinuousStatsTable[[#This Row],[GroupByKey]]),(ContinuousStatsTable[GroupByKey]=ContinuousStatsTable[[#This Row],[GroupByKey]])*ContinuousStatsTable[Average]))</f>
        <v>0</v>
      </c>
      <c r="T358" s="5">
        <f t="array" ref="T358">MAX(IF((ContinuousStatsTable[GroupByKey]=ContinuousStatsTable[[#This Row],[GroupByKey]]),(ContinuousStatsTable[GroupByKey]=ContinuousStatsTable[[#This Row],[GroupByKey]])*ContinuousStatsTable[Average]))</f>
        <v>0</v>
      </c>
      <c r="U358" s="5">
        <f>IF((ContinuousStatsTable[[#This Row],[RepsRequested]]&gt;1),ContinuousStatsTable[[#This Row],[HalfWidth]],ContinuousStatsTable[[#This Row],[BatchMeansHalfWidth]])</f>
        <v>0</v>
      </c>
    </row>
    <row r="359" spans="1:21" x14ac:dyDescent="0.25">
      <c r="A359" t="s">
        <v>67</v>
      </c>
      <c r="B359" t="s">
        <v>70</v>
      </c>
      <c r="C359">
        <v>8</v>
      </c>
      <c r="D359" t="s">
        <v>96</v>
      </c>
      <c r="E359" t="s">
        <v>84</v>
      </c>
      <c r="F359" t="s">
        <v>85</v>
      </c>
      <c r="G359">
        <v>0</v>
      </c>
      <c r="H359">
        <v>2E+20</v>
      </c>
      <c r="I359">
        <v>0</v>
      </c>
      <c r="J359">
        <v>0</v>
      </c>
      <c r="K359">
        <v>0</v>
      </c>
      <c r="L359">
        <v>0</v>
      </c>
      <c r="M359" s="5" t="str">
        <f>ContinuousStatsTable[[#This Row],[ProjectName]]&amp;ContinuousStatsTable[[#This Row],[Name]]&amp;ContinuousStatsTable[[#This Row],[Type]]&amp;ContinuousStatsTable[[#This Row],[Source]]</f>
        <v>Unnamed Projectseizepainter.QueueNumber WaitingQueue</v>
      </c>
      <c r="N359" s="5">
        <f t="array" ref="N359">MAX(IF((ProjectInfoTable[ProjectName]=ContinuousStatsTable[[#This Row],[ProjectName]]),(ProjectInfoTable[ProjectName]=ContinuousStatsTable[[#This Row],[ProjectName]])*ProjectInfoTable[NumberOfReplications]))</f>
        <v>15</v>
      </c>
      <c r="O359" s="5">
        <f t="array" ref="O359">IFERROR(AVERAGE(IF((ContinuousStatsTable[GroupByKey]=ContinuousStatsTable[[#This Row],[GroupByKey]]),(ContinuousStatsTable[GroupByKey]=ContinuousStatsTable[[#This Row],[GroupByKey]])*ContinuousStatsTable[Average])),0)</f>
        <v>0</v>
      </c>
      <c r="P359" s="5">
        <f t="array" ref="P359">IFERROR(_xlfn.STDEV.S(IF((ContinuousStatsTable[GroupByKey]=ContinuousStatsTable[[#This Row],[GroupByKey]]),(ContinuousStatsTable[GroupByKey]=ContinuousStatsTable[[#This Row],[GroupByKey]])*ContinuousStatsTable[Average])),0)</f>
        <v>0</v>
      </c>
      <c r="Q359" s="5">
        <f t="array" ref="Q359">MAX(IF((ProjectInfoTable[ProjectName]=ContinuousStatsTable[[#This Row],[ProjectName]]),(ProjectInfoTable[ProjectName]=ContinuousStatsTable[[#This Row],[ProjectName]])*ProjectInfoTable[ConfidenceInterval]))</f>
        <v>0.95</v>
      </c>
      <c r="R3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9" s="5">
        <f t="array" ref="S359">MIN(IF((ContinuousStatsTable[GroupByKey]=ContinuousStatsTable[[#This Row],[GroupByKey]]),(ContinuousStatsTable[GroupByKey]=ContinuousStatsTable[[#This Row],[GroupByKey]])*ContinuousStatsTable[Average]))</f>
        <v>0</v>
      </c>
      <c r="T359" s="5">
        <f t="array" ref="T359">MAX(IF((ContinuousStatsTable[GroupByKey]=ContinuousStatsTable[[#This Row],[GroupByKey]]),(ContinuousStatsTable[GroupByKey]=ContinuousStatsTable[[#This Row],[GroupByKey]])*ContinuousStatsTable[Average]))</f>
        <v>0</v>
      </c>
      <c r="U359" s="5">
        <f>IF((ContinuousStatsTable[[#This Row],[RepsRequested]]&gt;1),ContinuousStatsTable[[#This Row],[HalfWidth]],ContinuousStatsTable[[#This Row],[BatchMeansHalfWidth]])</f>
        <v>0</v>
      </c>
    </row>
    <row r="360" spans="1:21" x14ac:dyDescent="0.25">
      <c r="A360" t="s">
        <v>67</v>
      </c>
      <c r="B360" t="s">
        <v>70</v>
      </c>
      <c r="C360">
        <v>8</v>
      </c>
      <c r="D360" t="s">
        <v>97</v>
      </c>
      <c r="E360" t="s">
        <v>84</v>
      </c>
      <c r="F360" t="s">
        <v>85</v>
      </c>
      <c r="G360">
        <v>0</v>
      </c>
      <c r="H360">
        <v>2E+20</v>
      </c>
      <c r="I360">
        <v>0</v>
      </c>
      <c r="J360">
        <v>0</v>
      </c>
      <c r="K360">
        <v>0</v>
      </c>
      <c r="L360">
        <v>0</v>
      </c>
      <c r="M360" s="5" t="str">
        <f>ContinuousStatsTable[[#This Row],[ProjectName]]&amp;ContinuousStatsTable[[#This Row],[Name]]&amp;ContinuousStatsTable[[#This Row],[Type]]&amp;ContinuousStatsTable[[#This Row],[Source]]</f>
        <v>Unnamed Projectseizeqcman.QueueNumber WaitingQueue</v>
      </c>
      <c r="N360" s="5">
        <f t="array" ref="N360">MAX(IF((ProjectInfoTable[ProjectName]=ContinuousStatsTable[[#This Row],[ProjectName]]),(ProjectInfoTable[ProjectName]=ContinuousStatsTable[[#This Row],[ProjectName]])*ProjectInfoTable[NumberOfReplications]))</f>
        <v>15</v>
      </c>
      <c r="O360" s="5">
        <f t="array" ref="O360">IFERROR(AVERAGE(IF((ContinuousStatsTable[GroupByKey]=ContinuousStatsTable[[#This Row],[GroupByKey]]),(ContinuousStatsTable[GroupByKey]=ContinuousStatsTable[[#This Row],[GroupByKey]])*ContinuousStatsTable[Average])),0)</f>
        <v>0</v>
      </c>
      <c r="P360" s="5">
        <f t="array" ref="P360">IFERROR(_xlfn.STDEV.S(IF((ContinuousStatsTable[GroupByKey]=ContinuousStatsTable[[#This Row],[GroupByKey]]),(ContinuousStatsTable[GroupByKey]=ContinuousStatsTable[[#This Row],[GroupByKey]])*ContinuousStatsTable[Average])),0)</f>
        <v>0</v>
      </c>
      <c r="Q360" s="5">
        <f t="array" ref="Q360">MAX(IF((ProjectInfoTable[ProjectName]=ContinuousStatsTable[[#This Row],[ProjectName]]),(ProjectInfoTable[ProjectName]=ContinuousStatsTable[[#This Row],[ProjectName]])*ProjectInfoTable[ConfidenceInterval]))</f>
        <v>0.95</v>
      </c>
      <c r="R3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0" s="5">
        <f t="array" ref="S360">MIN(IF((ContinuousStatsTable[GroupByKey]=ContinuousStatsTable[[#This Row],[GroupByKey]]),(ContinuousStatsTable[GroupByKey]=ContinuousStatsTable[[#This Row],[GroupByKey]])*ContinuousStatsTable[Average]))</f>
        <v>0</v>
      </c>
      <c r="T360" s="5">
        <f t="array" ref="T360">MAX(IF((ContinuousStatsTable[GroupByKey]=ContinuousStatsTable[[#This Row],[GroupByKey]]),(ContinuousStatsTable[GroupByKey]=ContinuousStatsTable[[#This Row],[GroupByKey]])*ContinuousStatsTable[Average]))</f>
        <v>0</v>
      </c>
      <c r="U360" s="5">
        <f>IF((ContinuousStatsTable[[#This Row],[RepsRequested]]&gt;1),ContinuousStatsTable[[#This Row],[HalfWidth]],ContinuousStatsTable[[#This Row],[BatchMeansHalfWidth]])</f>
        <v>0</v>
      </c>
    </row>
    <row r="361" spans="1:21" x14ac:dyDescent="0.25">
      <c r="A361" t="s">
        <v>67</v>
      </c>
      <c r="B361" t="s">
        <v>70</v>
      </c>
      <c r="C361">
        <v>8</v>
      </c>
      <c r="D361" t="s">
        <v>98</v>
      </c>
      <c r="E361" t="s">
        <v>84</v>
      </c>
      <c r="F361" t="s">
        <v>85</v>
      </c>
      <c r="G361">
        <v>0</v>
      </c>
      <c r="H361">
        <v>2E+20</v>
      </c>
      <c r="I361">
        <v>0</v>
      </c>
      <c r="J361">
        <v>0</v>
      </c>
      <c r="K361">
        <v>0</v>
      </c>
      <c r="L361">
        <v>0</v>
      </c>
      <c r="M361" s="5" t="str">
        <f>ContinuousStatsTable[[#This Row],[ProjectName]]&amp;ContinuousStatsTable[[#This Row],[Name]]&amp;ContinuousStatsTable[[#This Row],[Type]]&amp;ContinuousStatsTable[[#This Row],[Source]]</f>
        <v>Unnamed Projectseizesandblaster.QueueNumber WaitingQueue</v>
      </c>
      <c r="N361" s="5">
        <f t="array" ref="N361">MAX(IF((ProjectInfoTable[ProjectName]=ContinuousStatsTable[[#This Row],[ProjectName]]),(ProjectInfoTable[ProjectName]=ContinuousStatsTable[[#This Row],[ProjectName]])*ProjectInfoTable[NumberOfReplications]))</f>
        <v>15</v>
      </c>
      <c r="O361" s="5">
        <f t="array" ref="O361">IFERROR(AVERAGE(IF((ContinuousStatsTable[GroupByKey]=ContinuousStatsTable[[#This Row],[GroupByKey]]),(ContinuousStatsTable[GroupByKey]=ContinuousStatsTable[[#This Row],[GroupByKey]])*ContinuousStatsTable[Average])),0)</f>
        <v>0</v>
      </c>
      <c r="P361" s="5">
        <f t="array" ref="P361">IFERROR(_xlfn.STDEV.S(IF((ContinuousStatsTable[GroupByKey]=ContinuousStatsTable[[#This Row],[GroupByKey]]),(ContinuousStatsTable[GroupByKey]=ContinuousStatsTable[[#This Row],[GroupByKey]])*ContinuousStatsTable[Average])),0)</f>
        <v>0</v>
      </c>
      <c r="Q361" s="5">
        <f t="array" ref="Q361">MAX(IF((ProjectInfoTable[ProjectName]=ContinuousStatsTable[[#This Row],[ProjectName]]),(ProjectInfoTable[ProjectName]=ContinuousStatsTable[[#This Row],[ProjectName]])*ProjectInfoTable[ConfidenceInterval]))</f>
        <v>0.95</v>
      </c>
      <c r="R3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1" s="5">
        <f t="array" ref="S361">MIN(IF((ContinuousStatsTable[GroupByKey]=ContinuousStatsTable[[#This Row],[GroupByKey]]),(ContinuousStatsTable[GroupByKey]=ContinuousStatsTable[[#This Row],[GroupByKey]])*ContinuousStatsTable[Average]))</f>
        <v>0</v>
      </c>
      <c r="T361" s="5">
        <f t="array" ref="T361">MAX(IF((ContinuousStatsTable[GroupByKey]=ContinuousStatsTable[[#This Row],[GroupByKey]]),(ContinuousStatsTable[GroupByKey]=ContinuousStatsTable[[#This Row],[GroupByKey]])*ContinuousStatsTable[Average]))</f>
        <v>0</v>
      </c>
      <c r="U361" s="5">
        <f>IF((ContinuousStatsTable[[#This Row],[RepsRequested]]&gt;1),ContinuousStatsTable[[#This Row],[HalfWidth]],ContinuousStatsTable[[#This Row],[BatchMeansHalfWidth]])</f>
        <v>0</v>
      </c>
    </row>
    <row r="362" spans="1:21" x14ac:dyDescent="0.25">
      <c r="A362" t="s">
        <v>67</v>
      </c>
      <c r="B362" t="s">
        <v>70</v>
      </c>
      <c r="C362">
        <v>8</v>
      </c>
      <c r="D362" t="s">
        <v>99</v>
      </c>
      <c r="E362" t="s">
        <v>84</v>
      </c>
      <c r="F362" t="s">
        <v>85</v>
      </c>
      <c r="G362">
        <v>0</v>
      </c>
      <c r="H362">
        <v>2E+20</v>
      </c>
      <c r="I362">
        <v>0</v>
      </c>
      <c r="J362">
        <v>0</v>
      </c>
      <c r="K362">
        <v>0</v>
      </c>
      <c r="L362">
        <v>0</v>
      </c>
      <c r="M362" s="5" t="str">
        <f>ContinuousStatsTable[[#This Row],[ProjectName]]&amp;ContinuousStatsTable[[#This Row],[Name]]&amp;ContinuousStatsTable[[#This Row],[Type]]&amp;ContinuousStatsTable[[#This Row],[Source]]</f>
        <v>Unnamed Projectseizewelder.QueueNumber WaitingQueue</v>
      </c>
      <c r="N362" s="5">
        <f t="array" ref="N362">MAX(IF((ProjectInfoTable[ProjectName]=ContinuousStatsTable[[#This Row],[ProjectName]]),(ProjectInfoTable[ProjectName]=ContinuousStatsTable[[#This Row],[ProjectName]])*ProjectInfoTable[NumberOfReplications]))</f>
        <v>15</v>
      </c>
      <c r="O362" s="5">
        <f t="array" ref="O362">IFERROR(AVERAGE(IF((ContinuousStatsTable[GroupByKey]=ContinuousStatsTable[[#This Row],[GroupByKey]]),(ContinuousStatsTable[GroupByKey]=ContinuousStatsTable[[#This Row],[GroupByKey]])*ContinuousStatsTable[Average])),0)</f>
        <v>0</v>
      </c>
      <c r="P362" s="5">
        <f t="array" ref="P362">IFERROR(_xlfn.STDEV.S(IF((ContinuousStatsTable[GroupByKey]=ContinuousStatsTable[[#This Row],[GroupByKey]]),(ContinuousStatsTable[GroupByKey]=ContinuousStatsTable[[#This Row],[GroupByKey]])*ContinuousStatsTable[Average])),0)</f>
        <v>0</v>
      </c>
      <c r="Q362" s="5">
        <f t="array" ref="Q362">MAX(IF((ProjectInfoTable[ProjectName]=ContinuousStatsTable[[#This Row],[ProjectName]]),(ProjectInfoTable[ProjectName]=ContinuousStatsTable[[#This Row],[ProjectName]])*ProjectInfoTable[ConfidenceInterval]))</f>
        <v>0.95</v>
      </c>
      <c r="R3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2" s="5">
        <f t="array" ref="S362">MIN(IF((ContinuousStatsTable[GroupByKey]=ContinuousStatsTable[[#This Row],[GroupByKey]]),(ContinuousStatsTable[GroupByKey]=ContinuousStatsTable[[#This Row],[GroupByKey]])*ContinuousStatsTable[Average]))</f>
        <v>0</v>
      </c>
      <c r="T362" s="5">
        <f t="array" ref="T362">MAX(IF((ContinuousStatsTable[GroupByKey]=ContinuousStatsTable[[#This Row],[GroupByKey]]),(ContinuousStatsTable[GroupByKey]=ContinuousStatsTable[[#This Row],[GroupByKey]])*ContinuousStatsTable[Average]))</f>
        <v>0</v>
      </c>
      <c r="U362" s="5">
        <f>IF((ContinuousStatsTable[[#This Row],[RepsRequested]]&gt;1),ContinuousStatsTable[[#This Row],[HalfWidth]],ContinuousStatsTable[[#This Row],[BatchMeansHalfWidth]])</f>
        <v>0</v>
      </c>
    </row>
    <row r="363" spans="1:21" x14ac:dyDescent="0.25">
      <c r="A363" t="s">
        <v>67</v>
      </c>
      <c r="B363" t="s">
        <v>70</v>
      </c>
      <c r="C363">
        <v>8</v>
      </c>
      <c r="D363" t="s">
        <v>100</v>
      </c>
      <c r="E363" t="s">
        <v>78</v>
      </c>
      <c r="F363" t="s">
        <v>79</v>
      </c>
      <c r="G363">
        <v>0</v>
      </c>
      <c r="H363">
        <v>2E+20</v>
      </c>
      <c r="I363">
        <v>0</v>
      </c>
      <c r="J363">
        <v>0</v>
      </c>
      <c r="K363">
        <v>0</v>
      </c>
      <c r="L363">
        <v>0</v>
      </c>
      <c r="M363" s="5" t="str">
        <f>ContinuousStatsTable[[#This Row],[ProjectName]]&amp;ContinuousStatsTable[[#This Row],[Name]]&amp;ContinuousStatsTable[[#This Row],[Type]]&amp;ContinuousStatsTable[[#This Row],[Source]]</f>
        <v>Unnamed ProjectsteelsheetWIPEntity</v>
      </c>
      <c r="N363" s="5">
        <f t="array" ref="N363">MAX(IF((ProjectInfoTable[ProjectName]=ContinuousStatsTable[[#This Row],[ProjectName]]),(ProjectInfoTable[ProjectName]=ContinuousStatsTable[[#This Row],[ProjectName]])*ProjectInfoTable[NumberOfReplications]))</f>
        <v>15</v>
      </c>
      <c r="O363" s="5">
        <f t="array" ref="O363">IFERROR(AVERAGE(IF((ContinuousStatsTable[GroupByKey]=ContinuousStatsTable[[#This Row],[GroupByKey]]),(ContinuousStatsTable[GroupByKey]=ContinuousStatsTable[[#This Row],[GroupByKey]])*ContinuousStatsTable[Average])),0)</f>
        <v>6.1333333333333337</v>
      </c>
      <c r="P363" s="5">
        <f t="array" ref="P363">IFERROR(_xlfn.STDEV.S(IF((ContinuousStatsTable[GroupByKey]=ContinuousStatsTable[[#This Row],[GroupByKey]]),(ContinuousStatsTable[GroupByKey]=ContinuousStatsTable[[#This Row],[GroupByKey]])*ContinuousStatsTable[Average])),0)</f>
        <v>5.3166405433005028</v>
      </c>
      <c r="Q363" s="5">
        <f t="array" ref="Q363">MAX(IF((ProjectInfoTable[ProjectName]=ContinuousStatsTable[[#This Row],[ProjectName]]),(ProjectInfoTable[ProjectName]=ContinuousStatsTable[[#This Row],[ProjectName]])*ProjectInfoTable[ConfidenceInterval]))</f>
        <v>0.95</v>
      </c>
      <c r="R3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2.944257396015229</v>
      </c>
      <c r="S363" s="5">
        <f t="array" ref="S363">MIN(IF((ContinuousStatsTable[GroupByKey]=ContinuousStatsTable[[#This Row],[GroupByKey]]),(ContinuousStatsTable[GroupByKey]=ContinuousStatsTable[[#This Row],[GroupByKey]])*ContinuousStatsTable[Average]))</f>
        <v>0</v>
      </c>
      <c r="T363" s="5">
        <f t="array" ref="T363">MAX(IF((ContinuousStatsTable[GroupByKey]=ContinuousStatsTable[[#This Row],[GroupByKey]]),(ContinuousStatsTable[GroupByKey]=ContinuousStatsTable[[#This Row],[GroupByKey]])*ContinuousStatsTable[Average]))</f>
        <v>16</v>
      </c>
      <c r="U363" s="5">
        <f>IF((ContinuousStatsTable[[#This Row],[RepsRequested]]&gt;1),ContinuousStatsTable[[#This Row],[HalfWidth]],ContinuousStatsTable[[#This Row],[BatchMeansHalfWidth]])</f>
        <v>2.944257396015229</v>
      </c>
    </row>
    <row r="364" spans="1:21" x14ac:dyDescent="0.25">
      <c r="A364" t="s">
        <v>67</v>
      </c>
      <c r="B364" t="s">
        <v>70</v>
      </c>
      <c r="C364">
        <v>8</v>
      </c>
      <c r="D364" t="s">
        <v>101</v>
      </c>
      <c r="E364" t="s">
        <v>72</v>
      </c>
      <c r="F364" t="s">
        <v>73</v>
      </c>
      <c r="G364">
        <v>0</v>
      </c>
      <c r="H364">
        <v>2E+20</v>
      </c>
      <c r="I364">
        <v>0</v>
      </c>
      <c r="J364">
        <v>0</v>
      </c>
      <c r="K364">
        <v>0</v>
      </c>
      <c r="L364">
        <v>0</v>
      </c>
      <c r="M364" s="5" t="str">
        <f>ContinuousStatsTable[[#This Row],[ProjectName]]&amp;ContinuousStatsTable[[#This Row],[Name]]&amp;ContinuousStatsTable[[#This Row],[Type]]&amp;ContinuousStatsTable[[#This Row],[Source]]</f>
        <v>Unnamed ProjectwelderInstantaneous UtilizationResource</v>
      </c>
      <c r="N364" s="5">
        <f t="array" ref="N364">MAX(IF((ProjectInfoTable[ProjectName]=ContinuousStatsTable[[#This Row],[ProjectName]]),(ProjectInfoTable[ProjectName]=ContinuousStatsTable[[#This Row],[ProjectName]])*ProjectInfoTable[NumberOfReplications]))</f>
        <v>15</v>
      </c>
      <c r="O364" s="5">
        <f t="array" ref="O364">IFERROR(AVERAGE(IF((ContinuousStatsTable[GroupByKey]=ContinuousStatsTable[[#This Row],[GroupByKey]]),(ContinuousStatsTable[GroupByKey]=ContinuousStatsTable[[#This Row],[GroupByKey]])*ContinuousStatsTable[Average])),0)</f>
        <v>0</v>
      </c>
      <c r="P364" s="5">
        <f t="array" ref="P364">IFERROR(_xlfn.STDEV.S(IF((ContinuousStatsTable[GroupByKey]=ContinuousStatsTable[[#This Row],[GroupByKey]]),(ContinuousStatsTable[GroupByKey]=ContinuousStatsTable[[#This Row],[GroupByKey]])*ContinuousStatsTable[Average])),0)</f>
        <v>0</v>
      </c>
      <c r="Q364" s="5">
        <f t="array" ref="Q364">MAX(IF((ProjectInfoTable[ProjectName]=ContinuousStatsTable[[#This Row],[ProjectName]]),(ProjectInfoTable[ProjectName]=ContinuousStatsTable[[#This Row],[ProjectName]])*ProjectInfoTable[ConfidenceInterval]))</f>
        <v>0.95</v>
      </c>
      <c r="R3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4" s="5">
        <f t="array" ref="S364">MIN(IF((ContinuousStatsTable[GroupByKey]=ContinuousStatsTable[[#This Row],[GroupByKey]]),(ContinuousStatsTable[GroupByKey]=ContinuousStatsTable[[#This Row],[GroupByKey]])*ContinuousStatsTable[Average]))</f>
        <v>0</v>
      </c>
      <c r="T364" s="5">
        <f t="array" ref="T364">MAX(IF((ContinuousStatsTable[GroupByKey]=ContinuousStatsTable[[#This Row],[GroupByKey]]),(ContinuousStatsTable[GroupByKey]=ContinuousStatsTable[[#This Row],[GroupByKey]])*ContinuousStatsTable[Average]))</f>
        <v>0</v>
      </c>
      <c r="U364" s="5">
        <f>IF((ContinuousStatsTable[[#This Row],[RepsRequested]]&gt;1),ContinuousStatsTable[[#This Row],[HalfWidth]],ContinuousStatsTable[[#This Row],[BatchMeansHalfWidth]])</f>
        <v>0</v>
      </c>
    </row>
    <row r="365" spans="1:21" x14ac:dyDescent="0.25">
      <c r="A365" t="s">
        <v>67</v>
      </c>
      <c r="B365" t="s">
        <v>70</v>
      </c>
      <c r="C365">
        <v>8</v>
      </c>
      <c r="D365" t="s">
        <v>101</v>
      </c>
      <c r="E365" t="s">
        <v>74</v>
      </c>
      <c r="F365" t="s">
        <v>73</v>
      </c>
      <c r="G365">
        <v>0</v>
      </c>
      <c r="H365">
        <v>2E+20</v>
      </c>
      <c r="I365">
        <v>0</v>
      </c>
      <c r="J365">
        <v>0</v>
      </c>
      <c r="K365">
        <v>0</v>
      </c>
      <c r="L365">
        <v>0</v>
      </c>
      <c r="M365" s="5" t="str">
        <f>ContinuousStatsTable[[#This Row],[ProjectName]]&amp;ContinuousStatsTable[[#This Row],[Name]]&amp;ContinuousStatsTable[[#This Row],[Type]]&amp;ContinuousStatsTable[[#This Row],[Source]]</f>
        <v>Unnamed ProjectwelderNumber BusyResource</v>
      </c>
      <c r="N365" s="5">
        <f t="array" ref="N365">MAX(IF((ProjectInfoTable[ProjectName]=ContinuousStatsTable[[#This Row],[ProjectName]]),(ProjectInfoTable[ProjectName]=ContinuousStatsTable[[#This Row],[ProjectName]])*ProjectInfoTable[NumberOfReplications]))</f>
        <v>15</v>
      </c>
      <c r="O365" s="5">
        <f t="array" ref="O365">IFERROR(AVERAGE(IF((ContinuousStatsTable[GroupByKey]=ContinuousStatsTable[[#This Row],[GroupByKey]]),(ContinuousStatsTable[GroupByKey]=ContinuousStatsTable[[#This Row],[GroupByKey]])*ContinuousStatsTable[Average])),0)</f>
        <v>0</v>
      </c>
      <c r="P365" s="5">
        <f t="array" ref="P365">IFERROR(_xlfn.STDEV.S(IF((ContinuousStatsTable[GroupByKey]=ContinuousStatsTable[[#This Row],[GroupByKey]]),(ContinuousStatsTable[GroupByKey]=ContinuousStatsTable[[#This Row],[GroupByKey]])*ContinuousStatsTable[Average])),0)</f>
        <v>0</v>
      </c>
      <c r="Q365" s="5">
        <f t="array" ref="Q365">MAX(IF((ProjectInfoTable[ProjectName]=ContinuousStatsTable[[#This Row],[ProjectName]]),(ProjectInfoTable[ProjectName]=ContinuousStatsTable[[#This Row],[ProjectName]])*ProjectInfoTable[ConfidenceInterval]))</f>
        <v>0.95</v>
      </c>
      <c r="R3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5" s="5">
        <f t="array" ref="S365">MIN(IF((ContinuousStatsTable[GroupByKey]=ContinuousStatsTable[[#This Row],[GroupByKey]]),(ContinuousStatsTable[GroupByKey]=ContinuousStatsTable[[#This Row],[GroupByKey]])*ContinuousStatsTable[Average]))</f>
        <v>0</v>
      </c>
      <c r="T365" s="5">
        <f t="array" ref="T365">MAX(IF((ContinuousStatsTable[GroupByKey]=ContinuousStatsTable[[#This Row],[GroupByKey]]),(ContinuousStatsTable[GroupByKey]=ContinuousStatsTable[[#This Row],[GroupByKey]])*ContinuousStatsTable[Average]))</f>
        <v>0</v>
      </c>
      <c r="U365" s="5">
        <f>IF((ContinuousStatsTable[[#This Row],[RepsRequested]]&gt;1),ContinuousStatsTable[[#This Row],[HalfWidth]],ContinuousStatsTable[[#This Row],[BatchMeansHalfWidth]])</f>
        <v>0</v>
      </c>
    </row>
    <row r="366" spans="1:21" x14ac:dyDescent="0.25">
      <c r="A366" t="s">
        <v>67</v>
      </c>
      <c r="B366" t="s">
        <v>70</v>
      </c>
      <c r="C366">
        <v>8</v>
      </c>
      <c r="D366" t="s">
        <v>101</v>
      </c>
      <c r="E366" t="s">
        <v>75</v>
      </c>
      <c r="F366" t="s">
        <v>73</v>
      </c>
      <c r="G366">
        <v>1</v>
      </c>
      <c r="H366">
        <v>2E+20</v>
      </c>
      <c r="I366">
        <v>1</v>
      </c>
      <c r="J366">
        <v>1</v>
      </c>
      <c r="K366">
        <v>1</v>
      </c>
      <c r="L366">
        <v>0</v>
      </c>
      <c r="M366" s="5" t="str">
        <f>ContinuousStatsTable[[#This Row],[ProjectName]]&amp;ContinuousStatsTable[[#This Row],[Name]]&amp;ContinuousStatsTable[[#This Row],[Type]]&amp;ContinuousStatsTable[[#This Row],[Source]]</f>
        <v>Unnamed ProjectwelderNumber ScheduledResource</v>
      </c>
      <c r="N366" s="5">
        <f t="array" ref="N366">MAX(IF((ProjectInfoTable[ProjectName]=ContinuousStatsTable[[#This Row],[ProjectName]]),(ProjectInfoTable[ProjectName]=ContinuousStatsTable[[#This Row],[ProjectName]])*ProjectInfoTable[NumberOfReplications]))</f>
        <v>15</v>
      </c>
      <c r="O366" s="5">
        <f t="array" ref="O366">IFERROR(AVERAGE(IF((ContinuousStatsTable[GroupByKey]=ContinuousStatsTable[[#This Row],[GroupByKey]]),(ContinuousStatsTable[GroupByKey]=ContinuousStatsTable[[#This Row],[GroupByKey]])*ContinuousStatsTable[Average])),0)</f>
        <v>1.5334531146777051</v>
      </c>
      <c r="P366" s="5">
        <f t="array" ref="P366">IFERROR(_xlfn.STDEV.S(IF((ContinuousStatsTable[GroupByKey]=ContinuousStatsTable[[#This Row],[GroupByKey]]),(ContinuousStatsTable[GroupByKey]=ContinuousStatsTable[[#This Row],[GroupByKey]])*ContinuousStatsTable[Average])),0)</f>
        <v>0.24154952363702747</v>
      </c>
      <c r="Q366" s="5">
        <f t="array" ref="Q366">MAX(IF((ProjectInfoTable[ProjectName]=ContinuousStatsTable[[#This Row],[ProjectName]]),(ProjectInfoTable[ProjectName]=ContinuousStatsTable[[#This Row],[ProjectName]])*ProjectInfoTable[ConfidenceInterval]))</f>
        <v>0.95</v>
      </c>
      <c r="R3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0.13376566756397254</v>
      </c>
      <c r="S366" s="5">
        <f t="array" ref="S366">MIN(IF((ContinuousStatsTable[GroupByKey]=ContinuousStatsTable[[#This Row],[GroupByKey]]),(ContinuousStatsTable[GroupByKey]=ContinuousStatsTable[[#This Row],[GroupByKey]])*ContinuousStatsTable[Average]))</f>
        <v>1</v>
      </c>
      <c r="T366" s="5">
        <f t="array" ref="T366">MAX(IF((ContinuousStatsTable[GroupByKey]=ContinuousStatsTable[[#This Row],[GroupByKey]]),(ContinuousStatsTable[GroupByKey]=ContinuousStatsTable[[#This Row],[GroupByKey]])*ContinuousStatsTable[Average]))</f>
        <v>2</v>
      </c>
      <c r="U366" s="5">
        <f>IF((ContinuousStatsTable[[#This Row],[RepsRequested]]&gt;1),ContinuousStatsTable[[#This Row],[HalfWidth]],ContinuousStatsTable[[#This Row],[BatchMeansHalfWidth]])</f>
        <v>0.13376566756397254</v>
      </c>
    </row>
    <row r="367" spans="1:21" x14ac:dyDescent="0.25">
      <c r="A367" t="s">
        <v>67</v>
      </c>
      <c r="B367" t="s">
        <v>70</v>
      </c>
      <c r="C367">
        <v>8</v>
      </c>
      <c r="D367" t="s">
        <v>102</v>
      </c>
      <c r="E367" t="s">
        <v>72</v>
      </c>
      <c r="F367" t="s">
        <v>73</v>
      </c>
      <c r="G367">
        <v>0</v>
      </c>
      <c r="H367">
        <v>2E+20</v>
      </c>
      <c r="I367">
        <v>0</v>
      </c>
      <c r="J367">
        <v>0</v>
      </c>
      <c r="K367">
        <v>0</v>
      </c>
      <c r="L367">
        <v>0</v>
      </c>
      <c r="M367" s="5" t="str">
        <f>ContinuousStatsTable[[#This Row],[ProjectName]]&amp;ContinuousStatsTable[[#This Row],[Name]]&amp;ContinuousStatsTable[[#This Row],[Type]]&amp;ContinuousStatsTable[[#This Row],[Source]]</f>
        <v>Unnamed ProjectweldingqcworkerInstantaneous UtilizationResource</v>
      </c>
      <c r="N367" s="5">
        <f t="array" ref="N367">MAX(IF((ProjectInfoTable[ProjectName]=ContinuousStatsTable[[#This Row],[ProjectName]]),(ProjectInfoTable[ProjectName]=ContinuousStatsTable[[#This Row],[ProjectName]])*ProjectInfoTable[NumberOfReplications]))</f>
        <v>15</v>
      </c>
      <c r="O367" s="5">
        <f t="array" ref="O367">IFERROR(AVERAGE(IF((ContinuousStatsTable[GroupByKey]=ContinuousStatsTable[[#This Row],[GroupByKey]]),(ContinuousStatsTable[GroupByKey]=ContinuousStatsTable[[#This Row],[GroupByKey]])*ContinuousStatsTable[Average])),0)</f>
        <v>0</v>
      </c>
      <c r="P367" s="5">
        <f t="array" ref="P367">IFERROR(_xlfn.STDEV.S(IF((ContinuousStatsTable[GroupByKey]=ContinuousStatsTable[[#This Row],[GroupByKey]]),(ContinuousStatsTable[GroupByKey]=ContinuousStatsTable[[#This Row],[GroupByKey]])*ContinuousStatsTable[Average])),0)</f>
        <v>0</v>
      </c>
      <c r="Q367" s="5">
        <f t="array" ref="Q367">MAX(IF((ProjectInfoTable[ProjectName]=ContinuousStatsTable[[#This Row],[ProjectName]]),(ProjectInfoTable[ProjectName]=ContinuousStatsTable[[#This Row],[ProjectName]])*ProjectInfoTable[ConfidenceInterval]))</f>
        <v>0.95</v>
      </c>
      <c r="R3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7" s="5">
        <f t="array" ref="S367">MIN(IF((ContinuousStatsTable[GroupByKey]=ContinuousStatsTable[[#This Row],[GroupByKey]]),(ContinuousStatsTable[GroupByKey]=ContinuousStatsTable[[#This Row],[GroupByKey]])*ContinuousStatsTable[Average]))</f>
        <v>0</v>
      </c>
      <c r="T367" s="5">
        <f t="array" ref="T367">MAX(IF((ContinuousStatsTable[GroupByKey]=ContinuousStatsTable[[#This Row],[GroupByKey]]),(ContinuousStatsTable[GroupByKey]=ContinuousStatsTable[[#This Row],[GroupByKey]])*ContinuousStatsTable[Average]))</f>
        <v>0</v>
      </c>
      <c r="U367" s="5">
        <f>IF((ContinuousStatsTable[[#This Row],[RepsRequested]]&gt;1),ContinuousStatsTable[[#This Row],[HalfWidth]],ContinuousStatsTable[[#This Row],[BatchMeansHalfWidth]])</f>
        <v>0</v>
      </c>
    </row>
    <row r="368" spans="1:21" x14ac:dyDescent="0.25">
      <c r="A368" t="s">
        <v>67</v>
      </c>
      <c r="B368" t="s">
        <v>70</v>
      </c>
      <c r="C368">
        <v>8</v>
      </c>
      <c r="D368" t="s">
        <v>102</v>
      </c>
      <c r="E368" t="s">
        <v>74</v>
      </c>
      <c r="F368" t="s">
        <v>73</v>
      </c>
      <c r="G368">
        <v>0</v>
      </c>
      <c r="H368">
        <v>2E+20</v>
      </c>
      <c r="I368">
        <v>0</v>
      </c>
      <c r="J368">
        <v>0</v>
      </c>
      <c r="K368">
        <v>0</v>
      </c>
      <c r="L368">
        <v>0</v>
      </c>
      <c r="M368" s="5" t="str">
        <f>ContinuousStatsTable[[#This Row],[ProjectName]]&amp;ContinuousStatsTable[[#This Row],[Name]]&amp;ContinuousStatsTable[[#This Row],[Type]]&amp;ContinuousStatsTable[[#This Row],[Source]]</f>
        <v>Unnamed ProjectweldingqcworkerNumber BusyResource</v>
      </c>
      <c r="N368" s="5">
        <f t="array" ref="N368">MAX(IF((ProjectInfoTable[ProjectName]=ContinuousStatsTable[[#This Row],[ProjectName]]),(ProjectInfoTable[ProjectName]=ContinuousStatsTable[[#This Row],[ProjectName]])*ProjectInfoTable[NumberOfReplications]))</f>
        <v>15</v>
      </c>
      <c r="O368" s="5">
        <f t="array" ref="O368">IFERROR(AVERAGE(IF((ContinuousStatsTable[GroupByKey]=ContinuousStatsTable[[#This Row],[GroupByKey]]),(ContinuousStatsTable[GroupByKey]=ContinuousStatsTable[[#This Row],[GroupByKey]])*ContinuousStatsTable[Average])),0)</f>
        <v>0</v>
      </c>
      <c r="P368" s="5">
        <f t="array" ref="P368">IFERROR(_xlfn.STDEV.S(IF((ContinuousStatsTable[GroupByKey]=ContinuousStatsTable[[#This Row],[GroupByKey]]),(ContinuousStatsTable[GroupByKey]=ContinuousStatsTable[[#This Row],[GroupByKey]])*ContinuousStatsTable[Average])),0)</f>
        <v>0</v>
      </c>
      <c r="Q368" s="5">
        <f t="array" ref="Q368">MAX(IF((ProjectInfoTable[ProjectName]=ContinuousStatsTable[[#This Row],[ProjectName]]),(ProjectInfoTable[ProjectName]=ContinuousStatsTable[[#This Row],[ProjectName]])*ProjectInfoTable[ConfidenceInterval]))</f>
        <v>0.95</v>
      </c>
      <c r="R3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8" s="5">
        <f t="array" ref="S368">MIN(IF((ContinuousStatsTable[GroupByKey]=ContinuousStatsTable[[#This Row],[GroupByKey]]),(ContinuousStatsTable[GroupByKey]=ContinuousStatsTable[[#This Row],[GroupByKey]])*ContinuousStatsTable[Average]))</f>
        <v>0</v>
      </c>
      <c r="T368" s="5">
        <f t="array" ref="T368">MAX(IF((ContinuousStatsTable[GroupByKey]=ContinuousStatsTable[[#This Row],[GroupByKey]]),(ContinuousStatsTable[GroupByKey]=ContinuousStatsTable[[#This Row],[GroupByKey]])*ContinuousStatsTable[Average]))</f>
        <v>0</v>
      </c>
      <c r="U368" s="5">
        <f>IF((ContinuousStatsTable[[#This Row],[RepsRequested]]&gt;1),ContinuousStatsTable[[#This Row],[HalfWidth]],ContinuousStatsTable[[#This Row],[BatchMeansHalfWidth]])</f>
        <v>0</v>
      </c>
    </row>
    <row r="369" spans="1:21" x14ac:dyDescent="0.25">
      <c r="A369" t="s">
        <v>67</v>
      </c>
      <c r="B369" t="s">
        <v>70</v>
      </c>
      <c r="C369">
        <v>8</v>
      </c>
      <c r="D369" t="s">
        <v>102</v>
      </c>
      <c r="E369" t="s">
        <v>75</v>
      </c>
      <c r="F369" t="s">
        <v>73</v>
      </c>
      <c r="G369">
        <v>1</v>
      </c>
      <c r="H369">
        <v>2E+20</v>
      </c>
      <c r="I369">
        <v>1</v>
      </c>
      <c r="J369">
        <v>1</v>
      </c>
      <c r="K369">
        <v>1</v>
      </c>
      <c r="L369">
        <v>0</v>
      </c>
      <c r="M369" s="5" t="str">
        <f>ContinuousStatsTable[[#This Row],[ProjectName]]&amp;ContinuousStatsTable[[#This Row],[Name]]&amp;ContinuousStatsTable[[#This Row],[Type]]&amp;ContinuousStatsTable[[#This Row],[Source]]</f>
        <v>Unnamed ProjectweldingqcworkerNumber ScheduledResource</v>
      </c>
      <c r="N369" s="5">
        <f t="array" ref="N369">MAX(IF((ProjectInfoTable[ProjectName]=ContinuousStatsTable[[#This Row],[ProjectName]]),(ProjectInfoTable[ProjectName]=ContinuousStatsTable[[#This Row],[ProjectName]])*ProjectInfoTable[NumberOfReplications]))</f>
        <v>15</v>
      </c>
      <c r="O369" s="5">
        <f t="array" ref="O369">IFERROR(AVERAGE(IF((ContinuousStatsTable[GroupByKey]=ContinuousStatsTable[[#This Row],[GroupByKey]]),(ContinuousStatsTable[GroupByKey]=ContinuousStatsTable[[#This Row],[GroupByKey]])*ContinuousStatsTable[Average])),0)</f>
        <v>1.5334635492504263</v>
      </c>
      <c r="P369" s="5">
        <f t="array" ref="P369">IFERROR(_xlfn.STDEV.S(IF((ContinuousStatsTable[GroupByKey]=ContinuousStatsTable[[#This Row],[GroupByKey]]),(ContinuousStatsTable[GroupByKey]=ContinuousStatsTable[[#This Row],[GroupByKey]])*ContinuousStatsTable[Average])),0)</f>
        <v>0.24155183649982462</v>
      </c>
      <c r="Q369" s="5">
        <f t="array" ref="Q369">MAX(IF((ProjectInfoTable[ProjectName]=ContinuousStatsTable[[#This Row],[ProjectName]]),(ProjectInfoTable[ProjectName]=ContinuousStatsTable[[#This Row],[ProjectName]])*ProjectInfoTable[ConfidenceInterval]))</f>
        <v>0.95</v>
      </c>
      <c r="R3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0.1337669483846978</v>
      </c>
      <c r="S369" s="5">
        <f t="array" ref="S369">MIN(IF((ContinuousStatsTable[GroupByKey]=ContinuousStatsTable[[#This Row],[GroupByKey]]),(ContinuousStatsTable[GroupByKey]=ContinuousStatsTable[[#This Row],[GroupByKey]])*ContinuousStatsTable[Average]))</f>
        <v>1</v>
      </c>
      <c r="T369" s="5">
        <f t="array" ref="T369">MAX(IF((ContinuousStatsTable[GroupByKey]=ContinuousStatsTable[[#This Row],[GroupByKey]]),(ContinuousStatsTable[GroupByKey]=ContinuousStatsTable[[#This Row],[GroupByKey]])*ContinuousStatsTable[Average]))</f>
        <v>2</v>
      </c>
      <c r="U369" s="5">
        <f>IF((ContinuousStatsTable[[#This Row],[RepsRequested]]&gt;1),ContinuousStatsTable[[#This Row],[HalfWidth]],ContinuousStatsTable[[#This Row],[BatchMeansHalfWidth]])</f>
        <v>0.1337669483846978</v>
      </c>
    </row>
    <row r="370" spans="1:21" x14ac:dyDescent="0.25">
      <c r="A370" t="s">
        <v>67</v>
      </c>
      <c r="B370" t="s">
        <v>70</v>
      </c>
      <c r="C370">
        <v>9</v>
      </c>
      <c r="D370" t="s">
        <v>71</v>
      </c>
      <c r="E370" t="s">
        <v>72</v>
      </c>
      <c r="F370" t="s">
        <v>73</v>
      </c>
      <c r="G370">
        <v>0</v>
      </c>
      <c r="H370">
        <v>2E+20</v>
      </c>
      <c r="I370">
        <v>0</v>
      </c>
      <c r="J370">
        <v>0</v>
      </c>
      <c r="K370">
        <v>0</v>
      </c>
      <c r="L370">
        <v>0</v>
      </c>
      <c r="M370" s="5" t="str">
        <f>ContinuousStatsTable[[#This Row],[ProjectName]]&amp;ContinuousStatsTable[[#This Row],[Name]]&amp;ContinuousStatsTable[[#This Row],[Type]]&amp;ContinuousStatsTable[[#This Row],[Source]]</f>
        <v>Unnamed ProjectassemblerInstantaneous UtilizationResource</v>
      </c>
      <c r="N370" s="5">
        <f t="array" ref="N370">MAX(IF((ProjectInfoTable[ProjectName]=ContinuousStatsTable[[#This Row],[ProjectName]]),(ProjectInfoTable[ProjectName]=ContinuousStatsTable[[#This Row],[ProjectName]])*ProjectInfoTable[NumberOfReplications]))</f>
        <v>15</v>
      </c>
      <c r="O370" s="5">
        <f t="array" ref="O370">IFERROR(AVERAGE(IF((ContinuousStatsTable[GroupByKey]=ContinuousStatsTable[[#This Row],[GroupByKey]]),(ContinuousStatsTable[GroupByKey]=ContinuousStatsTable[[#This Row],[GroupByKey]])*ContinuousStatsTable[Average])),0)</f>
        <v>0</v>
      </c>
      <c r="P370" s="5">
        <f t="array" ref="P370">IFERROR(_xlfn.STDEV.S(IF((ContinuousStatsTable[GroupByKey]=ContinuousStatsTable[[#This Row],[GroupByKey]]),(ContinuousStatsTable[GroupByKey]=ContinuousStatsTable[[#This Row],[GroupByKey]])*ContinuousStatsTable[Average])),0)</f>
        <v>0</v>
      </c>
      <c r="Q370" s="5">
        <f t="array" ref="Q370">MAX(IF((ProjectInfoTable[ProjectName]=ContinuousStatsTable[[#This Row],[ProjectName]]),(ProjectInfoTable[ProjectName]=ContinuousStatsTable[[#This Row],[ProjectName]])*ProjectInfoTable[ConfidenceInterval]))</f>
        <v>0.95</v>
      </c>
      <c r="R3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0" s="5">
        <f t="array" ref="S370">MIN(IF((ContinuousStatsTable[GroupByKey]=ContinuousStatsTable[[#This Row],[GroupByKey]]),(ContinuousStatsTable[GroupByKey]=ContinuousStatsTable[[#This Row],[GroupByKey]])*ContinuousStatsTable[Average]))</f>
        <v>0</v>
      </c>
      <c r="T370" s="5">
        <f t="array" ref="T370">MAX(IF((ContinuousStatsTable[GroupByKey]=ContinuousStatsTable[[#This Row],[GroupByKey]]),(ContinuousStatsTable[GroupByKey]=ContinuousStatsTable[[#This Row],[GroupByKey]])*ContinuousStatsTable[Average]))</f>
        <v>0</v>
      </c>
      <c r="U370" s="5">
        <f>IF((ContinuousStatsTable[[#This Row],[RepsRequested]]&gt;1),ContinuousStatsTable[[#This Row],[HalfWidth]],ContinuousStatsTable[[#This Row],[BatchMeansHalfWidth]])</f>
        <v>0</v>
      </c>
    </row>
    <row r="371" spans="1:21" x14ac:dyDescent="0.25">
      <c r="A371" t="s">
        <v>67</v>
      </c>
      <c r="B371" t="s">
        <v>70</v>
      </c>
      <c r="C371">
        <v>9</v>
      </c>
      <c r="D371" t="s">
        <v>71</v>
      </c>
      <c r="E371" t="s">
        <v>74</v>
      </c>
      <c r="F371" t="s">
        <v>73</v>
      </c>
      <c r="G371">
        <v>0</v>
      </c>
      <c r="H371">
        <v>2E+20</v>
      </c>
      <c r="I371">
        <v>0</v>
      </c>
      <c r="J371">
        <v>0</v>
      </c>
      <c r="K371">
        <v>0</v>
      </c>
      <c r="L371">
        <v>0</v>
      </c>
      <c r="M371" s="5" t="str">
        <f>ContinuousStatsTable[[#This Row],[ProjectName]]&amp;ContinuousStatsTable[[#This Row],[Name]]&amp;ContinuousStatsTable[[#This Row],[Type]]&amp;ContinuousStatsTable[[#This Row],[Source]]</f>
        <v>Unnamed ProjectassemblerNumber BusyResource</v>
      </c>
      <c r="N371" s="5">
        <f t="array" ref="N371">MAX(IF((ProjectInfoTable[ProjectName]=ContinuousStatsTable[[#This Row],[ProjectName]]),(ProjectInfoTable[ProjectName]=ContinuousStatsTable[[#This Row],[ProjectName]])*ProjectInfoTable[NumberOfReplications]))</f>
        <v>15</v>
      </c>
      <c r="O371" s="5">
        <f t="array" ref="O371">IFERROR(AVERAGE(IF((ContinuousStatsTable[GroupByKey]=ContinuousStatsTable[[#This Row],[GroupByKey]]),(ContinuousStatsTable[GroupByKey]=ContinuousStatsTable[[#This Row],[GroupByKey]])*ContinuousStatsTable[Average])),0)</f>
        <v>0</v>
      </c>
      <c r="P371" s="5">
        <f t="array" ref="P371">IFERROR(_xlfn.STDEV.S(IF((ContinuousStatsTable[GroupByKey]=ContinuousStatsTable[[#This Row],[GroupByKey]]),(ContinuousStatsTable[GroupByKey]=ContinuousStatsTable[[#This Row],[GroupByKey]])*ContinuousStatsTable[Average])),0)</f>
        <v>0</v>
      </c>
      <c r="Q371" s="5">
        <f t="array" ref="Q371">MAX(IF((ProjectInfoTable[ProjectName]=ContinuousStatsTable[[#This Row],[ProjectName]]),(ProjectInfoTable[ProjectName]=ContinuousStatsTable[[#This Row],[ProjectName]])*ProjectInfoTable[ConfidenceInterval]))</f>
        <v>0.95</v>
      </c>
      <c r="R3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1" s="5">
        <f t="array" ref="S371">MIN(IF((ContinuousStatsTable[GroupByKey]=ContinuousStatsTable[[#This Row],[GroupByKey]]),(ContinuousStatsTable[GroupByKey]=ContinuousStatsTable[[#This Row],[GroupByKey]])*ContinuousStatsTable[Average]))</f>
        <v>0</v>
      </c>
      <c r="T371" s="5">
        <f t="array" ref="T371">MAX(IF((ContinuousStatsTable[GroupByKey]=ContinuousStatsTable[[#This Row],[GroupByKey]]),(ContinuousStatsTable[GroupByKey]=ContinuousStatsTable[[#This Row],[GroupByKey]])*ContinuousStatsTable[Average]))</f>
        <v>0</v>
      </c>
      <c r="U371" s="5">
        <f>IF((ContinuousStatsTable[[#This Row],[RepsRequested]]&gt;1),ContinuousStatsTable[[#This Row],[HalfWidth]],ContinuousStatsTable[[#This Row],[BatchMeansHalfWidth]])</f>
        <v>0</v>
      </c>
    </row>
    <row r="372" spans="1:21" x14ac:dyDescent="0.25">
      <c r="A372" t="s">
        <v>67</v>
      </c>
      <c r="B372" t="s">
        <v>70</v>
      </c>
      <c r="C372">
        <v>9</v>
      </c>
      <c r="D372" t="s">
        <v>71</v>
      </c>
      <c r="E372" t="s">
        <v>75</v>
      </c>
      <c r="F372" t="s">
        <v>73</v>
      </c>
      <c r="G372">
        <v>1.58375</v>
      </c>
      <c r="H372">
        <v>3E+20</v>
      </c>
      <c r="I372">
        <v>1</v>
      </c>
      <c r="J372">
        <v>2</v>
      </c>
      <c r="K372">
        <v>2</v>
      </c>
      <c r="L372">
        <v>0</v>
      </c>
      <c r="M372" s="5" t="str">
        <f>ContinuousStatsTable[[#This Row],[ProjectName]]&amp;ContinuousStatsTable[[#This Row],[Name]]&amp;ContinuousStatsTable[[#This Row],[Type]]&amp;ContinuousStatsTable[[#This Row],[Source]]</f>
        <v>Unnamed ProjectassemblerNumber ScheduledResource</v>
      </c>
      <c r="N372" s="5">
        <f t="array" ref="N372">MAX(IF((ProjectInfoTable[ProjectName]=ContinuousStatsTable[[#This Row],[ProjectName]]),(ProjectInfoTable[ProjectName]=ContinuousStatsTable[[#This Row],[ProjectName]])*ProjectInfoTable[NumberOfReplications]))</f>
        <v>15</v>
      </c>
      <c r="O372" s="5">
        <f t="array" ref="O372">IFERROR(AVERAGE(IF((ContinuousStatsTable[GroupByKey]=ContinuousStatsTable[[#This Row],[GroupByKey]]),(ContinuousStatsTable[GroupByKey]=ContinuousStatsTable[[#This Row],[GroupByKey]])*ContinuousStatsTable[Average])),0)</f>
        <v>1.5333142680768803</v>
      </c>
      <c r="P372" s="5">
        <f t="array" ref="P372">IFERROR(_xlfn.STDEV.S(IF((ContinuousStatsTable[GroupByKey]=ContinuousStatsTable[[#This Row],[GroupByKey]]),(ContinuousStatsTable[GroupByKey]=ContinuousStatsTable[[#This Row],[GroupByKey]])*ContinuousStatsTable[Average])),0)</f>
        <v>0.24151891999367611</v>
      </c>
      <c r="Q372" s="5">
        <f t="array" ref="Q372">MAX(IF((ProjectInfoTable[ProjectName]=ContinuousStatsTable[[#This Row],[ProjectName]]),(ProjectInfoTable[ProjectName]=ContinuousStatsTable[[#This Row],[ProjectName]])*ProjectInfoTable[ConfidenceInterval]))</f>
        <v>0.95</v>
      </c>
      <c r="R3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0.13374871983117992</v>
      </c>
      <c r="S372" s="5">
        <f t="array" ref="S372">MIN(IF((ContinuousStatsTable[GroupByKey]=ContinuousStatsTable[[#This Row],[GroupByKey]]),(ContinuousStatsTable[GroupByKey]=ContinuousStatsTable[[#This Row],[GroupByKey]])*ContinuousStatsTable[Average]))</f>
        <v>1</v>
      </c>
      <c r="T372" s="5">
        <f t="array" ref="T372">MAX(IF((ContinuousStatsTable[GroupByKey]=ContinuousStatsTable[[#This Row],[GroupByKey]]),(ContinuousStatsTable[GroupByKey]=ContinuousStatsTable[[#This Row],[GroupByKey]])*ContinuousStatsTable[Average]))</f>
        <v>2</v>
      </c>
      <c r="U372" s="5">
        <f>IF((ContinuousStatsTable[[#This Row],[RepsRequested]]&gt;1),ContinuousStatsTable[[#This Row],[HalfWidth]],ContinuousStatsTable[[#This Row],[BatchMeansHalfWidth]])</f>
        <v>0.13374871983117992</v>
      </c>
    </row>
    <row r="373" spans="1:21" x14ac:dyDescent="0.25">
      <c r="A373" t="s">
        <v>67</v>
      </c>
      <c r="B373" t="s">
        <v>70</v>
      </c>
      <c r="C373">
        <v>9</v>
      </c>
      <c r="D373" t="s">
        <v>76</v>
      </c>
      <c r="E373" t="s">
        <v>72</v>
      </c>
      <c r="F373" t="s">
        <v>73</v>
      </c>
      <c r="G373">
        <v>0</v>
      </c>
      <c r="H373">
        <v>2E+20</v>
      </c>
      <c r="I373">
        <v>0</v>
      </c>
      <c r="J373">
        <v>0</v>
      </c>
      <c r="K373">
        <v>0</v>
      </c>
      <c r="L373">
        <v>0</v>
      </c>
      <c r="M373" s="5" t="str">
        <f>ContinuousStatsTable[[#This Row],[ProjectName]]&amp;ContinuousStatsTable[[#This Row],[Name]]&amp;ContinuousStatsTable[[#This Row],[Type]]&amp;ContinuousStatsTable[[#This Row],[Source]]</f>
        <v>Unnamed ProjectassemblyqcworkerInstantaneous UtilizationResource</v>
      </c>
      <c r="N373" s="5">
        <f t="array" ref="N373">MAX(IF((ProjectInfoTable[ProjectName]=ContinuousStatsTable[[#This Row],[ProjectName]]),(ProjectInfoTable[ProjectName]=ContinuousStatsTable[[#This Row],[ProjectName]])*ProjectInfoTable[NumberOfReplications]))</f>
        <v>15</v>
      </c>
      <c r="O373" s="5">
        <f t="array" ref="O373">IFERROR(AVERAGE(IF((ContinuousStatsTable[GroupByKey]=ContinuousStatsTable[[#This Row],[GroupByKey]]),(ContinuousStatsTable[GroupByKey]=ContinuousStatsTable[[#This Row],[GroupByKey]])*ContinuousStatsTable[Average])),0)</f>
        <v>0</v>
      </c>
      <c r="P373" s="5">
        <f t="array" ref="P373">IFERROR(_xlfn.STDEV.S(IF((ContinuousStatsTable[GroupByKey]=ContinuousStatsTable[[#This Row],[GroupByKey]]),(ContinuousStatsTable[GroupByKey]=ContinuousStatsTable[[#This Row],[GroupByKey]])*ContinuousStatsTable[Average])),0)</f>
        <v>0</v>
      </c>
      <c r="Q373" s="5">
        <f t="array" ref="Q373">MAX(IF((ProjectInfoTable[ProjectName]=ContinuousStatsTable[[#This Row],[ProjectName]]),(ProjectInfoTable[ProjectName]=ContinuousStatsTable[[#This Row],[ProjectName]])*ProjectInfoTable[ConfidenceInterval]))</f>
        <v>0.95</v>
      </c>
      <c r="R3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3" s="5">
        <f t="array" ref="S373">MIN(IF((ContinuousStatsTable[GroupByKey]=ContinuousStatsTable[[#This Row],[GroupByKey]]),(ContinuousStatsTable[GroupByKey]=ContinuousStatsTable[[#This Row],[GroupByKey]])*ContinuousStatsTable[Average]))</f>
        <v>0</v>
      </c>
      <c r="T373" s="5">
        <f t="array" ref="T373">MAX(IF((ContinuousStatsTable[GroupByKey]=ContinuousStatsTable[[#This Row],[GroupByKey]]),(ContinuousStatsTable[GroupByKey]=ContinuousStatsTable[[#This Row],[GroupByKey]])*ContinuousStatsTable[Average]))</f>
        <v>0</v>
      </c>
      <c r="U373" s="5">
        <f>IF((ContinuousStatsTable[[#This Row],[RepsRequested]]&gt;1),ContinuousStatsTable[[#This Row],[HalfWidth]],ContinuousStatsTable[[#This Row],[BatchMeansHalfWidth]])</f>
        <v>0</v>
      </c>
    </row>
    <row r="374" spans="1:21" x14ac:dyDescent="0.25">
      <c r="A374" t="s">
        <v>67</v>
      </c>
      <c r="B374" t="s">
        <v>70</v>
      </c>
      <c r="C374">
        <v>9</v>
      </c>
      <c r="D374" t="s">
        <v>76</v>
      </c>
      <c r="E374" t="s">
        <v>74</v>
      </c>
      <c r="F374" t="s">
        <v>73</v>
      </c>
      <c r="G374">
        <v>0</v>
      </c>
      <c r="H374">
        <v>2E+20</v>
      </c>
      <c r="I374">
        <v>0</v>
      </c>
      <c r="J374">
        <v>0</v>
      </c>
      <c r="K374">
        <v>0</v>
      </c>
      <c r="L374">
        <v>0</v>
      </c>
      <c r="M374" s="5" t="str">
        <f>ContinuousStatsTable[[#This Row],[ProjectName]]&amp;ContinuousStatsTable[[#This Row],[Name]]&amp;ContinuousStatsTable[[#This Row],[Type]]&amp;ContinuousStatsTable[[#This Row],[Source]]</f>
        <v>Unnamed ProjectassemblyqcworkerNumber BusyResource</v>
      </c>
      <c r="N374" s="5">
        <f t="array" ref="N374">MAX(IF((ProjectInfoTable[ProjectName]=ContinuousStatsTable[[#This Row],[ProjectName]]),(ProjectInfoTable[ProjectName]=ContinuousStatsTable[[#This Row],[ProjectName]])*ProjectInfoTable[NumberOfReplications]))</f>
        <v>15</v>
      </c>
      <c r="O374" s="5">
        <f t="array" ref="O374">IFERROR(AVERAGE(IF((ContinuousStatsTable[GroupByKey]=ContinuousStatsTable[[#This Row],[GroupByKey]]),(ContinuousStatsTable[GroupByKey]=ContinuousStatsTable[[#This Row],[GroupByKey]])*ContinuousStatsTable[Average])),0)</f>
        <v>0</v>
      </c>
      <c r="P374" s="5">
        <f t="array" ref="P374">IFERROR(_xlfn.STDEV.S(IF((ContinuousStatsTable[GroupByKey]=ContinuousStatsTable[[#This Row],[GroupByKey]]),(ContinuousStatsTable[GroupByKey]=ContinuousStatsTable[[#This Row],[GroupByKey]])*ContinuousStatsTable[Average])),0)</f>
        <v>0</v>
      </c>
      <c r="Q374" s="5">
        <f t="array" ref="Q374">MAX(IF((ProjectInfoTable[ProjectName]=ContinuousStatsTable[[#This Row],[ProjectName]]),(ProjectInfoTable[ProjectName]=ContinuousStatsTable[[#This Row],[ProjectName]])*ProjectInfoTable[ConfidenceInterval]))</f>
        <v>0.95</v>
      </c>
      <c r="R3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4" s="5">
        <f t="array" ref="S374">MIN(IF((ContinuousStatsTable[GroupByKey]=ContinuousStatsTable[[#This Row],[GroupByKey]]),(ContinuousStatsTable[GroupByKey]=ContinuousStatsTable[[#This Row],[GroupByKey]])*ContinuousStatsTable[Average]))</f>
        <v>0</v>
      </c>
      <c r="T374" s="5">
        <f t="array" ref="T374">MAX(IF((ContinuousStatsTable[GroupByKey]=ContinuousStatsTable[[#This Row],[GroupByKey]]),(ContinuousStatsTable[GroupByKey]=ContinuousStatsTable[[#This Row],[GroupByKey]])*ContinuousStatsTable[Average]))</f>
        <v>0</v>
      </c>
      <c r="U374" s="5">
        <f>IF((ContinuousStatsTable[[#This Row],[RepsRequested]]&gt;1),ContinuousStatsTable[[#This Row],[HalfWidth]],ContinuousStatsTable[[#This Row],[BatchMeansHalfWidth]])</f>
        <v>0</v>
      </c>
    </row>
    <row r="375" spans="1:21" x14ac:dyDescent="0.25">
      <c r="A375" t="s">
        <v>67</v>
      </c>
      <c r="B375" t="s">
        <v>70</v>
      </c>
      <c r="C375">
        <v>9</v>
      </c>
      <c r="D375" t="s">
        <v>76</v>
      </c>
      <c r="E375" t="s">
        <v>75</v>
      </c>
      <c r="F375" t="s">
        <v>73</v>
      </c>
      <c r="G375">
        <v>1.5834999999999999</v>
      </c>
      <c r="H375">
        <v>3E+20</v>
      </c>
      <c r="I375">
        <v>1</v>
      </c>
      <c r="J375">
        <v>2</v>
      </c>
      <c r="K375">
        <v>2</v>
      </c>
      <c r="L375">
        <v>0</v>
      </c>
      <c r="M375" s="5" t="str">
        <f>ContinuousStatsTable[[#This Row],[ProjectName]]&amp;ContinuousStatsTable[[#This Row],[Name]]&amp;ContinuousStatsTable[[#This Row],[Type]]&amp;ContinuousStatsTable[[#This Row],[Source]]</f>
        <v>Unnamed ProjectassemblyqcworkerNumber ScheduledResource</v>
      </c>
      <c r="N375" s="5">
        <f t="array" ref="N375">MAX(IF((ProjectInfoTable[ProjectName]=ContinuousStatsTable[[#This Row],[ProjectName]]),(ProjectInfoTable[ProjectName]=ContinuousStatsTable[[#This Row],[ProjectName]])*ProjectInfoTable[NumberOfReplications]))</f>
        <v>15</v>
      </c>
      <c r="O375" s="5">
        <f t="array" ref="O375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375" s="5">
        <f t="array" ref="P375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375" s="5">
        <f t="array" ref="Q375">MAX(IF((ProjectInfoTable[ProjectName]=ContinuousStatsTable[[#This Row],[ProjectName]]),(ProjectInfoTable[ProjectName]=ContinuousStatsTable[[#This Row],[ProjectName]])*ProjectInfoTable[ConfidenceInterval]))</f>
        <v>0.95</v>
      </c>
      <c r="R3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375" s="5">
        <f t="array" ref="S375">MIN(IF((ContinuousStatsTable[GroupByKey]=ContinuousStatsTable[[#This Row],[GroupByKey]]),(ContinuousStatsTable[GroupByKey]=ContinuousStatsTable[[#This Row],[GroupByKey]])*ContinuousStatsTable[Average]))</f>
        <v>1</v>
      </c>
      <c r="T375" s="5">
        <f t="array" ref="T375">MAX(IF((ContinuousStatsTable[GroupByKey]=ContinuousStatsTable[[#This Row],[GroupByKey]]),(ContinuousStatsTable[GroupByKey]=ContinuousStatsTable[[#This Row],[GroupByKey]])*ContinuousStatsTable[Average]))</f>
        <v>2</v>
      </c>
      <c r="U375" s="5">
        <f>IF((ContinuousStatsTable[[#This Row],[RepsRequested]]&gt;1),ContinuousStatsTable[[#This Row],[HalfWidth]],ContinuousStatsTable[[#This Row],[BatchMeansHalfWidth]])</f>
        <v>0.13376733135491528</v>
      </c>
    </row>
    <row r="376" spans="1:21" x14ac:dyDescent="0.25">
      <c r="A376" t="s">
        <v>67</v>
      </c>
      <c r="B376" t="s">
        <v>70</v>
      </c>
      <c r="C376">
        <v>9</v>
      </c>
      <c r="D376" t="s">
        <v>77</v>
      </c>
      <c r="E376" t="s">
        <v>78</v>
      </c>
      <c r="F376" t="s">
        <v>79</v>
      </c>
      <c r="G376">
        <v>0</v>
      </c>
      <c r="H376">
        <v>2E+20</v>
      </c>
      <c r="I376">
        <v>0</v>
      </c>
      <c r="J376">
        <v>0</v>
      </c>
      <c r="K376">
        <v>0</v>
      </c>
      <c r="L376">
        <v>0</v>
      </c>
      <c r="M376" s="5" t="str">
        <f>ContinuousStatsTable[[#This Row],[ProjectName]]&amp;ContinuousStatsTable[[#This Row],[Name]]&amp;ContinuousStatsTable[[#This Row],[Type]]&amp;ContinuousStatsTable[[#This Row],[Source]]</f>
        <v>Unnamed Projectbatched_partsWIPEntity</v>
      </c>
      <c r="N376" s="5">
        <f t="array" ref="N376">MAX(IF((ProjectInfoTable[ProjectName]=ContinuousStatsTable[[#This Row],[ProjectName]]),(ProjectInfoTable[ProjectName]=ContinuousStatsTable[[#This Row],[ProjectName]])*ProjectInfoTable[NumberOfReplications]))</f>
        <v>15</v>
      </c>
      <c r="O376" s="5">
        <f t="array" ref="O376">IFERROR(AVERAGE(IF((ContinuousStatsTable[GroupByKey]=ContinuousStatsTable[[#This Row],[GroupByKey]]),(ContinuousStatsTable[GroupByKey]=ContinuousStatsTable[[#This Row],[GroupByKey]])*ContinuousStatsTable[Average])),0)</f>
        <v>0</v>
      </c>
      <c r="P376" s="5">
        <f t="array" ref="P376">IFERROR(_xlfn.STDEV.S(IF((ContinuousStatsTable[GroupByKey]=ContinuousStatsTable[[#This Row],[GroupByKey]]),(ContinuousStatsTable[GroupByKey]=ContinuousStatsTable[[#This Row],[GroupByKey]])*ContinuousStatsTable[Average])),0)</f>
        <v>0</v>
      </c>
      <c r="Q376" s="5">
        <f t="array" ref="Q376">MAX(IF((ProjectInfoTable[ProjectName]=ContinuousStatsTable[[#This Row],[ProjectName]]),(ProjectInfoTable[ProjectName]=ContinuousStatsTable[[#This Row],[ProjectName]])*ProjectInfoTable[ConfidenceInterval]))</f>
        <v>0.95</v>
      </c>
      <c r="R3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6" s="5">
        <f t="array" ref="S376">MIN(IF((ContinuousStatsTable[GroupByKey]=ContinuousStatsTable[[#This Row],[GroupByKey]]),(ContinuousStatsTable[GroupByKey]=ContinuousStatsTable[[#This Row],[GroupByKey]])*ContinuousStatsTable[Average]))</f>
        <v>0</v>
      </c>
      <c r="T376" s="5">
        <f t="array" ref="T376">MAX(IF((ContinuousStatsTable[GroupByKey]=ContinuousStatsTable[[#This Row],[GroupByKey]]),(ContinuousStatsTable[GroupByKey]=ContinuousStatsTable[[#This Row],[GroupByKey]])*ContinuousStatsTable[Average]))</f>
        <v>0</v>
      </c>
      <c r="U376" s="5">
        <f>IF((ContinuousStatsTable[[#This Row],[RepsRequested]]&gt;1),ContinuousStatsTable[[#This Row],[HalfWidth]],ContinuousStatsTable[[#This Row],[BatchMeansHalfWidth]])</f>
        <v>0</v>
      </c>
    </row>
    <row r="377" spans="1:21" x14ac:dyDescent="0.25">
      <c r="A377" t="s">
        <v>67</v>
      </c>
      <c r="B377" t="s">
        <v>70</v>
      </c>
      <c r="C377">
        <v>9</v>
      </c>
      <c r="D377" t="s">
        <v>80</v>
      </c>
      <c r="E377" t="s">
        <v>72</v>
      </c>
      <c r="F377" t="s">
        <v>73</v>
      </c>
      <c r="G377">
        <v>0</v>
      </c>
      <c r="H377">
        <v>2E+20</v>
      </c>
      <c r="I377">
        <v>0</v>
      </c>
      <c r="J377">
        <v>0</v>
      </c>
      <c r="K377">
        <v>0</v>
      </c>
      <c r="L377">
        <v>0</v>
      </c>
      <c r="M377" s="5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377" s="5">
        <f t="array" ref="N377">MAX(IF((ProjectInfoTable[ProjectName]=ContinuousStatsTable[[#This Row],[ProjectName]]),(ProjectInfoTable[ProjectName]=ContinuousStatsTable[[#This Row],[ProjectName]])*ProjectInfoTable[NumberOfReplications]))</f>
        <v>15</v>
      </c>
      <c r="O377" s="5">
        <f t="array" ref="O377">IFERROR(AVERAGE(IF((ContinuousStatsTable[GroupByKey]=ContinuousStatsTable[[#This Row],[GroupByKey]]),(ContinuousStatsTable[GroupByKey]=ContinuousStatsTable[[#This Row],[GroupByKey]])*ContinuousStatsTable[Average])),0)</f>
        <v>0</v>
      </c>
      <c r="P377" s="5">
        <f t="array" ref="P377">IFERROR(_xlfn.STDEV.S(IF((ContinuousStatsTable[GroupByKey]=ContinuousStatsTable[[#This Row],[GroupByKey]]),(ContinuousStatsTable[GroupByKey]=ContinuousStatsTable[[#This Row],[GroupByKey]])*ContinuousStatsTable[Average])),0)</f>
        <v>0</v>
      </c>
      <c r="Q377" s="5">
        <f t="array" ref="Q377">MAX(IF((ProjectInfoTable[ProjectName]=ContinuousStatsTable[[#This Row],[ProjectName]]),(ProjectInfoTable[ProjectName]=ContinuousStatsTable[[#This Row],[ProjectName]])*ProjectInfoTable[ConfidenceInterval]))</f>
        <v>0.95</v>
      </c>
      <c r="R3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7" s="5">
        <f t="array" ref="S377">MIN(IF((ContinuousStatsTable[GroupByKey]=ContinuousStatsTable[[#This Row],[GroupByKey]]),(ContinuousStatsTable[GroupByKey]=ContinuousStatsTable[[#This Row],[GroupByKey]])*ContinuousStatsTable[Average]))</f>
        <v>0</v>
      </c>
      <c r="T377" s="5">
        <f t="array" ref="T377">MAX(IF((ContinuousStatsTable[GroupByKey]=ContinuousStatsTable[[#This Row],[GroupByKey]]),(ContinuousStatsTable[GroupByKey]=ContinuousStatsTable[[#This Row],[GroupByKey]])*ContinuousStatsTable[Average]))</f>
        <v>0</v>
      </c>
      <c r="U377" s="5">
        <f>IF((ContinuousStatsTable[[#This Row],[RepsRequested]]&gt;1),ContinuousStatsTable[[#This Row],[HalfWidth]],ContinuousStatsTable[[#This Row],[BatchMeansHalfWidth]])</f>
        <v>0</v>
      </c>
    </row>
    <row r="378" spans="1:21" x14ac:dyDescent="0.25">
      <c r="A378" t="s">
        <v>67</v>
      </c>
      <c r="B378" t="s">
        <v>70</v>
      </c>
      <c r="C378">
        <v>9</v>
      </c>
      <c r="D378" t="s">
        <v>80</v>
      </c>
      <c r="E378" t="s">
        <v>74</v>
      </c>
      <c r="F378" t="s">
        <v>73</v>
      </c>
      <c r="G378">
        <v>0</v>
      </c>
      <c r="H378">
        <v>2E+20</v>
      </c>
      <c r="I378">
        <v>0</v>
      </c>
      <c r="J378">
        <v>0</v>
      </c>
      <c r="K378">
        <v>0</v>
      </c>
      <c r="L378">
        <v>0</v>
      </c>
      <c r="M378" s="5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378" s="5">
        <f t="array" ref="N378">MAX(IF((ProjectInfoTable[ProjectName]=ContinuousStatsTable[[#This Row],[ProjectName]]),(ProjectInfoTable[ProjectName]=ContinuousStatsTable[[#This Row],[ProjectName]])*ProjectInfoTable[NumberOfReplications]))</f>
        <v>15</v>
      </c>
      <c r="O378" s="5">
        <f t="array" ref="O378">IFERROR(AVERAGE(IF((ContinuousStatsTable[GroupByKey]=ContinuousStatsTable[[#This Row],[GroupByKey]]),(ContinuousStatsTable[GroupByKey]=ContinuousStatsTable[[#This Row],[GroupByKey]])*ContinuousStatsTable[Average])),0)</f>
        <v>0</v>
      </c>
      <c r="P378" s="5">
        <f t="array" ref="P378">IFERROR(_xlfn.STDEV.S(IF((ContinuousStatsTable[GroupByKey]=ContinuousStatsTable[[#This Row],[GroupByKey]]),(ContinuousStatsTable[GroupByKey]=ContinuousStatsTable[[#This Row],[GroupByKey]])*ContinuousStatsTable[Average])),0)</f>
        <v>0</v>
      </c>
      <c r="Q378" s="5">
        <f t="array" ref="Q378">MAX(IF((ProjectInfoTable[ProjectName]=ContinuousStatsTable[[#This Row],[ProjectName]]),(ProjectInfoTable[ProjectName]=ContinuousStatsTable[[#This Row],[ProjectName]])*ProjectInfoTable[ConfidenceInterval]))</f>
        <v>0.95</v>
      </c>
      <c r="R3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8" s="5">
        <f t="array" ref="S378">MIN(IF((ContinuousStatsTable[GroupByKey]=ContinuousStatsTable[[#This Row],[GroupByKey]]),(ContinuousStatsTable[GroupByKey]=ContinuousStatsTable[[#This Row],[GroupByKey]])*ContinuousStatsTable[Average]))</f>
        <v>0</v>
      </c>
      <c r="T378" s="5">
        <f t="array" ref="T378">MAX(IF((ContinuousStatsTable[GroupByKey]=ContinuousStatsTable[[#This Row],[GroupByKey]]),(ContinuousStatsTable[GroupByKey]=ContinuousStatsTable[[#This Row],[GroupByKey]])*ContinuousStatsTable[Average]))</f>
        <v>0</v>
      </c>
      <c r="U378" s="5">
        <f>IF((ContinuousStatsTable[[#This Row],[RepsRequested]]&gt;1),ContinuousStatsTable[[#This Row],[HalfWidth]],ContinuousStatsTable[[#This Row],[BatchMeansHalfWidth]])</f>
        <v>0</v>
      </c>
    </row>
    <row r="379" spans="1:21" x14ac:dyDescent="0.25">
      <c r="A379" t="s">
        <v>67</v>
      </c>
      <c r="B379" t="s">
        <v>70</v>
      </c>
      <c r="C379">
        <v>9</v>
      </c>
      <c r="D379" t="s">
        <v>80</v>
      </c>
      <c r="E379" t="s">
        <v>75</v>
      </c>
      <c r="F379" t="s">
        <v>73</v>
      </c>
      <c r="G379">
        <v>1.5834999999999999</v>
      </c>
      <c r="H379">
        <v>3E+20</v>
      </c>
      <c r="I379">
        <v>1</v>
      </c>
      <c r="J379">
        <v>2</v>
      </c>
      <c r="K379">
        <v>2</v>
      </c>
      <c r="L379">
        <v>0</v>
      </c>
      <c r="M379" s="5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379" s="5">
        <f t="array" ref="N379">MAX(IF((ProjectInfoTable[ProjectName]=ContinuousStatsTable[[#This Row],[ProjectName]]),(ProjectInfoTable[ProjectName]=ContinuousStatsTable[[#This Row],[ProjectName]])*ProjectInfoTable[NumberOfReplications]))</f>
        <v>15</v>
      </c>
      <c r="O379" s="5">
        <f t="array" ref="O379">IFERROR(AVERAGE(IF((ContinuousStatsTable[GroupByKey]=ContinuousStatsTable[[#This Row],[GroupByKey]]),(ContinuousStatsTable[GroupByKey]=ContinuousStatsTable[[#This Row],[GroupByKey]])*ContinuousStatsTable[Average])),0)</f>
        <v>1.5334471868881776</v>
      </c>
      <c r="P379" s="5">
        <f t="array" ref="P379">IFERROR(_xlfn.STDEV.S(IF((ContinuousStatsTable[GroupByKey]=ContinuousStatsTable[[#This Row],[GroupByKey]]),(ContinuousStatsTable[GroupByKey]=ContinuousStatsTable[[#This Row],[GroupByKey]])*ContinuousStatsTable[Average])),0)</f>
        <v>0.24154821158553658</v>
      </c>
      <c r="Q379" s="5">
        <f t="array" ref="Q379">MAX(IF((ProjectInfoTable[ProjectName]=ContinuousStatsTable[[#This Row],[ProjectName]]),(ProjectInfoTable[ProjectName]=ContinuousStatsTable[[#This Row],[ProjectName]])*ProjectInfoTable[ConfidenceInterval]))</f>
        <v>0.95</v>
      </c>
      <c r="R3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0.13376494097407529</v>
      </c>
      <c r="S379" s="5">
        <f t="array" ref="S379">MIN(IF((ContinuousStatsTable[GroupByKey]=ContinuousStatsTable[[#This Row],[GroupByKey]]),(ContinuousStatsTable[GroupByKey]=ContinuousStatsTable[[#This Row],[GroupByKey]])*ContinuousStatsTable[Average]))</f>
        <v>1</v>
      </c>
      <c r="T379" s="5">
        <f t="array" ref="T379">MAX(IF((ContinuousStatsTable[GroupByKey]=ContinuousStatsTable[[#This Row],[GroupByKey]]),(ContinuousStatsTable[GroupByKey]=ContinuousStatsTable[[#This Row],[GroupByKey]])*ContinuousStatsTable[Average]))</f>
        <v>2</v>
      </c>
      <c r="U379" s="5">
        <f>IF((ContinuousStatsTable[[#This Row],[RepsRequested]]&gt;1),ContinuousStatsTable[[#This Row],[HalfWidth]],ContinuousStatsTable[[#This Row],[BatchMeansHalfWidth]])</f>
        <v>0.13376494097407529</v>
      </c>
    </row>
    <row r="380" spans="1:21" x14ac:dyDescent="0.25">
      <c r="A380" t="s">
        <v>67</v>
      </c>
      <c r="B380" t="s">
        <v>70</v>
      </c>
      <c r="C380">
        <v>9</v>
      </c>
      <c r="D380" t="s">
        <v>81</v>
      </c>
      <c r="E380" t="s">
        <v>72</v>
      </c>
      <c r="F380" t="s">
        <v>73</v>
      </c>
      <c r="G380">
        <v>0</v>
      </c>
      <c r="H380">
        <v>2E+20</v>
      </c>
      <c r="I380">
        <v>0</v>
      </c>
      <c r="J380">
        <v>0</v>
      </c>
      <c r="K380">
        <v>0</v>
      </c>
      <c r="L380">
        <v>0</v>
      </c>
      <c r="M380" s="5" t="str">
        <f>ContinuousStatsTable[[#This Row],[ProjectName]]&amp;ContinuousStatsTable[[#This Row],[Name]]&amp;ContinuousStatsTable[[#This Row],[Type]]&amp;ContinuousStatsTable[[#This Row],[Source]]</f>
        <v>Unnamed ProjectcutterInstantaneous UtilizationResource</v>
      </c>
      <c r="N380" s="5">
        <f t="array" ref="N380">MAX(IF((ProjectInfoTable[ProjectName]=ContinuousStatsTable[[#This Row],[ProjectName]]),(ProjectInfoTable[ProjectName]=ContinuousStatsTable[[#This Row],[ProjectName]])*ProjectInfoTable[NumberOfReplications]))</f>
        <v>15</v>
      </c>
      <c r="O380" s="5">
        <f t="array" ref="O380">IFERROR(AVERAGE(IF((ContinuousStatsTable[GroupByKey]=ContinuousStatsTable[[#This Row],[GroupByKey]]),(ContinuousStatsTable[GroupByKey]=ContinuousStatsTable[[#This Row],[GroupByKey]])*ContinuousStatsTable[Average])),0)</f>
        <v>0</v>
      </c>
      <c r="P380" s="5">
        <f t="array" ref="P380">IFERROR(_xlfn.STDEV.S(IF((ContinuousStatsTable[GroupByKey]=ContinuousStatsTable[[#This Row],[GroupByKey]]),(ContinuousStatsTable[GroupByKey]=ContinuousStatsTable[[#This Row],[GroupByKey]])*ContinuousStatsTable[Average])),0)</f>
        <v>0</v>
      </c>
      <c r="Q380" s="5">
        <f t="array" ref="Q380">MAX(IF((ProjectInfoTable[ProjectName]=ContinuousStatsTable[[#This Row],[ProjectName]]),(ProjectInfoTable[ProjectName]=ContinuousStatsTable[[#This Row],[ProjectName]])*ProjectInfoTable[ConfidenceInterval]))</f>
        <v>0.95</v>
      </c>
      <c r="R3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0" s="5">
        <f t="array" ref="S380">MIN(IF((ContinuousStatsTable[GroupByKey]=ContinuousStatsTable[[#This Row],[GroupByKey]]),(ContinuousStatsTable[GroupByKey]=ContinuousStatsTable[[#This Row],[GroupByKey]])*ContinuousStatsTable[Average]))</f>
        <v>0</v>
      </c>
      <c r="T380" s="5">
        <f t="array" ref="T380">MAX(IF((ContinuousStatsTable[GroupByKey]=ContinuousStatsTable[[#This Row],[GroupByKey]]),(ContinuousStatsTable[GroupByKey]=ContinuousStatsTable[[#This Row],[GroupByKey]])*ContinuousStatsTable[Average]))</f>
        <v>0</v>
      </c>
      <c r="U380" s="5">
        <f>IF((ContinuousStatsTable[[#This Row],[RepsRequested]]&gt;1),ContinuousStatsTable[[#This Row],[HalfWidth]],ContinuousStatsTable[[#This Row],[BatchMeansHalfWidth]])</f>
        <v>0</v>
      </c>
    </row>
    <row r="381" spans="1:21" x14ac:dyDescent="0.25">
      <c r="A381" t="s">
        <v>67</v>
      </c>
      <c r="B381" t="s">
        <v>70</v>
      </c>
      <c r="C381">
        <v>9</v>
      </c>
      <c r="D381" t="s">
        <v>81</v>
      </c>
      <c r="E381" t="s">
        <v>74</v>
      </c>
      <c r="F381" t="s">
        <v>73</v>
      </c>
      <c r="G381">
        <v>0</v>
      </c>
      <c r="H381">
        <v>2E+20</v>
      </c>
      <c r="I381">
        <v>0</v>
      </c>
      <c r="J381">
        <v>0</v>
      </c>
      <c r="K381">
        <v>0</v>
      </c>
      <c r="L381">
        <v>0</v>
      </c>
      <c r="M381" s="5" t="str">
        <f>ContinuousStatsTable[[#This Row],[ProjectName]]&amp;ContinuousStatsTable[[#This Row],[Name]]&amp;ContinuousStatsTable[[#This Row],[Type]]&amp;ContinuousStatsTable[[#This Row],[Source]]</f>
        <v>Unnamed ProjectcutterNumber BusyResource</v>
      </c>
      <c r="N381" s="5">
        <f t="array" ref="N381">MAX(IF((ProjectInfoTable[ProjectName]=ContinuousStatsTable[[#This Row],[ProjectName]]),(ProjectInfoTable[ProjectName]=ContinuousStatsTable[[#This Row],[ProjectName]])*ProjectInfoTable[NumberOfReplications]))</f>
        <v>15</v>
      </c>
      <c r="O381" s="5">
        <f t="array" ref="O381">IFERROR(AVERAGE(IF((ContinuousStatsTable[GroupByKey]=ContinuousStatsTable[[#This Row],[GroupByKey]]),(ContinuousStatsTable[GroupByKey]=ContinuousStatsTable[[#This Row],[GroupByKey]])*ContinuousStatsTable[Average])),0)</f>
        <v>0</v>
      </c>
      <c r="P381" s="5">
        <f t="array" ref="P381">IFERROR(_xlfn.STDEV.S(IF((ContinuousStatsTable[GroupByKey]=ContinuousStatsTable[[#This Row],[GroupByKey]]),(ContinuousStatsTable[GroupByKey]=ContinuousStatsTable[[#This Row],[GroupByKey]])*ContinuousStatsTable[Average])),0)</f>
        <v>0</v>
      </c>
      <c r="Q381" s="5">
        <f t="array" ref="Q381">MAX(IF((ProjectInfoTable[ProjectName]=ContinuousStatsTable[[#This Row],[ProjectName]]),(ProjectInfoTable[ProjectName]=ContinuousStatsTable[[#This Row],[ProjectName]])*ProjectInfoTable[ConfidenceInterval]))</f>
        <v>0.95</v>
      </c>
      <c r="R3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1" s="5">
        <f t="array" ref="S381">MIN(IF((ContinuousStatsTable[GroupByKey]=ContinuousStatsTable[[#This Row],[GroupByKey]]),(ContinuousStatsTable[GroupByKey]=ContinuousStatsTable[[#This Row],[GroupByKey]])*ContinuousStatsTable[Average]))</f>
        <v>0</v>
      </c>
      <c r="T381" s="5">
        <f t="array" ref="T381">MAX(IF((ContinuousStatsTable[GroupByKey]=ContinuousStatsTable[[#This Row],[GroupByKey]]),(ContinuousStatsTable[GroupByKey]=ContinuousStatsTable[[#This Row],[GroupByKey]])*ContinuousStatsTable[Average]))</f>
        <v>0</v>
      </c>
      <c r="U381" s="5">
        <f>IF((ContinuousStatsTable[[#This Row],[RepsRequested]]&gt;1),ContinuousStatsTable[[#This Row],[HalfWidth]],ContinuousStatsTable[[#This Row],[BatchMeansHalfWidth]])</f>
        <v>0</v>
      </c>
    </row>
    <row r="382" spans="1:21" x14ac:dyDescent="0.25">
      <c r="A382" t="s">
        <v>67</v>
      </c>
      <c r="B382" t="s">
        <v>70</v>
      </c>
      <c r="C382">
        <v>9</v>
      </c>
      <c r="D382" t="s">
        <v>81</v>
      </c>
      <c r="E382" t="s">
        <v>75</v>
      </c>
      <c r="F382" t="s">
        <v>73</v>
      </c>
      <c r="G382">
        <v>1.58325</v>
      </c>
      <c r="H382">
        <v>3E+20</v>
      </c>
      <c r="I382">
        <v>1</v>
      </c>
      <c r="J382">
        <v>2</v>
      </c>
      <c r="K382">
        <v>2</v>
      </c>
      <c r="L382">
        <v>0</v>
      </c>
      <c r="M382" s="5" t="str">
        <f>ContinuousStatsTable[[#This Row],[ProjectName]]&amp;ContinuousStatsTable[[#This Row],[Name]]&amp;ContinuousStatsTable[[#This Row],[Type]]&amp;ContinuousStatsTable[[#This Row],[Source]]</f>
        <v>Unnamed ProjectcutterNumber ScheduledResource</v>
      </c>
      <c r="N382" s="5">
        <f t="array" ref="N382">MAX(IF((ProjectInfoTable[ProjectName]=ContinuousStatsTable[[#This Row],[ProjectName]]),(ProjectInfoTable[ProjectName]=ContinuousStatsTable[[#This Row],[ProjectName]])*ProjectInfoTable[NumberOfReplications]))</f>
        <v>15</v>
      </c>
      <c r="O382" s="5">
        <f t="array" ref="O382">IFERROR(AVERAGE(IF((ContinuousStatsTable[GroupByKey]=ContinuousStatsTable[[#This Row],[GroupByKey]]),(ContinuousStatsTable[GroupByKey]=ContinuousStatsTable[[#This Row],[GroupByKey]])*ContinuousStatsTable[Average])),0)</f>
        <v>1.5332999999999999</v>
      </c>
      <c r="P382" s="5">
        <f t="array" ref="P382">IFERROR(_xlfn.STDEV.S(IF((ContinuousStatsTable[GroupByKey]=ContinuousStatsTable[[#This Row],[GroupByKey]]),(ContinuousStatsTable[GroupByKey]=ContinuousStatsTable[[#This Row],[GroupByKey]])*ContinuousStatsTable[Average])),0)</f>
        <v>0.24151556349584294</v>
      </c>
      <c r="Q382" s="5">
        <f t="array" ref="Q382">MAX(IF((ProjectInfoTable[ProjectName]=ContinuousStatsTable[[#This Row],[ProjectName]]),(ProjectInfoTable[ProjectName]=ContinuousStatsTable[[#This Row],[ProjectName]])*ProjectInfoTable[ConfidenceInterval]))</f>
        <v>0.95</v>
      </c>
      <c r="R3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0.1337468610646356</v>
      </c>
      <c r="S382" s="5">
        <f t="array" ref="S382">MIN(IF((ContinuousStatsTable[GroupByKey]=ContinuousStatsTable[[#This Row],[GroupByKey]]),(ContinuousStatsTable[GroupByKey]=ContinuousStatsTable[[#This Row],[GroupByKey]])*ContinuousStatsTable[Average]))</f>
        <v>1</v>
      </c>
      <c r="T382" s="5">
        <f t="array" ref="T382">MAX(IF((ContinuousStatsTable[GroupByKey]=ContinuousStatsTable[[#This Row],[GroupByKey]]),(ContinuousStatsTable[GroupByKey]=ContinuousStatsTable[[#This Row],[GroupByKey]])*ContinuousStatsTable[Average]))</f>
        <v>2</v>
      </c>
      <c r="U382" s="5">
        <f>IF((ContinuousStatsTable[[#This Row],[RepsRequested]]&gt;1),ContinuousStatsTable[[#This Row],[HalfWidth]],ContinuousStatsTable[[#This Row],[BatchMeansHalfWidth]])</f>
        <v>0.1337468610646356</v>
      </c>
    </row>
    <row r="383" spans="1:21" x14ac:dyDescent="0.25">
      <c r="A383" t="s">
        <v>67</v>
      </c>
      <c r="B383" t="s">
        <v>70</v>
      </c>
      <c r="C383">
        <v>9</v>
      </c>
      <c r="D383" t="s">
        <v>82</v>
      </c>
      <c r="E383" t="s">
        <v>72</v>
      </c>
      <c r="F383" t="s">
        <v>73</v>
      </c>
      <c r="G383">
        <v>0</v>
      </c>
      <c r="H383">
        <v>2E+20</v>
      </c>
      <c r="I383">
        <v>0</v>
      </c>
      <c r="J383">
        <v>0</v>
      </c>
      <c r="K383">
        <v>0</v>
      </c>
      <c r="L383">
        <v>0</v>
      </c>
      <c r="M383" s="5" t="str">
        <f>ContinuousStatsTable[[#This Row],[ProjectName]]&amp;ContinuousStatsTable[[#This Row],[Name]]&amp;ContinuousStatsTable[[#This Row],[Type]]&amp;ContinuousStatsTable[[#This Row],[Source]]</f>
        <v>Unnamed ProjectfinalqcmanInstantaneous UtilizationResource</v>
      </c>
      <c r="N383" s="5">
        <f t="array" ref="N383">MAX(IF((ProjectInfoTable[ProjectName]=ContinuousStatsTable[[#This Row],[ProjectName]]),(ProjectInfoTable[ProjectName]=ContinuousStatsTable[[#This Row],[ProjectName]])*ProjectInfoTable[NumberOfReplications]))</f>
        <v>15</v>
      </c>
      <c r="O383" s="5">
        <f t="array" ref="O383">IFERROR(AVERAGE(IF((ContinuousStatsTable[GroupByKey]=ContinuousStatsTable[[#This Row],[GroupByKey]]),(ContinuousStatsTable[GroupByKey]=ContinuousStatsTable[[#This Row],[GroupByKey]])*ContinuousStatsTable[Average])),0)</f>
        <v>0</v>
      </c>
      <c r="P383" s="5">
        <f t="array" ref="P383">IFERROR(_xlfn.STDEV.S(IF((ContinuousStatsTable[GroupByKey]=ContinuousStatsTable[[#This Row],[GroupByKey]]),(ContinuousStatsTable[GroupByKey]=ContinuousStatsTable[[#This Row],[GroupByKey]])*ContinuousStatsTable[Average])),0)</f>
        <v>0</v>
      </c>
      <c r="Q383" s="5">
        <f t="array" ref="Q383">MAX(IF((ProjectInfoTable[ProjectName]=ContinuousStatsTable[[#This Row],[ProjectName]]),(ProjectInfoTable[ProjectName]=ContinuousStatsTable[[#This Row],[ProjectName]])*ProjectInfoTable[ConfidenceInterval]))</f>
        <v>0.95</v>
      </c>
      <c r="R3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3" s="5">
        <f t="array" ref="S383">MIN(IF((ContinuousStatsTable[GroupByKey]=ContinuousStatsTable[[#This Row],[GroupByKey]]),(ContinuousStatsTable[GroupByKey]=ContinuousStatsTable[[#This Row],[GroupByKey]])*ContinuousStatsTable[Average]))</f>
        <v>0</v>
      </c>
      <c r="T383" s="5">
        <f t="array" ref="T383">MAX(IF((ContinuousStatsTable[GroupByKey]=ContinuousStatsTable[[#This Row],[GroupByKey]]),(ContinuousStatsTable[GroupByKey]=ContinuousStatsTable[[#This Row],[GroupByKey]])*ContinuousStatsTable[Average]))</f>
        <v>0</v>
      </c>
      <c r="U383" s="5">
        <f>IF((ContinuousStatsTable[[#This Row],[RepsRequested]]&gt;1),ContinuousStatsTable[[#This Row],[HalfWidth]],ContinuousStatsTable[[#This Row],[BatchMeansHalfWidth]])</f>
        <v>0</v>
      </c>
    </row>
    <row r="384" spans="1:21" x14ac:dyDescent="0.25">
      <c r="A384" t="s">
        <v>67</v>
      </c>
      <c r="B384" t="s">
        <v>70</v>
      </c>
      <c r="C384">
        <v>9</v>
      </c>
      <c r="D384" t="s">
        <v>82</v>
      </c>
      <c r="E384" t="s">
        <v>74</v>
      </c>
      <c r="F384" t="s">
        <v>73</v>
      </c>
      <c r="G384">
        <v>0</v>
      </c>
      <c r="H384">
        <v>2E+20</v>
      </c>
      <c r="I384">
        <v>0</v>
      </c>
      <c r="J384">
        <v>0</v>
      </c>
      <c r="K384">
        <v>0</v>
      </c>
      <c r="L384">
        <v>0</v>
      </c>
      <c r="M384" s="5" t="str">
        <f>ContinuousStatsTable[[#This Row],[ProjectName]]&amp;ContinuousStatsTable[[#This Row],[Name]]&amp;ContinuousStatsTable[[#This Row],[Type]]&amp;ContinuousStatsTable[[#This Row],[Source]]</f>
        <v>Unnamed ProjectfinalqcmanNumber BusyResource</v>
      </c>
      <c r="N384" s="5">
        <f t="array" ref="N384">MAX(IF((ProjectInfoTable[ProjectName]=ContinuousStatsTable[[#This Row],[ProjectName]]),(ProjectInfoTable[ProjectName]=ContinuousStatsTable[[#This Row],[ProjectName]])*ProjectInfoTable[NumberOfReplications]))</f>
        <v>15</v>
      </c>
      <c r="O384" s="5">
        <f t="array" ref="O384">IFERROR(AVERAGE(IF((ContinuousStatsTable[GroupByKey]=ContinuousStatsTable[[#This Row],[GroupByKey]]),(ContinuousStatsTable[GroupByKey]=ContinuousStatsTable[[#This Row],[GroupByKey]])*ContinuousStatsTable[Average])),0)</f>
        <v>0</v>
      </c>
      <c r="P384" s="5">
        <f t="array" ref="P384">IFERROR(_xlfn.STDEV.S(IF((ContinuousStatsTable[GroupByKey]=ContinuousStatsTable[[#This Row],[GroupByKey]]),(ContinuousStatsTable[GroupByKey]=ContinuousStatsTable[[#This Row],[GroupByKey]])*ContinuousStatsTable[Average])),0)</f>
        <v>0</v>
      </c>
      <c r="Q384" s="5">
        <f t="array" ref="Q384">MAX(IF((ProjectInfoTable[ProjectName]=ContinuousStatsTable[[#This Row],[ProjectName]]),(ProjectInfoTable[ProjectName]=ContinuousStatsTable[[#This Row],[ProjectName]])*ProjectInfoTable[ConfidenceInterval]))</f>
        <v>0.95</v>
      </c>
      <c r="R3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4" s="5">
        <f t="array" ref="S384">MIN(IF((ContinuousStatsTable[GroupByKey]=ContinuousStatsTable[[#This Row],[GroupByKey]]),(ContinuousStatsTable[GroupByKey]=ContinuousStatsTable[[#This Row],[GroupByKey]])*ContinuousStatsTable[Average]))</f>
        <v>0</v>
      </c>
      <c r="T384" s="5">
        <f t="array" ref="T384">MAX(IF((ContinuousStatsTable[GroupByKey]=ContinuousStatsTable[[#This Row],[GroupByKey]]),(ContinuousStatsTable[GroupByKey]=ContinuousStatsTable[[#This Row],[GroupByKey]])*ContinuousStatsTable[Average]))</f>
        <v>0</v>
      </c>
      <c r="U384" s="5">
        <f>IF((ContinuousStatsTable[[#This Row],[RepsRequested]]&gt;1),ContinuousStatsTable[[#This Row],[HalfWidth]],ContinuousStatsTable[[#This Row],[BatchMeansHalfWidth]])</f>
        <v>0</v>
      </c>
    </row>
    <row r="385" spans="1:21" x14ac:dyDescent="0.25">
      <c r="A385" t="s">
        <v>67</v>
      </c>
      <c r="B385" t="s">
        <v>70</v>
      </c>
      <c r="C385">
        <v>9</v>
      </c>
      <c r="D385" t="s">
        <v>82</v>
      </c>
      <c r="E385" t="s">
        <v>75</v>
      </c>
      <c r="F385" t="s">
        <v>73</v>
      </c>
      <c r="G385">
        <v>1.5834999999999999</v>
      </c>
      <c r="H385">
        <v>3E+20</v>
      </c>
      <c r="I385">
        <v>1</v>
      </c>
      <c r="J385">
        <v>2</v>
      </c>
      <c r="K385">
        <v>2</v>
      </c>
      <c r="L385">
        <v>0</v>
      </c>
      <c r="M385" s="5" t="str">
        <f>ContinuousStatsTable[[#This Row],[ProjectName]]&amp;ContinuousStatsTable[[#This Row],[Name]]&amp;ContinuousStatsTable[[#This Row],[Type]]&amp;ContinuousStatsTable[[#This Row],[Source]]</f>
        <v>Unnamed ProjectfinalqcmanNumber ScheduledResource</v>
      </c>
      <c r="N385" s="5">
        <f t="array" ref="N385">MAX(IF((ProjectInfoTable[ProjectName]=ContinuousStatsTable[[#This Row],[ProjectName]]),(ProjectInfoTable[ProjectName]=ContinuousStatsTable[[#This Row],[ProjectName]])*ProjectInfoTable[NumberOfReplications]))</f>
        <v>15</v>
      </c>
      <c r="O385" s="5">
        <f t="array" ref="O385">IFERROR(AVERAGE(IF((ContinuousStatsTable[GroupByKey]=ContinuousStatsTable[[#This Row],[GroupByKey]]),(ContinuousStatsTable[GroupByKey]=ContinuousStatsTable[[#This Row],[GroupByKey]])*ContinuousStatsTable[Average])),0)</f>
        <v>1.5334510661643974</v>
      </c>
      <c r="P385" s="5">
        <f t="array" ref="P385">IFERROR(_xlfn.STDEV.S(IF((ContinuousStatsTable[GroupByKey]=ContinuousStatsTable[[#This Row],[GroupByKey]]),(ContinuousStatsTable[GroupByKey]=ContinuousStatsTable[[#This Row],[GroupByKey]])*ContinuousStatsTable[Average])),0)</f>
        <v>0.24154906725932371</v>
      </c>
      <c r="Q385" s="5">
        <f t="array" ref="Q385">MAX(IF((ProjectInfoTable[ProjectName]=ContinuousStatsTable[[#This Row],[ProjectName]]),(ProjectInfoTable[ProjectName]=ContinuousStatsTable[[#This Row],[ProjectName]])*ProjectInfoTable[ConfidenceInterval]))</f>
        <v>0.95</v>
      </c>
      <c r="R3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0.13376541483042423</v>
      </c>
      <c r="S385" s="5">
        <f t="array" ref="S385">MIN(IF((ContinuousStatsTable[GroupByKey]=ContinuousStatsTable[[#This Row],[GroupByKey]]),(ContinuousStatsTable[GroupByKey]=ContinuousStatsTable[[#This Row],[GroupByKey]])*ContinuousStatsTable[Average]))</f>
        <v>1</v>
      </c>
      <c r="T385" s="5">
        <f t="array" ref="T385">MAX(IF((ContinuousStatsTable[GroupByKey]=ContinuousStatsTable[[#This Row],[GroupByKey]]),(ContinuousStatsTable[GroupByKey]=ContinuousStatsTable[[#This Row],[GroupByKey]])*ContinuousStatsTable[Average]))</f>
        <v>2</v>
      </c>
      <c r="U385" s="5">
        <f>IF((ContinuousStatsTable[[#This Row],[RepsRequested]]&gt;1),ContinuousStatsTable[[#This Row],[HalfWidth]],ContinuousStatsTable[[#This Row],[BatchMeansHalfWidth]])</f>
        <v>0.13376541483042423</v>
      </c>
    </row>
    <row r="386" spans="1:21" x14ac:dyDescent="0.25">
      <c r="A386" t="s">
        <v>67</v>
      </c>
      <c r="B386" t="s">
        <v>70</v>
      </c>
      <c r="C386">
        <v>9</v>
      </c>
      <c r="D386" t="s">
        <v>83</v>
      </c>
      <c r="E386" t="s">
        <v>84</v>
      </c>
      <c r="F386" t="s">
        <v>85</v>
      </c>
      <c r="G386">
        <v>0</v>
      </c>
      <c r="H386">
        <v>2E+20</v>
      </c>
      <c r="I386">
        <v>0</v>
      </c>
      <c r="J386">
        <v>0</v>
      </c>
      <c r="K386">
        <v>0</v>
      </c>
      <c r="L386">
        <v>0</v>
      </c>
      <c r="M386" s="5" t="str">
        <f>ContinuousStatsTable[[#This Row],[ProjectName]]&amp;ContinuousStatsTable[[#This Row],[Name]]&amp;ContinuousStatsTable[[#This Row],[Type]]&amp;ContinuousStatsTable[[#This Row],[Source]]</f>
        <v>Unnamed Projectinspectorseize.QueueNumber WaitingQueue</v>
      </c>
      <c r="N386" s="5">
        <f t="array" ref="N386">MAX(IF((ProjectInfoTable[ProjectName]=ContinuousStatsTable[[#This Row],[ProjectName]]),(ProjectInfoTable[ProjectName]=ContinuousStatsTable[[#This Row],[ProjectName]])*ProjectInfoTable[NumberOfReplications]))</f>
        <v>15</v>
      </c>
      <c r="O386" s="5">
        <f t="array" ref="O386">IFERROR(AVERAGE(IF((ContinuousStatsTable[GroupByKey]=ContinuousStatsTable[[#This Row],[GroupByKey]]),(ContinuousStatsTable[GroupByKey]=ContinuousStatsTable[[#This Row],[GroupByKey]])*ContinuousStatsTable[Average])),0)</f>
        <v>0</v>
      </c>
      <c r="P386" s="5">
        <f t="array" ref="P386">IFERROR(_xlfn.STDEV.S(IF((ContinuousStatsTable[GroupByKey]=ContinuousStatsTable[[#This Row],[GroupByKey]]),(ContinuousStatsTable[GroupByKey]=ContinuousStatsTable[[#This Row],[GroupByKey]])*ContinuousStatsTable[Average])),0)</f>
        <v>0</v>
      </c>
      <c r="Q386" s="5">
        <f t="array" ref="Q386">MAX(IF((ProjectInfoTable[ProjectName]=ContinuousStatsTable[[#This Row],[ProjectName]]),(ProjectInfoTable[ProjectName]=ContinuousStatsTable[[#This Row],[ProjectName]])*ProjectInfoTable[ConfidenceInterval]))</f>
        <v>0.95</v>
      </c>
      <c r="R3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6" s="5">
        <f t="array" ref="S386">MIN(IF((ContinuousStatsTable[GroupByKey]=ContinuousStatsTable[[#This Row],[GroupByKey]]),(ContinuousStatsTable[GroupByKey]=ContinuousStatsTable[[#This Row],[GroupByKey]])*ContinuousStatsTable[Average]))</f>
        <v>0</v>
      </c>
      <c r="T386" s="5">
        <f t="array" ref="T386">MAX(IF((ContinuousStatsTable[GroupByKey]=ContinuousStatsTable[[#This Row],[GroupByKey]]),(ContinuousStatsTable[GroupByKey]=ContinuousStatsTable[[#This Row],[GroupByKey]])*ContinuousStatsTable[Average]))</f>
        <v>0</v>
      </c>
      <c r="U386" s="5">
        <f>IF((ContinuousStatsTable[[#This Row],[RepsRequested]]&gt;1),ContinuousStatsTable[[#This Row],[HalfWidth]],ContinuousStatsTable[[#This Row],[BatchMeansHalfWidth]])</f>
        <v>0</v>
      </c>
    </row>
    <row r="387" spans="1:21" x14ac:dyDescent="0.25">
      <c r="A387" t="s">
        <v>67</v>
      </c>
      <c r="B387" t="s">
        <v>70</v>
      </c>
      <c r="C387">
        <v>9</v>
      </c>
      <c r="D387" t="s">
        <v>86</v>
      </c>
      <c r="E387" t="s">
        <v>84</v>
      </c>
      <c r="F387" t="s">
        <v>85</v>
      </c>
      <c r="G387">
        <v>4</v>
      </c>
      <c r="H387">
        <v>2E+20</v>
      </c>
      <c r="I387">
        <v>4</v>
      </c>
      <c r="J387">
        <v>4</v>
      </c>
      <c r="K387">
        <v>4</v>
      </c>
      <c r="L387">
        <v>0</v>
      </c>
      <c r="M387" s="5" t="str">
        <f>ContinuousStatsTable[[#This Row],[ProjectName]]&amp;ContinuousStatsTable[[#This Row],[Name]]&amp;ContinuousStatsTable[[#This Row],[Type]]&amp;ContinuousStatsTable[[#This Row],[Source]]</f>
        <v>Unnamed Projectmatch_truckcombo.Queue1Number WaitingQueue</v>
      </c>
      <c r="N387" s="5">
        <f t="array" ref="N387">MAX(IF((ProjectInfoTable[ProjectName]=ContinuousStatsTable[[#This Row],[ProjectName]]),(ProjectInfoTable[ProjectName]=ContinuousStatsTable[[#This Row],[ProjectName]])*ProjectInfoTable[NumberOfReplications]))</f>
        <v>15</v>
      </c>
      <c r="O387" s="5">
        <f t="array" ref="O387">IFERROR(AVERAGE(IF((ContinuousStatsTable[GroupByKey]=ContinuousStatsTable[[#This Row],[GroupByKey]]),(ContinuousStatsTable[GroupByKey]=ContinuousStatsTable[[#This Row],[GroupByKey]])*ContinuousStatsTable[Average])),0)</f>
        <v>3.3333333333333335</v>
      </c>
      <c r="P387" s="5">
        <f t="array" ref="P387">IFERROR(_xlfn.STDEV.S(IF((ContinuousStatsTable[GroupByKey]=ContinuousStatsTable[[#This Row],[GroupByKey]]),(ContinuousStatsTable[GroupByKey]=ContinuousStatsTable[[#This Row],[GroupByKey]])*ContinuousStatsTable[Average])),0)</f>
        <v>4.577377082170635</v>
      </c>
      <c r="Q387" s="5">
        <f t="array" ref="Q387">MAX(IF((ProjectInfoTable[ProjectName]=ContinuousStatsTable[[#This Row],[ProjectName]]),(ProjectInfoTable[ProjectName]=ContinuousStatsTable[[#This Row],[ProjectName]])*ProjectInfoTable[ConfidenceInterval]))</f>
        <v>0.95</v>
      </c>
      <c r="R3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2.5348669368881507</v>
      </c>
      <c r="S387" s="5">
        <f t="array" ref="S387">MIN(IF((ContinuousStatsTable[GroupByKey]=ContinuousStatsTable[[#This Row],[GroupByKey]]),(ContinuousStatsTable[GroupByKey]=ContinuousStatsTable[[#This Row],[GroupByKey]])*ContinuousStatsTable[Average]))</f>
        <v>0</v>
      </c>
      <c r="T387" s="5">
        <f t="array" ref="T387">MAX(IF((ContinuousStatsTable[GroupByKey]=ContinuousStatsTable[[#This Row],[GroupByKey]]),(ContinuousStatsTable[GroupByKey]=ContinuousStatsTable[[#This Row],[GroupByKey]])*ContinuousStatsTable[Average]))</f>
        <v>12</v>
      </c>
      <c r="U387" s="5">
        <f>IF((ContinuousStatsTable[[#This Row],[RepsRequested]]&gt;1),ContinuousStatsTable[[#This Row],[HalfWidth]],ContinuousStatsTable[[#This Row],[BatchMeansHalfWidth]])</f>
        <v>2.5348669368881507</v>
      </c>
    </row>
    <row r="388" spans="1:21" x14ac:dyDescent="0.25">
      <c r="A388" t="s">
        <v>67</v>
      </c>
      <c r="B388" t="s">
        <v>70</v>
      </c>
      <c r="C388">
        <v>9</v>
      </c>
      <c r="D388" t="s">
        <v>87</v>
      </c>
      <c r="E388" t="s">
        <v>84</v>
      </c>
      <c r="F388" t="s">
        <v>85</v>
      </c>
      <c r="G388">
        <v>0</v>
      </c>
      <c r="H388">
        <v>2E+20</v>
      </c>
      <c r="I388">
        <v>0</v>
      </c>
      <c r="J388">
        <v>0</v>
      </c>
      <c r="K388">
        <v>0</v>
      </c>
      <c r="L388">
        <v>0</v>
      </c>
      <c r="M388" s="5" t="str">
        <f>ContinuousStatsTable[[#This Row],[ProjectName]]&amp;ContinuousStatsTable[[#This Row],[Name]]&amp;ContinuousStatsTable[[#This Row],[Type]]&amp;ContinuousStatsTable[[#This Row],[Source]]</f>
        <v>Unnamed Projectmatch_truckcombo.Queue2Number WaitingQueue</v>
      </c>
      <c r="N388" s="5">
        <f t="array" ref="N388">MAX(IF((ProjectInfoTable[ProjectName]=ContinuousStatsTable[[#This Row],[ProjectName]]),(ProjectInfoTable[ProjectName]=ContinuousStatsTable[[#This Row],[ProjectName]])*ProjectInfoTable[NumberOfReplications]))</f>
        <v>15</v>
      </c>
      <c r="O388" s="5">
        <f t="array" ref="O388">IFERROR(AVERAGE(IF((ContinuousStatsTable[GroupByKey]=ContinuousStatsTable[[#This Row],[GroupByKey]]),(ContinuousStatsTable[GroupByKey]=ContinuousStatsTable[[#This Row],[GroupByKey]])*ContinuousStatsTable[Average])),0)</f>
        <v>2.8</v>
      </c>
      <c r="P388" s="5">
        <f t="array" ref="P388">IFERROR(_xlfn.STDEV.S(IF((ContinuousStatsTable[GroupByKey]=ContinuousStatsTable[[#This Row],[GroupByKey]]),(ContinuousStatsTable[GroupByKey]=ContinuousStatsTable[[#This Row],[GroupByKey]])*ContinuousStatsTable[Average])),0)</f>
        <v>5.226307081896902</v>
      </c>
      <c r="Q388" s="5">
        <f t="array" ref="Q388">MAX(IF((ProjectInfoTable[ProjectName]=ContinuousStatsTable[[#This Row],[ProjectName]]),(ProjectInfoTable[ProjectName]=ContinuousStatsTable[[#This Row],[ProjectName]])*ProjectInfoTable[ConfidenceInterval]))</f>
        <v>0.95</v>
      </c>
      <c r="R3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2.8942323925042523</v>
      </c>
      <c r="S388" s="5">
        <f t="array" ref="S388">MIN(IF((ContinuousStatsTable[GroupByKey]=ContinuousStatsTable[[#This Row],[GroupByKey]]),(ContinuousStatsTable[GroupByKey]=ContinuousStatsTable[[#This Row],[GroupByKey]])*ContinuousStatsTable[Average]))</f>
        <v>0</v>
      </c>
      <c r="T388" s="5">
        <f t="array" ref="T388">MAX(IF((ContinuousStatsTable[GroupByKey]=ContinuousStatsTable[[#This Row],[GroupByKey]]),(ContinuousStatsTable[GroupByKey]=ContinuousStatsTable[[#This Row],[GroupByKey]])*ContinuousStatsTable[Average]))</f>
        <v>16</v>
      </c>
      <c r="U388" s="5">
        <f>IF((ContinuousStatsTable[[#This Row],[RepsRequested]]&gt;1),ContinuousStatsTable[[#This Row],[HalfWidth]],ContinuousStatsTable[[#This Row],[BatchMeansHalfWidth]])</f>
        <v>2.8942323925042523</v>
      </c>
    </row>
    <row r="389" spans="1:21" x14ac:dyDescent="0.25">
      <c r="A389" t="s">
        <v>67</v>
      </c>
      <c r="B389" t="s">
        <v>70</v>
      </c>
      <c r="C389">
        <v>9</v>
      </c>
      <c r="D389" t="s">
        <v>88</v>
      </c>
      <c r="E389" t="s">
        <v>72</v>
      </c>
      <c r="F389" t="s">
        <v>73</v>
      </c>
      <c r="G389">
        <v>0</v>
      </c>
      <c r="H389">
        <v>2E+20</v>
      </c>
      <c r="I389">
        <v>0</v>
      </c>
      <c r="J389">
        <v>0</v>
      </c>
      <c r="K389">
        <v>0</v>
      </c>
      <c r="L389">
        <v>0</v>
      </c>
      <c r="M389" s="5" t="str">
        <f>ContinuousStatsTable[[#This Row],[ProjectName]]&amp;ContinuousStatsTable[[#This Row],[Name]]&amp;ContinuousStatsTable[[#This Row],[Type]]&amp;ContinuousStatsTable[[#This Row],[Source]]</f>
        <v>Unnamed ProjectpaintingmachineInstantaneous UtilizationResource</v>
      </c>
      <c r="N389" s="5">
        <f t="array" ref="N389">MAX(IF((ProjectInfoTable[ProjectName]=ContinuousStatsTable[[#This Row],[ProjectName]]),(ProjectInfoTable[ProjectName]=ContinuousStatsTable[[#This Row],[ProjectName]])*ProjectInfoTable[NumberOfReplications]))</f>
        <v>15</v>
      </c>
      <c r="O389" s="5">
        <f t="array" ref="O389">IFERROR(AVERAGE(IF((ContinuousStatsTable[GroupByKey]=ContinuousStatsTable[[#This Row],[GroupByKey]]),(ContinuousStatsTable[GroupByKey]=ContinuousStatsTable[[#This Row],[GroupByKey]])*ContinuousStatsTable[Average])),0)</f>
        <v>0</v>
      </c>
      <c r="P389" s="5">
        <f t="array" ref="P389">IFERROR(_xlfn.STDEV.S(IF((ContinuousStatsTable[GroupByKey]=ContinuousStatsTable[[#This Row],[GroupByKey]]),(ContinuousStatsTable[GroupByKey]=ContinuousStatsTable[[#This Row],[GroupByKey]])*ContinuousStatsTable[Average])),0)</f>
        <v>0</v>
      </c>
      <c r="Q389" s="5">
        <f t="array" ref="Q389">MAX(IF((ProjectInfoTable[ProjectName]=ContinuousStatsTable[[#This Row],[ProjectName]]),(ProjectInfoTable[ProjectName]=ContinuousStatsTable[[#This Row],[ProjectName]])*ProjectInfoTable[ConfidenceInterval]))</f>
        <v>0.95</v>
      </c>
      <c r="R3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9" s="5">
        <f t="array" ref="S389">MIN(IF((ContinuousStatsTable[GroupByKey]=ContinuousStatsTable[[#This Row],[GroupByKey]]),(ContinuousStatsTable[GroupByKey]=ContinuousStatsTable[[#This Row],[GroupByKey]])*ContinuousStatsTable[Average]))</f>
        <v>0</v>
      </c>
      <c r="T389" s="5">
        <f t="array" ref="T389">MAX(IF((ContinuousStatsTable[GroupByKey]=ContinuousStatsTable[[#This Row],[GroupByKey]]),(ContinuousStatsTable[GroupByKey]=ContinuousStatsTable[[#This Row],[GroupByKey]])*ContinuousStatsTable[Average]))</f>
        <v>0</v>
      </c>
      <c r="U389" s="5">
        <f>IF((ContinuousStatsTable[[#This Row],[RepsRequested]]&gt;1),ContinuousStatsTable[[#This Row],[HalfWidth]],ContinuousStatsTable[[#This Row],[BatchMeansHalfWidth]])</f>
        <v>0</v>
      </c>
    </row>
    <row r="390" spans="1:21" x14ac:dyDescent="0.25">
      <c r="A390" t="s">
        <v>67</v>
      </c>
      <c r="B390" t="s">
        <v>70</v>
      </c>
      <c r="C390">
        <v>9</v>
      </c>
      <c r="D390" t="s">
        <v>88</v>
      </c>
      <c r="E390" t="s">
        <v>74</v>
      </c>
      <c r="F390" t="s">
        <v>73</v>
      </c>
      <c r="G390">
        <v>0</v>
      </c>
      <c r="H390">
        <v>2E+20</v>
      </c>
      <c r="I390">
        <v>0</v>
      </c>
      <c r="J390">
        <v>0</v>
      </c>
      <c r="K390">
        <v>0</v>
      </c>
      <c r="L390">
        <v>0</v>
      </c>
      <c r="M390" s="5" t="str">
        <f>ContinuousStatsTable[[#This Row],[ProjectName]]&amp;ContinuousStatsTable[[#This Row],[Name]]&amp;ContinuousStatsTable[[#This Row],[Type]]&amp;ContinuousStatsTable[[#This Row],[Source]]</f>
        <v>Unnamed ProjectpaintingmachineNumber BusyResource</v>
      </c>
      <c r="N390" s="5">
        <f t="array" ref="N390">MAX(IF((ProjectInfoTable[ProjectName]=ContinuousStatsTable[[#This Row],[ProjectName]]),(ProjectInfoTable[ProjectName]=ContinuousStatsTable[[#This Row],[ProjectName]])*ProjectInfoTable[NumberOfReplications]))</f>
        <v>15</v>
      </c>
      <c r="O390" s="5">
        <f t="array" ref="O390">IFERROR(AVERAGE(IF((ContinuousStatsTable[GroupByKey]=ContinuousStatsTable[[#This Row],[GroupByKey]]),(ContinuousStatsTable[GroupByKey]=ContinuousStatsTable[[#This Row],[GroupByKey]])*ContinuousStatsTable[Average])),0)</f>
        <v>0</v>
      </c>
      <c r="P390" s="5">
        <f t="array" ref="P390">IFERROR(_xlfn.STDEV.S(IF((ContinuousStatsTable[GroupByKey]=ContinuousStatsTable[[#This Row],[GroupByKey]]),(ContinuousStatsTable[GroupByKey]=ContinuousStatsTable[[#This Row],[GroupByKey]])*ContinuousStatsTable[Average])),0)</f>
        <v>0</v>
      </c>
      <c r="Q390" s="5">
        <f t="array" ref="Q390">MAX(IF((ProjectInfoTable[ProjectName]=ContinuousStatsTable[[#This Row],[ProjectName]]),(ProjectInfoTable[ProjectName]=ContinuousStatsTable[[#This Row],[ProjectName]])*ProjectInfoTable[ConfidenceInterval]))</f>
        <v>0.95</v>
      </c>
      <c r="R3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0" s="5">
        <f t="array" ref="S390">MIN(IF((ContinuousStatsTable[GroupByKey]=ContinuousStatsTable[[#This Row],[GroupByKey]]),(ContinuousStatsTable[GroupByKey]=ContinuousStatsTable[[#This Row],[GroupByKey]])*ContinuousStatsTable[Average]))</f>
        <v>0</v>
      </c>
      <c r="T390" s="5">
        <f t="array" ref="T390">MAX(IF((ContinuousStatsTable[GroupByKey]=ContinuousStatsTable[[#This Row],[GroupByKey]]),(ContinuousStatsTable[GroupByKey]=ContinuousStatsTable[[#This Row],[GroupByKey]])*ContinuousStatsTable[Average]))</f>
        <v>0</v>
      </c>
      <c r="U390" s="5">
        <f>IF((ContinuousStatsTable[[#This Row],[RepsRequested]]&gt;1),ContinuousStatsTable[[#This Row],[HalfWidth]],ContinuousStatsTable[[#This Row],[BatchMeansHalfWidth]])</f>
        <v>0</v>
      </c>
    </row>
    <row r="391" spans="1:21" x14ac:dyDescent="0.25">
      <c r="A391" t="s">
        <v>67</v>
      </c>
      <c r="B391" t="s">
        <v>70</v>
      </c>
      <c r="C391">
        <v>9</v>
      </c>
      <c r="D391" t="s">
        <v>88</v>
      </c>
      <c r="E391" t="s">
        <v>75</v>
      </c>
      <c r="F391" t="s">
        <v>73</v>
      </c>
      <c r="G391">
        <v>1</v>
      </c>
      <c r="H391">
        <v>2E+20</v>
      </c>
      <c r="I391">
        <v>1</v>
      </c>
      <c r="J391">
        <v>1</v>
      </c>
      <c r="K391">
        <v>1</v>
      </c>
      <c r="L391">
        <v>0</v>
      </c>
      <c r="M391" s="5" t="str">
        <f>ContinuousStatsTable[[#This Row],[ProjectName]]&amp;ContinuousStatsTable[[#This Row],[Name]]&amp;ContinuousStatsTable[[#This Row],[Type]]&amp;ContinuousStatsTable[[#This Row],[Source]]</f>
        <v>Unnamed ProjectpaintingmachineNumber ScheduledResource</v>
      </c>
      <c r="N391" s="5">
        <f t="array" ref="N391">MAX(IF((ProjectInfoTable[ProjectName]=ContinuousStatsTable[[#This Row],[ProjectName]]),(ProjectInfoTable[ProjectName]=ContinuousStatsTable[[#This Row],[ProjectName]])*ProjectInfoTable[NumberOfReplications]))</f>
        <v>15</v>
      </c>
      <c r="O391" s="5">
        <f t="array" ref="O391">IFERROR(AVERAGE(IF((ContinuousStatsTable[GroupByKey]=ContinuousStatsTable[[#This Row],[GroupByKey]]),(ContinuousStatsTable[GroupByKey]=ContinuousStatsTable[[#This Row],[GroupByKey]])*ContinuousStatsTable[Average])),0)</f>
        <v>1</v>
      </c>
      <c r="P391" s="5">
        <f t="array" ref="P391">IFERROR(_xlfn.STDEV.S(IF((ContinuousStatsTable[GroupByKey]=ContinuousStatsTable[[#This Row],[GroupByKey]]),(ContinuousStatsTable[GroupByKey]=ContinuousStatsTable[[#This Row],[GroupByKey]])*ContinuousStatsTable[Average])),0)</f>
        <v>0</v>
      </c>
      <c r="Q391" s="5">
        <f t="array" ref="Q391">MAX(IF((ProjectInfoTable[ProjectName]=ContinuousStatsTable[[#This Row],[ProjectName]]),(ProjectInfoTable[ProjectName]=ContinuousStatsTable[[#This Row],[ProjectName]])*ProjectInfoTable[ConfidenceInterval]))</f>
        <v>0.95</v>
      </c>
      <c r="R3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1" s="5">
        <f t="array" ref="S391">MIN(IF((ContinuousStatsTable[GroupByKey]=ContinuousStatsTable[[#This Row],[GroupByKey]]),(ContinuousStatsTable[GroupByKey]=ContinuousStatsTable[[#This Row],[GroupByKey]])*ContinuousStatsTable[Average]))</f>
        <v>1</v>
      </c>
      <c r="T391" s="5">
        <f t="array" ref="T391">MAX(IF((ContinuousStatsTable[GroupByKey]=ContinuousStatsTable[[#This Row],[GroupByKey]]),(ContinuousStatsTable[GroupByKey]=ContinuousStatsTable[[#This Row],[GroupByKey]])*ContinuousStatsTable[Average]))</f>
        <v>1</v>
      </c>
      <c r="U391" s="5">
        <f>IF((ContinuousStatsTable[[#This Row],[RepsRequested]]&gt;1),ContinuousStatsTable[[#This Row],[HalfWidth]],ContinuousStatsTable[[#This Row],[BatchMeansHalfWidth]])</f>
        <v>0</v>
      </c>
    </row>
    <row r="392" spans="1:21" x14ac:dyDescent="0.25">
      <c r="A392" t="s">
        <v>67</v>
      </c>
      <c r="B392" t="s">
        <v>70</v>
      </c>
      <c r="C392">
        <v>9</v>
      </c>
      <c r="D392" t="s">
        <v>89</v>
      </c>
      <c r="E392" t="s">
        <v>72</v>
      </c>
      <c r="F392" t="s">
        <v>73</v>
      </c>
      <c r="G392">
        <v>0</v>
      </c>
      <c r="H392">
        <v>2E+20</v>
      </c>
      <c r="I392">
        <v>0</v>
      </c>
      <c r="J392">
        <v>0</v>
      </c>
      <c r="K392">
        <v>0</v>
      </c>
      <c r="L392">
        <v>0</v>
      </c>
      <c r="M392" s="5" t="str">
        <f>ContinuousStatsTable[[#This Row],[ProjectName]]&amp;ContinuousStatsTable[[#This Row],[Name]]&amp;ContinuousStatsTable[[#This Row],[Type]]&amp;ContinuousStatsTable[[#This Row],[Source]]</f>
        <v>Unnamed ProjectpaintingoperatorInstantaneous UtilizationResource</v>
      </c>
      <c r="N392" s="5">
        <f t="array" ref="N392">MAX(IF((ProjectInfoTable[ProjectName]=ContinuousStatsTable[[#This Row],[ProjectName]]),(ProjectInfoTable[ProjectName]=ContinuousStatsTable[[#This Row],[ProjectName]])*ProjectInfoTable[NumberOfReplications]))</f>
        <v>15</v>
      </c>
      <c r="O392" s="5">
        <f t="array" ref="O392">IFERROR(AVERAGE(IF((ContinuousStatsTable[GroupByKey]=ContinuousStatsTable[[#This Row],[GroupByKey]]),(ContinuousStatsTable[GroupByKey]=ContinuousStatsTable[[#This Row],[GroupByKey]])*ContinuousStatsTable[Average])),0)</f>
        <v>0</v>
      </c>
      <c r="P392" s="5">
        <f t="array" ref="P392">IFERROR(_xlfn.STDEV.S(IF((ContinuousStatsTable[GroupByKey]=ContinuousStatsTable[[#This Row],[GroupByKey]]),(ContinuousStatsTable[GroupByKey]=ContinuousStatsTable[[#This Row],[GroupByKey]])*ContinuousStatsTable[Average])),0)</f>
        <v>0</v>
      </c>
      <c r="Q392" s="5">
        <f t="array" ref="Q392">MAX(IF((ProjectInfoTable[ProjectName]=ContinuousStatsTable[[#This Row],[ProjectName]]),(ProjectInfoTable[ProjectName]=ContinuousStatsTable[[#This Row],[ProjectName]])*ProjectInfoTable[ConfidenceInterval]))</f>
        <v>0.95</v>
      </c>
      <c r="R3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2" s="5">
        <f t="array" ref="S392">MIN(IF((ContinuousStatsTable[GroupByKey]=ContinuousStatsTable[[#This Row],[GroupByKey]]),(ContinuousStatsTable[GroupByKey]=ContinuousStatsTable[[#This Row],[GroupByKey]])*ContinuousStatsTable[Average]))</f>
        <v>0</v>
      </c>
      <c r="T392" s="5">
        <f t="array" ref="T392">MAX(IF((ContinuousStatsTable[GroupByKey]=ContinuousStatsTable[[#This Row],[GroupByKey]]),(ContinuousStatsTable[GroupByKey]=ContinuousStatsTable[[#This Row],[GroupByKey]])*ContinuousStatsTable[Average]))</f>
        <v>0</v>
      </c>
      <c r="U392" s="5">
        <f>IF((ContinuousStatsTable[[#This Row],[RepsRequested]]&gt;1),ContinuousStatsTable[[#This Row],[HalfWidth]],ContinuousStatsTable[[#This Row],[BatchMeansHalfWidth]])</f>
        <v>0</v>
      </c>
    </row>
    <row r="393" spans="1:21" x14ac:dyDescent="0.25">
      <c r="A393" t="s">
        <v>67</v>
      </c>
      <c r="B393" t="s">
        <v>70</v>
      </c>
      <c r="C393">
        <v>9</v>
      </c>
      <c r="D393" t="s">
        <v>89</v>
      </c>
      <c r="E393" t="s">
        <v>74</v>
      </c>
      <c r="F393" t="s">
        <v>73</v>
      </c>
      <c r="G393">
        <v>0</v>
      </c>
      <c r="H393">
        <v>2E+20</v>
      </c>
      <c r="I393">
        <v>0</v>
      </c>
      <c r="J393">
        <v>0</v>
      </c>
      <c r="K393">
        <v>0</v>
      </c>
      <c r="L393">
        <v>0</v>
      </c>
      <c r="M393" s="5" t="str">
        <f>ContinuousStatsTable[[#This Row],[ProjectName]]&amp;ContinuousStatsTable[[#This Row],[Name]]&amp;ContinuousStatsTable[[#This Row],[Type]]&amp;ContinuousStatsTable[[#This Row],[Source]]</f>
        <v>Unnamed ProjectpaintingoperatorNumber BusyResource</v>
      </c>
      <c r="N393" s="5">
        <f t="array" ref="N393">MAX(IF((ProjectInfoTable[ProjectName]=ContinuousStatsTable[[#This Row],[ProjectName]]),(ProjectInfoTable[ProjectName]=ContinuousStatsTable[[#This Row],[ProjectName]])*ProjectInfoTable[NumberOfReplications]))</f>
        <v>15</v>
      </c>
      <c r="O393" s="5">
        <f t="array" ref="O393">IFERROR(AVERAGE(IF((ContinuousStatsTable[GroupByKey]=ContinuousStatsTable[[#This Row],[GroupByKey]]),(ContinuousStatsTable[GroupByKey]=ContinuousStatsTable[[#This Row],[GroupByKey]])*ContinuousStatsTable[Average])),0)</f>
        <v>0</v>
      </c>
      <c r="P393" s="5">
        <f t="array" ref="P393">IFERROR(_xlfn.STDEV.S(IF((ContinuousStatsTable[GroupByKey]=ContinuousStatsTable[[#This Row],[GroupByKey]]),(ContinuousStatsTable[GroupByKey]=ContinuousStatsTable[[#This Row],[GroupByKey]])*ContinuousStatsTable[Average])),0)</f>
        <v>0</v>
      </c>
      <c r="Q393" s="5">
        <f t="array" ref="Q393">MAX(IF((ProjectInfoTable[ProjectName]=ContinuousStatsTable[[#This Row],[ProjectName]]),(ProjectInfoTable[ProjectName]=ContinuousStatsTable[[#This Row],[ProjectName]])*ProjectInfoTable[ConfidenceInterval]))</f>
        <v>0.95</v>
      </c>
      <c r="R3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3" s="5">
        <f t="array" ref="S393">MIN(IF((ContinuousStatsTable[GroupByKey]=ContinuousStatsTable[[#This Row],[GroupByKey]]),(ContinuousStatsTable[GroupByKey]=ContinuousStatsTable[[#This Row],[GroupByKey]])*ContinuousStatsTable[Average]))</f>
        <v>0</v>
      </c>
      <c r="T393" s="5">
        <f t="array" ref="T393">MAX(IF((ContinuousStatsTable[GroupByKey]=ContinuousStatsTable[[#This Row],[GroupByKey]]),(ContinuousStatsTable[GroupByKey]=ContinuousStatsTable[[#This Row],[GroupByKey]])*ContinuousStatsTable[Average]))</f>
        <v>0</v>
      </c>
      <c r="U393" s="5">
        <f>IF((ContinuousStatsTable[[#This Row],[RepsRequested]]&gt;1),ContinuousStatsTable[[#This Row],[HalfWidth]],ContinuousStatsTable[[#This Row],[BatchMeansHalfWidth]])</f>
        <v>0</v>
      </c>
    </row>
    <row r="394" spans="1:21" x14ac:dyDescent="0.25">
      <c r="A394" t="s">
        <v>67</v>
      </c>
      <c r="B394" t="s">
        <v>70</v>
      </c>
      <c r="C394">
        <v>9</v>
      </c>
      <c r="D394" t="s">
        <v>89</v>
      </c>
      <c r="E394" t="s">
        <v>75</v>
      </c>
      <c r="F394" t="s">
        <v>73</v>
      </c>
      <c r="G394">
        <v>1.5834999999999999</v>
      </c>
      <c r="H394">
        <v>3E+20</v>
      </c>
      <c r="I394">
        <v>1</v>
      </c>
      <c r="J394">
        <v>2</v>
      </c>
      <c r="K394">
        <v>2</v>
      </c>
      <c r="L394">
        <v>0</v>
      </c>
      <c r="M394" s="5" t="str">
        <f>ContinuousStatsTable[[#This Row],[ProjectName]]&amp;ContinuousStatsTable[[#This Row],[Name]]&amp;ContinuousStatsTable[[#This Row],[Type]]&amp;ContinuousStatsTable[[#This Row],[Source]]</f>
        <v>Unnamed ProjectpaintingoperatorNumber ScheduledResource</v>
      </c>
      <c r="N394" s="5">
        <f t="array" ref="N394">MAX(IF((ProjectInfoTable[ProjectName]=ContinuousStatsTable[[#This Row],[ProjectName]]),(ProjectInfoTable[ProjectName]=ContinuousStatsTable[[#This Row],[ProjectName]])*ProjectInfoTable[NumberOfReplications]))</f>
        <v>15</v>
      </c>
      <c r="O394" s="5">
        <f t="array" ref="O394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394" s="5">
        <f t="array" ref="P394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394" s="5">
        <f t="array" ref="Q394">MAX(IF((ProjectInfoTable[ProjectName]=ContinuousStatsTable[[#This Row],[ProjectName]]),(ProjectInfoTable[ProjectName]=ContinuousStatsTable[[#This Row],[ProjectName]])*ProjectInfoTable[ConfidenceInterval]))</f>
        <v>0.95</v>
      </c>
      <c r="R3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394" s="5">
        <f t="array" ref="S394">MIN(IF((ContinuousStatsTable[GroupByKey]=ContinuousStatsTable[[#This Row],[GroupByKey]]),(ContinuousStatsTable[GroupByKey]=ContinuousStatsTable[[#This Row],[GroupByKey]])*ContinuousStatsTable[Average]))</f>
        <v>1</v>
      </c>
      <c r="T394" s="5">
        <f t="array" ref="T394">MAX(IF((ContinuousStatsTable[GroupByKey]=ContinuousStatsTable[[#This Row],[GroupByKey]]),(ContinuousStatsTable[GroupByKey]=ContinuousStatsTable[[#This Row],[GroupByKey]])*ContinuousStatsTable[Average]))</f>
        <v>2</v>
      </c>
      <c r="U394" s="5">
        <f>IF((ContinuousStatsTable[[#This Row],[RepsRequested]]&gt;1),ContinuousStatsTable[[#This Row],[HalfWidth]],ContinuousStatsTable[[#This Row],[BatchMeansHalfWidth]])</f>
        <v>0.13376733135491528</v>
      </c>
    </row>
    <row r="395" spans="1:21" x14ac:dyDescent="0.25">
      <c r="A395" t="s">
        <v>67</v>
      </c>
      <c r="B395" t="s">
        <v>70</v>
      </c>
      <c r="C395">
        <v>9</v>
      </c>
      <c r="D395" t="s">
        <v>90</v>
      </c>
      <c r="E395" t="s">
        <v>72</v>
      </c>
      <c r="F395" t="s">
        <v>73</v>
      </c>
      <c r="G395">
        <v>0</v>
      </c>
      <c r="H395">
        <v>2E+20</v>
      </c>
      <c r="I395">
        <v>0</v>
      </c>
      <c r="J395">
        <v>0</v>
      </c>
      <c r="K395">
        <v>0</v>
      </c>
      <c r="L395">
        <v>0</v>
      </c>
      <c r="M395" s="5" t="str">
        <f>ContinuousStatsTable[[#This Row],[ProjectName]]&amp;ContinuousStatsTable[[#This Row],[Name]]&amp;ContinuousStatsTable[[#This Row],[Type]]&amp;ContinuousStatsTable[[#This Row],[Source]]</f>
        <v>Unnamed ProjectsandblastmachineInstantaneous UtilizationResource</v>
      </c>
      <c r="N395" s="5">
        <f t="array" ref="N395">MAX(IF((ProjectInfoTable[ProjectName]=ContinuousStatsTable[[#This Row],[ProjectName]]),(ProjectInfoTable[ProjectName]=ContinuousStatsTable[[#This Row],[ProjectName]])*ProjectInfoTable[NumberOfReplications]))</f>
        <v>15</v>
      </c>
      <c r="O395" s="5">
        <f t="array" ref="O395">IFERROR(AVERAGE(IF((ContinuousStatsTable[GroupByKey]=ContinuousStatsTable[[#This Row],[GroupByKey]]),(ContinuousStatsTable[GroupByKey]=ContinuousStatsTable[[#This Row],[GroupByKey]])*ContinuousStatsTable[Average])),0)</f>
        <v>0</v>
      </c>
      <c r="P395" s="5">
        <f t="array" ref="P395">IFERROR(_xlfn.STDEV.S(IF((ContinuousStatsTable[GroupByKey]=ContinuousStatsTable[[#This Row],[GroupByKey]]),(ContinuousStatsTable[GroupByKey]=ContinuousStatsTable[[#This Row],[GroupByKey]])*ContinuousStatsTable[Average])),0)</f>
        <v>0</v>
      </c>
      <c r="Q395" s="5">
        <f t="array" ref="Q395">MAX(IF((ProjectInfoTable[ProjectName]=ContinuousStatsTable[[#This Row],[ProjectName]]),(ProjectInfoTable[ProjectName]=ContinuousStatsTable[[#This Row],[ProjectName]])*ProjectInfoTable[ConfidenceInterval]))</f>
        <v>0.95</v>
      </c>
      <c r="R3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5" s="5">
        <f t="array" ref="S395">MIN(IF((ContinuousStatsTable[GroupByKey]=ContinuousStatsTable[[#This Row],[GroupByKey]]),(ContinuousStatsTable[GroupByKey]=ContinuousStatsTable[[#This Row],[GroupByKey]])*ContinuousStatsTable[Average]))</f>
        <v>0</v>
      </c>
      <c r="T395" s="5">
        <f t="array" ref="T395">MAX(IF((ContinuousStatsTable[GroupByKey]=ContinuousStatsTable[[#This Row],[GroupByKey]]),(ContinuousStatsTable[GroupByKey]=ContinuousStatsTable[[#This Row],[GroupByKey]])*ContinuousStatsTable[Average]))</f>
        <v>0</v>
      </c>
      <c r="U395" s="5">
        <f>IF((ContinuousStatsTable[[#This Row],[RepsRequested]]&gt;1),ContinuousStatsTable[[#This Row],[HalfWidth]],ContinuousStatsTable[[#This Row],[BatchMeansHalfWidth]])</f>
        <v>0</v>
      </c>
    </row>
    <row r="396" spans="1:21" x14ac:dyDescent="0.25">
      <c r="A396" t="s">
        <v>67</v>
      </c>
      <c r="B396" t="s">
        <v>70</v>
      </c>
      <c r="C396">
        <v>9</v>
      </c>
      <c r="D396" t="s">
        <v>90</v>
      </c>
      <c r="E396" t="s">
        <v>74</v>
      </c>
      <c r="F396" t="s">
        <v>73</v>
      </c>
      <c r="G396">
        <v>0</v>
      </c>
      <c r="H396">
        <v>2E+20</v>
      </c>
      <c r="I396">
        <v>0</v>
      </c>
      <c r="J396">
        <v>0</v>
      </c>
      <c r="K396">
        <v>0</v>
      </c>
      <c r="L396">
        <v>0</v>
      </c>
      <c r="M396" s="5" t="str">
        <f>ContinuousStatsTable[[#This Row],[ProjectName]]&amp;ContinuousStatsTable[[#This Row],[Name]]&amp;ContinuousStatsTable[[#This Row],[Type]]&amp;ContinuousStatsTable[[#This Row],[Source]]</f>
        <v>Unnamed ProjectsandblastmachineNumber BusyResource</v>
      </c>
      <c r="N396" s="5">
        <f t="array" ref="N396">MAX(IF((ProjectInfoTable[ProjectName]=ContinuousStatsTable[[#This Row],[ProjectName]]),(ProjectInfoTable[ProjectName]=ContinuousStatsTable[[#This Row],[ProjectName]])*ProjectInfoTable[NumberOfReplications]))</f>
        <v>15</v>
      </c>
      <c r="O396" s="5">
        <f t="array" ref="O396">IFERROR(AVERAGE(IF((ContinuousStatsTable[GroupByKey]=ContinuousStatsTable[[#This Row],[GroupByKey]]),(ContinuousStatsTable[GroupByKey]=ContinuousStatsTable[[#This Row],[GroupByKey]])*ContinuousStatsTable[Average])),0)</f>
        <v>0</v>
      </c>
      <c r="P396" s="5">
        <f t="array" ref="P396">IFERROR(_xlfn.STDEV.S(IF((ContinuousStatsTable[GroupByKey]=ContinuousStatsTable[[#This Row],[GroupByKey]]),(ContinuousStatsTable[GroupByKey]=ContinuousStatsTable[[#This Row],[GroupByKey]])*ContinuousStatsTable[Average])),0)</f>
        <v>0</v>
      </c>
      <c r="Q396" s="5">
        <f t="array" ref="Q396">MAX(IF((ProjectInfoTable[ProjectName]=ContinuousStatsTable[[#This Row],[ProjectName]]),(ProjectInfoTable[ProjectName]=ContinuousStatsTable[[#This Row],[ProjectName]])*ProjectInfoTable[ConfidenceInterval]))</f>
        <v>0.95</v>
      </c>
      <c r="R3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6" s="5">
        <f t="array" ref="S396">MIN(IF((ContinuousStatsTable[GroupByKey]=ContinuousStatsTable[[#This Row],[GroupByKey]]),(ContinuousStatsTable[GroupByKey]=ContinuousStatsTable[[#This Row],[GroupByKey]])*ContinuousStatsTable[Average]))</f>
        <v>0</v>
      </c>
      <c r="T396" s="5">
        <f t="array" ref="T396">MAX(IF((ContinuousStatsTable[GroupByKey]=ContinuousStatsTable[[#This Row],[GroupByKey]]),(ContinuousStatsTable[GroupByKey]=ContinuousStatsTable[[#This Row],[GroupByKey]])*ContinuousStatsTable[Average]))</f>
        <v>0</v>
      </c>
      <c r="U396" s="5">
        <f>IF((ContinuousStatsTable[[#This Row],[RepsRequested]]&gt;1),ContinuousStatsTable[[#This Row],[HalfWidth]],ContinuousStatsTable[[#This Row],[BatchMeansHalfWidth]])</f>
        <v>0</v>
      </c>
    </row>
    <row r="397" spans="1:21" x14ac:dyDescent="0.25">
      <c r="A397" t="s">
        <v>67</v>
      </c>
      <c r="B397" t="s">
        <v>70</v>
      </c>
      <c r="C397">
        <v>9</v>
      </c>
      <c r="D397" t="s">
        <v>90</v>
      </c>
      <c r="E397" t="s">
        <v>75</v>
      </c>
      <c r="F397" t="s">
        <v>73</v>
      </c>
      <c r="G397">
        <v>1</v>
      </c>
      <c r="H397">
        <v>2E+20</v>
      </c>
      <c r="I397">
        <v>1</v>
      </c>
      <c r="J397">
        <v>1</v>
      </c>
      <c r="K397">
        <v>1</v>
      </c>
      <c r="L397">
        <v>0</v>
      </c>
      <c r="M397" s="5" t="str">
        <f>ContinuousStatsTable[[#This Row],[ProjectName]]&amp;ContinuousStatsTable[[#This Row],[Name]]&amp;ContinuousStatsTable[[#This Row],[Type]]&amp;ContinuousStatsTable[[#This Row],[Source]]</f>
        <v>Unnamed ProjectsandblastmachineNumber ScheduledResource</v>
      </c>
      <c r="N397" s="5">
        <f t="array" ref="N397">MAX(IF((ProjectInfoTable[ProjectName]=ContinuousStatsTable[[#This Row],[ProjectName]]),(ProjectInfoTable[ProjectName]=ContinuousStatsTable[[#This Row],[ProjectName]])*ProjectInfoTable[NumberOfReplications]))</f>
        <v>15</v>
      </c>
      <c r="O397" s="5">
        <f t="array" ref="O397">IFERROR(AVERAGE(IF((ContinuousStatsTable[GroupByKey]=ContinuousStatsTable[[#This Row],[GroupByKey]]),(ContinuousStatsTable[GroupByKey]=ContinuousStatsTable[[#This Row],[GroupByKey]])*ContinuousStatsTable[Average])),0)</f>
        <v>1</v>
      </c>
      <c r="P397" s="5">
        <f t="array" ref="P397">IFERROR(_xlfn.STDEV.S(IF((ContinuousStatsTable[GroupByKey]=ContinuousStatsTable[[#This Row],[GroupByKey]]),(ContinuousStatsTable[GroupByKey]=ContinuousStatsTable[[#This Row],[GroupByKey]])*ContinuousStatsTable[Average])),0)</f>
        <v>0</v>
      </c>
      <c r="Q397" s="5">
        <f t="array" ref="Q397">MAX(IF((ProjectInfoTable[ProjectName]=ContinuousStatsTable[[#This Row],[ProjectName]]),(ProjectInfoTable[ProjectName]=ContinuousStatsTable[[#This Row],[ProjectName]])*ProjectInfoTable[ConfidenceInterval]))</f>
        <v>0.95</v>
      </c>
      <c r="R3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7" s="5">
        <f t="array" ref="S397">MIN(IF((ContinuousStatsTable[GroupByKey]=ContinuousStatsTable[[#This Row],[GroupByKey]]),(ContinuousStatsTable[GroupByKey]=ContinuousStatsTable[[#This Row],[GroupByKey]])*ContinuousStatsTable[Average]))</f>
        <v>1</v>
      </c>
      <c r="T397" s="5">
        <f t="array" ref="T397">MAX(IF((ContinuousStatsTable[GroupByKey]=ContinuousStatsTable[[#This Row],[GroupByKey]]),(ContinuousStatsTable[GroupByKey]=ContinuousStatsTable[[#This Row],[GroupByKey]])*ContinuousStatsTable[Average]))</f>
        <v>1</v>
      </c>
      <c r="U397" s="5">
        <f>IF((ContinuousStatsTable[[#This Row],[RepsRequested]]&gt;1),ContinuousStatsTable[[#This Row],[HalfWidth]],ContinuousStatsTable[[#This Row],[BatchMeansHalfWidth]])</f>
        <v>0</v>
      </c>
    </row>
    <row r="398" spans="1:21" x14ac:dyDescent="0.25">
      <c r="A398" t="s">
        <v>67</v>
      </c>
      <c r="B398" t="s">
        <v>70</v>
      </c>
      <c r="C398">
        <v>9</v>
      </c>
      <c r="D398" t="s">
        <v>91</v>
      </c>
      <c r="E398" t="s">
        <v>72</v>
      </c>
      <c r="F398" t="s">
        <v>73</v>
      </c>
      <c r="G398">
        <v>0</v>
      </c>
      <c r="H398">
        <v>2E+20</v>
      </c>
      <c r="I398">
        <v>0</v>
      </c>
      <c r="J398">
        <v>0</v>
      </c>
      <c r="K398">
        <v>0</v>
      </c>
      <c r="L398">
        <v>0</v>
      </c>
      <c r="M398" s="5" t="str">
        <f>ContinuousStatsTable[[#This Row],[ProjectName]]&amp;ContinuousStatsTable[[#This Row],[Name]]&amp;ContinuousStatsTable[[#This Row],[Type]]&amp;ContinuousStatsTable[[#This Row],[Source]]</f>
        <v>Unnamed ProjectsandblastoperatorInstantaneous UtilizationResource</v>
      </c>
      <c r="N398" s="5">
        <f t="array" ref="N398">MAX(IF((ProjectInfoTable[ProjectName]=ContinuousStatsTable[[#This Row],[ProjectName]]),(ProjectInfoTable[ProjectName]=ContinuousStatsTable[[#This Row],[ProjectName]])*ProjectInfoTable[NumberOfReplications]))</f>
        <v>15</v>
      </c>
      <c r="O398" s="5">
        <f t="array" ref="O398">IFERROR(AVERAGE(IF((ContinuousStatsTable[GroupByKey]=ContinuousStatsTable[[#This Row],[GroupByKey]]),(ContinuousStatsTable[GroupByKey]=ContinuousStatsTable[[#This Row],[GroupByKey]])*ContinuousStatsTable[Average])),0)</f>
        <v>0</v>
      </c>
      <c r="P398" s="5">
        <f t="array" ref="P398">IFERROR(_xlfn.STDEV.S(IF((ContinuousStatsTable[GroupByKey]=ContinuousStatsTable[[#This Row],[GroupByKey]]),(ContinuousStatsTable[GroupByKey]=ContinuousStatsTable[[#This Row],[GroupByKey]])*ContinuousStatsTable[Average])),0)</f>
        <v>0</v>
      </c>
      <c r="Q398" s="5">
        <f t="array" ref="Q398">MAX(IF((ProjectInfoTable[ProjectName]=ContinuousStatsTable[[#This Row],[ProjectName]]),(ProjectInfoTable[ProjectName]=ContinuousStatsTable[[#This Row],[ProjectName]])*ProjectInfoTable[ConfidenceInterval]))</f>
        <v>0.95</v>
      </c>
      <c r="R3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8" s="5">
        <f t="array" ref="S398">MIN(IF((ContinuousStatsTable[GroupByKey]=ContinuousStatsTable[[#This Row],[GroupByKey]]),(ContinuousStatsTable[GroupByKey]=ContinuousStatsTable[[#This Row],[GroupByKey]])*ContinuousStatsTable[Average]))</f>
        <v>0</v>
      </c>
      <c r="T398" s="5">
        <f t="array" ref="T398">MAX(IF((ContinuousStatsTable[GroupByKey]=ContinuousStatsTable[[#This Row],[GroupByKey]]),(ContinuousStatsTable[GroupByKey]=ContinuousStatsTable[[#This Row],[GroupByKey]])*ContinuousStatsTable[Average]))</f>
        <v>0</v>
      </c>
      <c r="U398" s="5">
        <f>IF((ContinuousStatsTable[[#This Row],[RepsRequested]]&gt;1),ContinuousStatsTable[[#This Row],[HalfWidth]],ContinuousStatsTable[[#This Row],[BatchMeansHalfWidth]])</f>
        <v>0</v>
      </c>
    </row>
    <row r="399" spans="1:21" x14ac:dyDescent="0.25">
      <c r="A399" t="s">
        <v>67</v>
      </c>
      <c r="B399" t="s">
        <v>70</v>
      </c>
      <c r="C399">
        <v>9</v>
      </c>
      <c r="D399" t="s">
        <v>91</v>
      </c>
      <c r="E399" t="s">
        <v>74</v>
      </c>
      <c r="F399" t="s">
        <v>73</v>
      </c>
      <c r="G399">
        <v>0</v>
      </c>
      <c r="H399">
        <v>2E+20</v>
      </c>
      <c r="I399">
        <v>0</v>
      </c>
      <c r="J399">
        <v>0</v>
      </c>
      <c r="K399">
        <v>0</v>
      </c>
      <c r="L399">
        <v>0</v>
      </c>
      <c r="M399" s="5" t="str">
        <f>ContinuousStatsTable[[#This Row],[ProjectName]]&amp;ContinuousStatsTable[[#This Row],[Name]]&amp;ContinuousStatsTable[[#This Row],[Type]]&amp;ContinuousStatsTable[[#This Row],[Source]]</f>
        <v>Unnamed ProjectsandblastoperatorNumber BusyResource</v>
      </c>
      <c r="N399" s="5">
        <f t="array" ref="N399">MAX(IF((ProjectInfoTable[ProjectName]=ContinuousStatsTable[[#This Row],[ProjectName]]),(ProjectInfoTable[ProjectName]=ContinuousStatsTable[[#This Row],[ProjectName]])*ProjectInfoTable[NumberOfReplications]))</f>
        <v>15</v>
      </c>
      <c r="O399" s="5">
        <f t="array" ref="O399">IFERROR(AVERAGE(IF((ContinuousStatsTable[GroupByKey]=ContinuousStatsTable[[#This Row],[GroupByKey]]),(ContinuousStatsTable[GroupByKey]=ContinuousStatsTable[[#This Row],[GroupByKey]])*ContinuousStatsTable[Average])),0)</f>
        <v>0</v>
      </c>
      <c r="P399" s="5">
        <f t="array" ref="P399">IFERROR(_xlfn.STDEV.S(IF((ContinuousStatsTable[GroupByKey]=ContinuousStatsTable[[#This Row],[GroupByKey]]),(ContinuousStatsTable[GroupByKey]=ContinuousStatsTable[[#This Row],[GroupByKey]])*ContinuousStatsTable[Average])),0)</f>
        <v>0</v>
      </c>
      <c r="Q399" s="5">
        <f t="array" ref="Q399">MAX(IF((ProjectInfoTable[ProjectName]=ContinuousStatsTable[[#This Row],[ProjectName]]),(ProjectInfoTable[ProjectName]=ContinuousStatsTable[[#This Row],[ProjectName]])*ProjectInfoTable[ConfidenceInterval]))</f>
        <v>0.95</v>
      </c>
      <c r="R3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9" s="5">
        <f t="array" ref="S399">MIN(IF((ContinuousStatsTable[GroupByKey]=ContinuousStatsTable[[#This Row],[GroupByKey]]),(ContinuousStatsTable[GroupByKey]=ContinuousStatsTable[[#This Row],[GroupByKey]])*ContinuousStatsTable[Average]))</f>
        <v>0</v>
      </c>
      <c r="T399" s="5">
        <f t="array" ref="T399">MAX(IF((ContinuousStatsTable[GroupByKey]=ContinuousStatsTable[[#This Row],[GroupByKey]]),(ContinuousStatsTable[GroupByKey]=ContinuousStatsTable[[#This Row],[GroupByKey]])*ContinuousStatsTable[Average]))</f>
        <v>0</v>
      </c>
      <c r="U399" s="5">
        <f>IF((ContinuousStatsTable[[#This Row],[RepsRequested]]&gt;1),ContinuousStatsTable[[#This Row],[HalfWidth]],ContinuousStatsTable[[#This Row],[BatchMeansHalfWidth]])</f>
        <v>0</v>
      </c>
    </row>
    <row r="400" spans="1:21" x14ac:dyDescent="0.25">
      <c r="A400" t="s">
        <v>67</v>
      </c>
      <c r="B400" t="s">
        <v>70</v>
      </c>
      <c r="C400">
        <v>9</v>
      </c>
      <c r="D400" t="s">
        <v>91</v>
      </c>
      <c r="E400" t="s">
        <v>75</v>
      </c>
      <c r="F400" t="s">
        <v>73</v>
      </c>
      <c r="G400">
        <v>1.5834999999999999</v>
      </c>
      <c r="H400">
        <v>3E+20</v>
      </c>
      <c r="I400">
        <v>1</v>
      </c>
      <c r="J400">
        <v>2</v>
      </c>
      <c r="K400">
        <v>2</v>
      </c>
      <c r="L400">
        <v>0</v>
      </c>
      <c r="M400" s="5" t="str">
        <f>ContinuousStatsTable[[#This Row],[ProjectName]]&amp;ContinuousStatsTable[[#This Row],[Name]]&amp;ContinuousStatsTable[[#This Row],[Type]]&amp;ContinuousStatsTable[[#This Row],[Source]]</f>
        <v>Unnamed ProjectsandblastoperatorNumber ScheduledResource</v>
      </c>
      <c r="N400" s="5">
        <f t="array" ref="N400">MAX(IF((ProjectInfoTable[ProjectName]=ContinuousStatsTable[[#This Row],[ProjectName]]),(ProjectInfoTable[ProjectName]=ContinuousStatsTable[[#This Row],[ProjectName]])*ProjectInfoTable[NumberOfReplications]))</f>
        <v>15</v>
      </c>
      <c r="O400" s="5">
        <f t="array" ref="O400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400" s="5">
        <f t="array" ref="P400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400" s="5">
        <f t="array" ref="Q400">MAX(IF((ProjectInfoTable[ProjectName]=ContinuousStatsTable[[#This Row],[ProjectName]]),(ProjectInfoTable[ProjectName]=ContinuousStatsTable[[#This Row],[ProjectName]])*ProjectInfoTable[ConfidenceInterval]))</f>
        <v>0.95</v>
      </c>
      <c r="R4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400" s="5">
        <f t="array" ref="S400">MIN(IF((ContinuousStatsTable[GroupByKey]=ContinuousStatsTable[[#This Row],[GroupByKey]]),(ContinuousStatsTable[GroupByKey]=ContinuousStatsTable[[#This Row],[GroupByKey]])*ContinuousStatsTable[Average]))</f>
        <v>1</v>
      </c>
      <c r="T400" s="5">
        <f t="array" ref="T400">MAX(IF((ContinuousStatsTable[GroupByKey]=ContinuousStatsTable[[#This Row],[GroupByKey]]),(ContinuousStatsTable[GroupByKey]=ContinuousStatsTable[[#This Row],[GroupByKey]])*ContinuousStatsTable[Average]))</f>
        <v>2</v>
      </c>
      <c r="U400" s="5">
        <f>IF((ContinuousStatsTable[[#This Row],[RepsRequested]]&gt;1),ContinuousStatsTable[[#This Row],[HalfWidth]],ContinuousStatsTable[[#This Row],[BatchMeansHalfWidth]])</f>
        <v>0.13376733135491528</v>
      </c>
    </row>
    <row r="401" spans="1:21" x14ac:dyDescent="0.25">
      <c r="A401" t="s">
        <v>67</v>
      </c>
      <c r="B401" t="s">
        <v>70</v>
      </c>
      <c r="C401">
        <v>9</v>
      </c>
      <c r="D401" t="s">
        <v>92</v>
      </c>
      <c r="E401" t="s">
        <v>84</v>
      </c>
      <c r="F401" t="s">
        <v>85</v>
      </c>
      <c r="G401">
        <v>0</v>
      </c>
      <c r="H401">
        <v>2E+20</v>
      </c>
      <c r="I401">
        <v>0</v>
      </c>
      <c r="J401">
        <v>0</v>
      </c>
      <c r="K401">
        <v>0</v>
      </c>
      <c r="L401">
        <v>0</v>
      </c>
      <c r="M401" s="5" t="str">
        <f>ContinuousStatsTable[[#This Row],[ProjectName]]&amp;ContinuousStatsTable[[#This Row],[Name]]&amp;ContinuousStatsTable[[#This Row],[Type]]&amp;ContinuousStatsTable[[#This Row],[Source]]</f>
        <v>Unnamed Projectseize_assembler.QueueNumber WaitingQueue</v>
      </c>
      <c r="N401" s="5">
        <f t="array" ref="N401">MAX(IF((ProjectInfoTable[ProjectName]=ContinuousStatsTable[[#This Row],[ProjectName]]),(ProjectInfoTable[ProjectName]=ContinuousStatsTable[[#This Row],[ProjectName]])*ProjectInfoTable[NumberOfReplications]))</f>
        <v>15</v>
      </c>
      <c r="O401" s="5">
        <f t="array" ref="O401">IFERROR(AVERAGE(IF((ContinuousStatsTable[GroupByKey]=ContinuousStatsTable[[#This Row],[GroupByKey]]),(ContinuousStatsTable[GroupByKey]=ContinuousStatsTable[[#This Row],[GroupByKey]])*ContinuousStatsTable[Average])),0)</f>
        <v>0</v>
      </c>
      <c r="P401" s="5">
        <f t="array" ref="P401">IFERROR(_xlfn.STDEV.S(IF((ContinuousStatsTable[GroupByKey]=ContinuousStatsTable[[#This Row],[GroupByKey]]),(ContinuousStatsTable[GroupByKey]=ContinuousStatsTable[[#This Row],[GroupByKey]])*ContinuousStatsTable[Average])),0)</f>
        <v>0</v>
      </c>
      <c r="Q401" s="5">
        <f t="array" ref="Q401">MAX(IF((ProjectInfoTable[ProjectName]=ContinuousStatsTable[[#This Row],[ProjectName]]),(ProjectInfoTable[ProjectName]=ContinuousStatsTable[[#This Row],[ProjectName]])*ProjectInfoTable[ConfidenceInterval]))</f>
        <v>0.95</v>
      </c>
      <c r="R4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1" s="5">
        <f t="array" ref="S401">MIN(IF((ContinuousStatsTable[GroupByKey]=ContinuousStatsTable[[#This Row],[GroupByKey]]),(ContinuousStatsTable[GroupByKey]=ContinuousStatsTable[[#This Row],[GroupByKey]])*ContinuousStatsTable[Average]))</f>
        <v>0</v>
      </c>
      <c r="T401" s="5">
        <f t="array" ref="T401">MAX(IF((ContinuousStatsTable[GroupByKey]=ContinuousStatsTable[[#This Row],[GroupByKey]]),(ContinuousStatsTable[GroupByKey]=ContinuousStatsTable[[#This Row],[GroupByKey]])*ContinuousStatsTable[Average]))</f>
        <v>0</v>
      </c>
      <c r="U401" s="5">
        <f>IF((ContinuousStatsTable[[#This Row],[RepsRequested]]&gt;1),ContinuousStatsTable[[#This Row],[HalfWidth]],ContinuousStatsTable[[#This Row],[BatchMeansHalfWidth]])</f>
        <v>0</v>
      </c>
    </row>
    <row r="402" spans="1:21" x14ac:dyDescent="0.25">
      <c r="A402" t="s">
        <v>67</v>
      </c>
      <c r="B402" t="s">
        <v>70</v>
      </c>
      <c r="C402">
        <v>9</v>
      </c>
      <c r="D402" t="s">
        <v>93</v>
      </c>
      <c r="E402" t="s">
        <v>84</v>
      </c>
      <c r="F402" t="s">
        <v>85</v>
      </c>
      <c r="G402">
        <v>0</v>
      </c>
      <c r="H402">
        <v>2E+20</v>
      </c>
      <c r="I402">
        <v>0</v>
      </c>
      <c r="J402">
        <v>0</v>
      </c>
      <c r="K402">
        <v>0</v>
      </c>
      <c r="L402">
        <v>0</v>
      </c>
      <c r="M402" s="5" t="str">
        <f>ContinuousStatsTable[[#This Row],[ProjectName]]&amp;ContinuousStatsTable[[#This Row],[Name]]&amp;ContinuousStatsTable[[#This Row],[Type]]&amp;ContinuousStatsTable[[#This Row],[Source]]</f>
        <v>Unnamed Projectseize_cutter.QueueNumber WaitingQueue</v>
      </c>
      <c r="N402" s="5">
        <f t="array" ref="N402">MAX(IF((ProjectInfoTable[ProjectName]=ContinuousStatsTable[[#This Row],[ProjectName]]),(ProjectInfoTable[ProjectName]=ContinuousStatsTable[[#This Row],[ProjectName]])*ProjectInfoTable[NumberOfReplications]))</f>
        <v>15</v>
      </c>
      <c r="O402" s="5">
        <f t="array" ref="O402">IFERROR(AVERAGE(IF((ContinuousStatsTable[GroupByKey]=ContinuousStatsTable[[#This Row],[GroupByKey]]),(ContinuousStatsTable[GroupByKey]=ContinuousStatsTable[[#This Row],[GroupByKey]])*ContinuousStatsTable[Average])),0)</f>
        <v>0</v>
      </c>
      <c r="P402" s="5">
        <f t="array" ref="P402">IFERROR(_xlfn.STDEV.S(IF((ContinuousStatsTable[GroupByKey]=ContinuousStatsTable[[#This Row],[GroupByKey]]),(ContinuousStatsTable[GroupByKey]=ContinuousStatsTable[[#This Row],[GroupByKey]])*ContinuousStatsTable[Average])),0)</f>
        <v>0</v>
      </c>
      <c r="Q402" s="5">
        <f t="array" ref="Q402">MAX(IF((ProjectInfoTable[ProjectName]=ContinuousStatsTable[[#This Row],[ProjectName]]),(ProjectInfoTable[ProjectName]=ContinuousStatsTable[[#This Row],[ProjectName]])*ProjectInfoTable[ConfidenceInterval]))</f>
        <v>0.95</v>
      </c>
      <c r="R4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2" s="5">
        <f t="array" ref="S402">MIN(IF((ContinuousStatsTable[GroupByKey]=ContinuousStatsTable[[#This Row],[GroupByKey]]),(ContinuousStatsTable[GroupByKey]=ContinuousStatsTable[[#This Row],[GroupByKey]])*ContinuousStatsTable[Average]))</f>
        <v>0</v>
      </c>
      <c r="T402" s="5">
        <f t="array" ref="T402">MAX(IF((ContinuousStatsTable[GroupByKey]=ContinuousStatsTable[[#This Row],[GroupByKey]]),(ContinuousStatsTable[GroupByKey]=ContinuousStatsTable[[#This Row],[GroupByKey]])*ContinuousStatsTable[Average]))</f>
        <v>0</v>
      </c>
      <c r="U402" s="5">
        <f>IF((ContinuousStatsTable[[#This Row],[RepsRequested]]&gt;1),ContinuousStatsTable[[#This Row],[HalfWidth]],ContinuousStatsTable[[#This Row],[BatchMeansHalfWidth]])</f>
        <v>0</v>
      </c>
    </row>
    <row r="403" spans="1:21" x14ac:dyDescent="0.25">
      <c r="A403" t="s">
        <v>67</v>
      </c>
      <c r="B403" t="s">
        <v>70</v>
      </c>
      <c r="C403">
        <v>9</v>
      </c>
      <c r="D403" t="s">
        <v>94</v>
      </c>
      <c r="E403" t="s">
        <v>84</v>
      </c>
      <c r="F403" t="s">
        <v>85</v>
      </c>
      <c r="G403">
        <v>0</v>
      </c>
      <c r="H403">
        <v>2E+20</v>
      </c>
      <c r="I403">
        <v>0</v>
      </c>
      <c r="J403">
        <v>0</v>
      </c>
      <c r="K403">
        <v>0</v>
      </c>
      <c r="L403">
        <v>0</v>
      </c>
      <c r="M403" s="5" t="str">
        <f>ContinuousStatsTable[[#This Row],[ProjectName]]&amp;ContinuousStatsTable[[#This Row],[Name]]&amp;ContinuousStatsTable[[#This Row],[Type]]&amp;ContinuousStatsTable[[#This Row],[Source]]</f>
        <v>Unnamed Projectseizeassemblyqcman.QueueNumber WaitingQueue</v>
      </c>
      <c r="N403" s="5">
        <f t="array" ref="N403">MAX(IF((ProjectInfoTable[ProjectName]=ContinuousStatsTable[[#This Row],[ProjectName]]),(ProjectInfoTable[ProjectName]=ContinuousStatsTable[[#This Row],[ProjectName]])*ProjectInfoTable[NumberOfReplications]))</f>
        <v>15</v>
      </c>
      <c r="O403" s="5">
        <f t="array" ref="O403">IFERROR(AVERAGE(IF((ContinuousStatsTable[GroupByKey]=ContinuousStatsTable[[#This Row],[GroupByKey]]),(ContinuousStatsTable[GroupByKey]=ContinuousStatsTable[[#This Row],[GroupByKey]])*ContinuousStatsTable[Average])),0)</f>
        <v>0</v>
      </c>
      <c r="P403" s="5">
        <f t="array" ref="P403">IFERROR(_xlfn.STDEV.S(IF((ContinuousStatsTable[GroupByKey]=ContinuousStatsTable[[#This Row],[GroupByKey]]),(ContinuousStatsTable[GroupByKey]=ContinuousStatsTable[[#This Row],[GroupByKey]])*ContinuousStatsTable[Average])),0)</f>
        <v>0</v>
      </c>
      <c r="Q403" s="5">
        <f t="array" ref="Q403">MAX(IF((ProjectInfoTable[ProjectName]=ContinuousStatsTable[[#This Row],[ProjectName]]),(ProjectInfoTable[ProjectName]=ContinuousStatsTable[[#This Row],[ProjectName]])*ProjectInfoTable[ConfidenceInterval]))</f>
        <v>0.95</v>
      </c>
      <c r="R4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3" s="5">
        <f t="array" ref="S403">MIN(IF((ContinuousStatsTable[GroupByKey]=ContinuousStatsTable[[#This Row],[GroupByKey]]),(ContinuousStatsTable[GroupByKey]=ContinuousStatsTable[[#This Row],[GroupByKey]])*ContinuousStatsTable[Average]))</f>
        <v>0</v>
      </c>
      <c r="T403" s="5">
        <f t="array" ref="T403">MAX(IF((ContinuousStatsTable[GroupByKey]=ContinuousStatsTable[[#This Row],[GroupByKey]]),(ContinuousStatsTable[GroupByKey]=ContinuousStatsTable[[#This Row],[GroupByKey]])*ContinuousStatsTable[Average]))</f>
        <v>0</v>
      </c>
      <c r="U403" s="5">
        <f>IF((ContinuousStatsTable[[#This Row],[RepsRequested]]&gt;1),ContinuousStatsTable[[#This Row],[HalfWidth]],ContinuousStatsTable[[#This Row],[BatchMeansHalfWidth]])</f>
        <v>0</v>
      </c>
    </row>
    <row r="404" spans="1:21" x14ac:dyDescent="0.25">
      <c r="A404" t="s">
        <v>67</v>
      </c>
      <c r="B404" t="s">
        <v>70</v>
      </c>
      <c r="C404">
        <v>9</v>
      </c>
      <c r="D404" t="s">
        <v>95</v>
      </c>
      <c r="E404" t="s">
        <v>84</v>
      </c>
      <c r="F404" t="s">
        <v>85</v>
      </c>
      <c r="G404">
        <v>0</v>
      </c>
      <c r="H404">
        <v>2E+20</v>
      </c>
      <c r="I404">
        <v>0</v>
      </c>
      <c r="J404">
        <v>0</v>
      </c>
      <c r="K404">
        <v>0</v>
      </c>
      <c r="L404">
        <v>0</v>
      </c>
      <c r="M404" s="5" t="str">
        <f>ContinuousStatsTable[[#This Row],[ProjectName]]&amp;ContinuousStatsTable[[#This Row],[Name]]&amp;ContinuousStatsTable[[#This Row],[Type]]&amp;ContinuousStatsTable[[#This Row],[Source]]</f>
        <v>Unnamed Projectseizecleaner.QueueNumber WaitingQueue</v>
      </c>
      <c r="N404" s="5">
        <f t="array" ref="N404">MAX(IF((ProjectInfoTable[ProjectName]=ContinuousStatsTable[[#This Row],[ProjectName]]),(ProjectInfoTable[ProjectName]=ContinuousStatsTable[[#This Row],[ProjectName]])*ProjectInfoTable[NumberOfReplications]))</f>
        <v>15</v>
      </c>
      <c r="O404" s="5">
        <f t="array" ref="O404">IFERROR(AVERAGE(IF((ContinuousStatsTable[GroupByKey]=ContinuousStatsTable[[#This Row],[GroupByKey]]),(ContinuousStatsTable[GroupByKey]=ContinuousStatsTable[[#This Row],[GroupByKey]])*ContinuousStatsTable[Average])),0)</f>
        <v>0</v>
      </c>
      <c r="P404" s="5">
        <f t="array" ref="P404">IFERROR(_xlfn.STDEV.S(IF((ContinuousStatsTable[GroupByKey]=ContinuousStatsTable[[#This Row],[GroupByKey]]),(ContinuousStatsTable[GroupByKey]=ContinuousStatsTable[[#This Row],[GroupByKey]])*ContinuousStatsTable[Average])),0)</f>
        <v>0</v>
      </c>
      <c r="Q404" s="5">
        <f t="array" ref="Q404">MAX(IF((ProjectInfoTable[ProjectName]=ContinuousStatsTable[[#This Row],[ProjectName]]),(ProjectInfoTable[ProjectName]=ContinuousStatsTable[[#This Row],[ProjectName]])*ProjectInfoTable[ConfidenceInterval]))</f>
        <v>0.95</v>
      </c>
      <c r="R4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4" s="5">
        <f t="array" ref="S404">MIN(IF((ContinuousStatsTable[GroupByKey]=ContinuousStatsTable[[#This Row],[GroupByKey]]),(ContinuousStatsTable[GroupByKey]=ContinuousStatsTable[[#This Row],[GroupByKey]])*ContinuousStatsTable[Average]))</f>
        <v>0</v>
      </c>
      <c r="T404" s="5">
        <f t="array" ref="T404">MAX(IF((ContinuousStatsTable[GroupByKey]=ContinuousStatsTable[[#This Row],[GroupByKey]]),(ContinuousStatsTable[GroupByKey]=ContinuousStatsTable[[#This Row],[GroupByKey]])*ContinuousStatsTable[Average]))</f>
        <v>0</v>
      </c>
      <c r="U404" s="5">
        <f>IF((ContinuousStatsTable[[#This Row],[RepsRequested]]&gt;1),ContinuousStatsTable[[#This Row],[HalfWidth]],ContinuousStatsTable[[#This Row],[BatchMeansHalfWidth]])</f>
        <v>0</v>
      </c>
    </row>
    <row r="405" spans="1:21" x14ac:dyDescent="0.25">
      <c r="A405" t="s">
        <v>67</v>
      </c>
      <c r="B405" t="s">
        <v>70</v>
      </c>
      <c r="C405">
        <v>9</v>
      </c>
      <c r="D405" t="s">
        <v>96</v>
      </c>
      <c r="E405" t="s">
        <v>84</v>
      </c>
      <c r="F405" t="s">
        <v>85</v>
      </c>
      <c r="G405">
        <v>0</v>
      </c>
      <c r="H405">
        <v>2E+20</v>
      </c>
      <c r="I405">
        <v>0</v>
      </c>
      <c r="J405">
        <v>0</v>
      </c>
      <c r="K405">
        <v>0</v>
      </c>
      <c r="L405">
        <v>0</v>
      </c>
      <c r="M405" s="5" t="str">
        <f>ContinuousStatsTable[[#This Row],[ProjectName]]&amp;ContinuousStatsTable[[#This Row],[Name]]&amp;ContinuousStatsTable[[#This Row],[Type]]&amp;ContinuousStatsTable[[#This Row],[Source]]</f>
        <v>Unnamed Projectseizepainter.QueueNumber WaitingQueue</v>
      </c>
      <c r="N405" s="5">
        <f t="array" ref="N405">MAX(IF((ProjectInfoTable[ProjectName]=ContinuousStatsTable[[#This Row],[ProjectName]]),(ProjectInfoTable[ProjectName]=ContinuousStatsTable[[#This Row],[ProjectName]])*ProjectInfoTable[NumberOfReplications]))</f>
        <v>15</v>
      </c>
      <c r="O405" s="5">
        <f t="array" ref="O405">IFERROR(AVERAGE(IF((ContinuousStatsTable[GroupByKey]=ContinuousStatsTable[[#This Row],[GroupByKey]]),(ContinuousStatsTable[GroupByKey]=ContinuousStatsTable[[#This Row],[GroupByKey]])*ContinuousStatsTable[Average])),0)</f>
        <v>0</v>
      </c>
      <c r="P405" s="5">
        <f t="array" ref="P405">IFERROR(_xlfn.STDEV.S(IF((ContinuousStatsTable[GroupByKey]=ContinuousStatsTable[[#This Row],[GroupByKey]]),(ContinuousStatsTable[GroupByKey]=ContinuousStatsTable[[#This Row],[GroupByKey]])*ContinuousStatsTable[Average])),0)</f>
        <v>0</v>
      </c>
      <c r="Q405" s="5">
        <f t="array" ref="Q405">MAX(IF((ProjectInfoTable[ProjectName]=ContinuousStatsTable[[#This Row],[ProjectName]]),(ProjectInfoTable[ProjectName]=ContinuousStatsTable[[#This Row],[ProjectName]])*ProjectInfoTable[ConfidenceInterval]))</f>
        <v>0.95</v>
      </c>
      <c r="R4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5" s="5">
        <f t="array" ref="S405">MIN(IF((ContinuousStatsTable[GroupByKey]=ContinuousStatsTable[[#This Row],[GroupByKey]]),(ContinuousStatsTable[GroupByKey]=ContinuousStatsTable[[#This Row],[GroupByKey]])*ContinuousStatsTable[Average]))</f>
        <v>0</v>
      </c>
      <c r="T405" s="5">
        <f t="array" ref="T405">MAX(IF((ContinuousStatsTable[GroupByKey]=ContinuousStatsTable[[#This Row],[GroupByKey]]),(ContinuousStatsTable[GroupByKey]=ContinuousStatsTable[[#This Row],[GroupByKey]])*ContinuousStatsTable[Average]))</f>
        <v>0</v>
      </c>
      <c r="U405" s="5">
        <f>IF((ContinuousStatsTable[[#This Row],[RepsRequested]]&gt;1),ContinuousStatsTable[[#This Row],[HalfWidth]],ContinuousStatsTable[[#This Row],[BatchMeansHalfWidth]])</f>
        <v>0</v>
      </c>
    </row>
    <row r="406" spans="1:21" x14ac:dyDescent="0.25">
      <c r="A406" t="s">
        <v>67</v>
      </c>
      <c r="B406" t="s">
        <v>70</v>
      </c>
      <c r="C406">
        <v>9</v>
      </c>
      <c r="D406" t="s">
        <v>97</v>
      </c>
      <c r="E406" t="s">
        <v>84</v>
      </c>
      <c r="F406" t="s">
        <v>85</v>
      </c>
      <c r="G406">
        <v>0</v>
      </c>
      <c r="H406">
        <v>2E+20</v>
      </c>
      <c r="I406">
        <v>0</v>
      </c>
      <c r="J406">
        <v>0</v>
      </c>
      <c r="K406">
        <v>0</v>
      </c>
      <c r="L406">
        <v>0</v>
      </c>
      <c r="M406" s="5" t="str">
        <f>ContinuousStatsTable[[#This Row],[ProjectName]]&amp;ContinuousStatsTable[[#This Row],[Name]]&amp;ContinuousStatsTable[[#This Row],[Type]]&amp;ContinuousStatsTable[[#This Row],[Source]]</f>
        <v>Unnamed Projectseizeqcman.QueueNumber WaitingQueue</v>
      </c>
      <c r="N406" s="5">
        <f t="array" ref="N406">MAX(IF((ProjectInfoTable[ProjectName]=ContinuousStatsTable[[#This Row],[ProjectName]]),(ProjectInfoTable[ProjectName]=ContinuousStatsTable[[#This Row],[ProjectName]])*ProjectInfoTable[NumberOfReplications]))</f>
        <v>15</v>
      </c>
      <c r="O406" s="5">
        <f t="array" ref="O406">IFERROR(AVERAGE(IF((ContinuousStatsTable[GroupByKey]=ContinuousStatsTable[[#This Row],[GroupByKey]]),(ContinuousStatsTable[GroupByKey]=ContinuousStatsTable[[#This Row],[GroupByKey]])*ContinuousStatsTable[Average])),0)</f>
        <v>0</v>
      </c>
      <c r="P406" s="5">
        <f t="array" ref="P406">IFERROR(_xlfn.STDEV.S(IF((ContinuousStatsTable[GroupByKey]=ContinuousStatsTable[[#This Row],[GroupByKey]]),(ContinuousStatsTable[GroupByKey]=ContinuousStatsTable[[#This Row],[GroupByKey]])*ContinuousStatsTable[Average])),0)</f>
        <v>0</v>
      </c>
      <c r="Q406" s="5">
        <f t="array" ref="Q406">MAX(IF((ProjectInfoTable[ProjectName]=ContinuousStatsTable[[#This Row],[ProjectName]]),(ProjectInfoTable[ProjectName]=ContinuousStatsTable[[#This Row],[ProjectName]])*ProjectInfoTable[ConfidenceInterval]))</f>
        <v>0.95</v>
      </c>
      <c r="R4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6" s="5">
        <f t="array" ref="S406">MIN(IF((ContinuousStatsTable[GroupByKey]=ContinuousStatsTable[[#This Row],[GroupByKey]]),(ContinuousStatsTable[GroupByKey]=ContinuousStatsTable[[#This Row],[GroupByKey]])*ContinuousStatsTable[Average]))</f>
        <v>0</v>
      </c>
      <c r="T406" s="5">
        <f t="array" ref="T406">MAX(IF((ContinuousStatsTable[GroupByKey]=ContinuousStatsTable[[#This Row],[GroupByKey]]),(ContinuousStatsTable[GroupByKey]=ContinuousStatsTable[[#This Row],[GroupByKey]])*ContinuousStatsTable[Average]))</f>
        <v>0</v>
      </c>
      <c r="U406" s="5">
        <f>IF((ContinuousStatsTable[[#This Row],[RepsRequested]]&gt;1),ContinuousStatsTable[[#This Row],[HalfWidth]],ContinuousStatsTable[[#This Row],[BatchMeansHalfWidth]])</f>
        <v>0</v>
      </c>
    </row>
    <row r="407" spans="1:21" x14ac:dyDescent="0.25">
      <c r="A407" t="s">
        <v>67</v>
      </c>
      <c r="B407" t="s">
        <v>70</v>
      </c>
      <c r="C407">
        <v>9</v>
      </c>
      <c r="D407" t="s">
        <v>98</v>
      </c>
      <c r="E407" t="s">
        <v>84</v>
      </c>
      <c r="F407" t="s">
        <v>85</v>
      </c>
      <c r="G407">
        <v>0</v>
      </c>
      <c r="H407">
        <v>2E+20</v>
      </c>
      <c r="I407">
        <v>0</v>
      </c>
      <c r="J407">
        <v>0</v>
      </c>
      <c r="K407">
        <v>0</v>
      </c>
      <c r="L407">
        <v>0</v>
      </c>
      <c r="M407" s="5" t="str">
        <f>ContinuousStatsTable[[#This Row],[ProjectName]]&amp;ContinuousStatsTable[[#This Row],[Name]]&amp;ContinuousStatsTable[[#This Row],[Type]]&amp;ContinuousStatsTable[[#This Row],[Source]]</f>
        <v>Unnamed Projectseizesandblaster.QueueNumber WaitingQueue</v>
      </c>
      <c r="N407" s="5">
        <f t="array" ref="N407">MAX(IF((ProjectInfoTable[ProjectName]=ContinuousStatsTable[[#This Row],[ProjectName]]),(ProjectInfoTable[ProjectName]=ContinuousStatsTable[[#This Row],[ProjectName]])*ProjectInfoTable[NumberOfReplications]))</f>
        <v>15</v>
      </c>
      <c r="O407" s="5">
        <f t="array" ref="O407">IFERROR(AVERAGE(IF((ContinuousStatsTable[GroupByKey]=ContinuousStatsTable[[#This Row],[GroupByKey]]),(ContinuousStatsTable[GroupByKey]=ContinuousStatsTable[[#This Row],[GroupByKey]])*ContinuousStatsTable[Average])),0)</f>
        <v>0</v>
      </c>
      <c r="P407" s="5">
        <f t="array" ref="P407">IFERROR(_xlfn.STDEV.S(IF((ContinuousStatsTable[GroupByKey]=ContinuousStatsTable[[#This Row],[GroupByKey]]),(ContinuousStatsTable[GroupByKey]=ContinuousStatsTable[[#This Row],[GroupByKey]])*ContinuousStatsTable[Average])),0)</f>
        <v>0</v>
      </c>
      <c r="Q407" s="5">
        <f t="array" ref="Q407">MAX(IF((ProjectInfoTable[ProjectName]=ContinuousStatsTable[[#This Row],[ProjectName]]),(ProjectInfoTable[ProjectName]=ContinuousStatsTable[[#This Row],[ProjectName]])*ProjectInfoTable[ConfidenceInterval]))</f>
        <v>0.95</v>
      </c>
      <c r="R4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7" s="5">
        <f t="array" ref="S407">MIN(IF((ContinuousStatsTable[GroupByKey]=ContinuousStatsTable[[#This Row],[GroupByKey]]),(ContinuousStatsTable[GroupByKey]=ContinuousStatsTable[[#This Row],[GroupByKey]])*ContinuousStatsTable[Average]))</f>
        <v>0</v>
      </c>
      <c r="T407" s="5">
        <f t="array" ref="T407">MAX(IF((ContinuousStatsTable[GroupByKey]=ContinuousStatsTable[[#This Row],[GroupByKey]]),(ContinuousStatsTable[GroupByKey]=ContinuousStatsTable[[#This Row],[GroupByKey]])*ContinuousStatsTable[Average]))</f>
        <v>0</v>
      </c>
      <c r="U407" s="5">
        <f>IF((ContinuousStatsTable[[#This Row],[RepsRequested]]&gt;1),ContinuousStatsTable[[#This Row],[HalfWidth]],ContinuousStatsTable[[#This Row],[BatchMeansHalfWidth]])</f>
        <v>0</v>
      </c>
    </row>
    <row r="408" spans="1:21" x14ac:dyDescent="0.25">
      <c r="A408" t="s">
        <v>67</v>
      </c>
      <c r="B408" t="s">
        <v>70</v>
      </c>
      <c r="C408">
        <v>9</v>
      </c>
      <c r="D408" t="s">
        <v>99</v>
      </c>
      <c r="E408" t="s">
        <v>84</v>
      </c>
      <c r="F408" t="s">
        <v>85</v>
      </c>
      <c r="G408">
        <v>0</v>
      </c>
      <c r="H408">
        <v>2E+20</v>
      </c>
      <c r="I408">
        <v>0</v>
      </c>
      <c r="J408">
        <v>0</v>
      </c>
      <c r="K408">
        <v>0</v>
      </c>
      <c r="L408">
        <v>0</v>
      </c>
      <c r="M408" s="5" t="str">
        <f>ContinuousStatsTable[[#This Row],[ProjectName]]&amp;ContinuousStatsTable[[#This Row],[Name]]&amp;ContinuousStatsTable[[#This Row],[Type]]&amp;ContinuousStatsTable[[#This Row],[Source]]</f>
        <v>Unnamed Projectseizewelder.QueueNumber WaitingQueue</v>
      </c>
      <c r="N408" s="5">
        <f t="array" ref="N408">MAX(IF((ProjectInfoTable[ProjectName]=ContinuousStatsTable[[#This Row],[ProjectName]]),(ProjectInfoTable[ProjectName]=ContinuousStatsTable[[#This Row],[ProjectName]])*ProjectInfoTable[NumberOfReplications]))</f>
        <v>15</v>
      </c>
      <c r="O408" s="5">
        <f t="array" ref="O408">IFERROR(AVERAGE(IF((ContinuousStatsTable[GroupByKey]=ContinuousStatsTable[[#This Row],[GroupByKey]]),(ContinuousStatsTable[GroupByKey]=ContinuousStatsTable[[#This Row],[GroupByKey]])*ContinuousStatsTable[Average])),0)</f>
        <v>0</v>
      </c>
      <c r="P408" s="5">
        <f t="array" ref="P408">IFERROR(_xlfn.STDEV.S(IF((ContinuousStatsTable[GroupByKey]=ContinuousStatsTable[[#This Row],[GroupByKey]]),(ContinuousStatsTable[GroupByKey]=ContinuousStatsTable[[#This Row],[GroupByKey]])*ContinuousStatsTable[Average])),0)</f>
        <v>0</v>
      </c>
      <c r="Q408" s="5">
        <f t="array" ref="Q408">MAX(IF((ProjectInfoTable[ProjectName]=ContinuousStatsTable[[#This Row],[ProjectName]]),(ProjectInfoTable[ProjectName]=ContinuousStatsTable[[#This Row],[ProjectName]])*ProjectInfoTable[ConfidenceInterval]))</f>
        <v>0.95</v>
      </c>
      <c r="R4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8" s="5">
        <f t="array" ref="S408">MIN(IF((ContinuousStatsTable[GroupByKey]=ContinuousStatsTable[[#This Row],[GroupByKey]]),(ContinuousStatsTable[GroupByKey]=ContinuousStatsTable[[#This Row],[GroupByKey]])*ContinuousStatsTable[Average]))</f>
        <v>0</v>
      </c>
      <c r="T408" s="5">
        <f t="array" ref="T408">MAX(IF((ContinuousStatsTable[GroupByKey]=ContinuousStatsTable[[#This Row],[GroupByKey]]),(ContinuousStatsTable[GroupByKey]=ContinuousStatsTable[[#This Row],[GroupByKey]])*ContinuousStatsTable[Average]))</f>
        <v>0</v>
      </c>
      <c r="U408" s="5">
        <f>IF((ContinuousStatsTable[[#This Row],[RepsRequested]]&gt;1),ContinuousStatsTable[[#This Row],[HalfWidth]],ContinuousStatsTable[[#This Row],[BatchMeansHalfWidth]])</f>
        <v>0</v>
      </c>
    </row>
    <row r="409" spans="1:21" x14ac:dyDescent="0.25">
      <c r="A409" t="s">
        <v>67</v>
      </c>
      <c r="B409" t="s">
        <v>70</v>
      </c>
      <c r="C409">
        <v>9</v>
      </c>
      <c r="D409" t="s">
        <v>100</v>
      </c>
      <c r="E409" t="s">
        <v>78</v>
      </c>
      <c r="F409" t="s">
        <v>79</v>
      </c>
      <c r="G409">
        <v>4</v>
      </c>
      <c r="H409">
        <v>2E+20</v>
      </c>
      <c r="I409">
        <v>4</v>
      </c>
      <c r="J409">
        <v>4</v>
      </c>
      <c r="K409">
        <v>4</v>
      </c>
      <c r="L409">
        <v>0</v>
      </c>
      <c r="M409" s="5" t="str">
        <f>ContinuousStatsTable[[#This Row],[ProjectName]]&amp;ContinuousStatsTable[[#This Row],[Name]]&amp;ContinuousStatsTable[[#This Row],[Type]]&amp;ContinuousStatsTable[[#This Row],[Source]]</f>
        <v>Unnamed ProjectsteelsheetWIPEntity</v>
      </c>
      <c r="N409" s="5">
        <f t="array" ref="N409">MAX(IF((ProjectInfoTable[ProjectName]=ContinuousStatsTable[[#This Row],[ProjectName]]),(ProjectInfoTable[ProjectName]=ContinuousStatsTable[[#This Row],[ProjectName]])*ProjectInfoTable[NumberOfReplications]))</f>
        <v>15</v>
      </c>
      <c r="O409" s="5">
        <f t="array" ref="O409">IFERROR(AVERAGE(IF((ContinuousStatsTable[GroupByKey]=ContinuousStatsTable[[#This Row],[GroupByKey]]),(ContinuousStatsTable[GroupByKey]=ContinuousStatsTable[[#This Row],[GroupByKey]])*ContinuousStatsTable[Average])),0)</f>
        <v>6.1333333333333337</v>
      </c>
      <c r="P409" s="5">
        <f t="array" ref="P409">IFERROR(_xlfn.STDEV.S(IF((ContinuousStatsTable[GroupByKey]=ContinuousStatsTable[[#This Row],[GroupByKey]]),(ContinuousStatsTable[GroupByKey]=ContinuousStatsTable[[#This Row],[GroupByKey]])*ContinuousStatsTable[Average])),0)</f>
        <v>5.3166405433005028</v>
      </c>
      <c r="Q409" s="5">
        <f t="array" ref="Q409">MAX(IF((ProjectInfoTable[ProjectName]=ContinuousStatsTable[[#This Row],[ProjectName]]),(ProjectInfoTable[ProjectName]=ContinuousStatsTable[[#This Row],[ProjectName]])*ProjectInfoTable[ConfidenceInterval]))</f>
        <v>0.95</v>
      </c>
      <c r="R4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2.944257396015229</v>
      </c>
      <c r="S409" s="5">
        <f t="array" ref="S409">MIN(IF((ContinuousStatsTable[GroupByKey]=ContinuousStatsTable[[#This Row],[GroupByKey]]),(ContinuousStatsTable[GroupByKey]=ContinuousStatsTable[[#This Row],[GroupByKey]])*ContinuousStatsTable[Average]))</f>
        <v>0</v>
      </c>
      <c r="T409" s="5">
        <f t="array" ref="T409">MAX(IF((ContinuousStatsTable[GroupByKey]=ContinuousStatsTable[[#This Row],[GroupByKey]]),(ContinuousStatsTable[GroupByKey]=ContinuousStatsTable[[#This Row],[GroupByKey]])*ContinuousStatsTable[Average]))</f>
        <v>16</v>
      </c>
      <c r="U409" s="5">
        <f>IF((ContinuousStatsTable[[#This Row],[RepsRequested]]&gt;1),ContinuousStatsTable[[#This Row],[HalfWidth]],ContinuousStatsTable[[#This Row],[BatchMeansHalfWidth]])</f>
        <v>2.944257396015229</v>
      </c>
    </row>
    <row r="410" spans="1:21" x14ac:dyDescent="0.25">
      <c r="A410" t="s">
        <v>67</v>
      </c>
      <c r="B410" t="s">
        <v>70</v>
      </c>
      <c r="C410">
        <v>9</v>
      </c>
      <c r="D410" t="s">
        <v>101</v>
      </c>
      <c r="E410" t="s">
        <v>72</v>
      </c>
      <c r="F410" t="s">
        <v>73</v>
      </c>
      <c r="G410">
        <v>0</v>
      </c>
      <c r="H410">
        <v>2E+20</v>
      </c>
      <c r="I410">
        <v>0</v>
      </c>
      <c r="J410">
        <v>0</v>
      </c>
      <c r="K410">
        <v>0</v>
      </c>
      <c r="L410">
        <v>0</v>
      </c>
      <c r="M410" s="5" t="str">
        <f>ContinuousStatsTable[[#This Row],[ProjectName]]&amp;ContinuousStatsTable[[#This Row],[Name]]&amp;ContinuousStatsTable[[#This Row],[Type]]&amp;ContinuousStatsTable[[#This Row],[Source]]</f>
        <v>Unnamed ProjectwelderInstantaneous UtilizationResource</v>
      </c>
      <c r="N410" s="5">
        <f t="array" ref="N410">MAX(IF((ProjectInfoTable[ProjectName]=ContinuousStatsTable[[#This Row],[ProjectName]]),(ProjectInfoTable[ProjectName]=ContinuousStatsTable[[#This Row],[ProjectName]])*ProjectInfoTable[NumberOfReplications]))</f>
        <v>15</v>
      </c>
      <c r="O410" s="5">
        <f t="array" ref="O410">IFERROR(AVERAGE(IF((ContinuousStatsTable[GroupByKey]=ContinuousStatsTable[[#This Row],[GroupByKey]]),(ContinuousStatsTable[GroupByKey]=ContinuousStatsTable[[#This Row],[GroupByKey]])*ContinuousStatsTable[Average])),0)</f>
        <v>0</v>
      </c>
      <c r="P410" s="5">
        <f t="array" ref="P410">IFERROR(_xlfn.STDEV.S(IF((ContinuousStatsTable[GroupByKey]=ContinuousStatsTable[[#This Row],[GroupByKey]]),(ContinuousStatsTable[GroupByKey]=ContinuousStatsTable[[#This Row],[GroupByKey]])*ContinuousStatsTable[Average])),0)</f>
        <v>0</v>
      </c>
      <c r="Q410" s="5">
        <f t="array" ref="Q410">MAX(IF((ProjectInfoTable[ProjectName]=ContinuousStatsTable[[#This Row],[ProjectName]]),(ProjectInfoTable[ProjectName]=ContinuousStatsTable[[#This Row],[ProjectName]])*ProjectInfoTable[ConfidenceInterval]))</f>
        <v>0.95</v>
      </c>
      <c r="R4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0" s="5">
        <f t="array" ref="S410">MIN(IF((ContinuousStatsTable[GroupByKey]=ContinuousStatsTable[[#This Row],[GroupByKey]]),(ContinuousStatsTable[GroupByKey]=ContinuousStatsTable[[#This Row],[GroupByKey]])*ContinuousStatsTable[Average]))</f>
        <v>0</v>
      </c>
      <c r="T410" s="5">
        <f t="array" ref="T410">MAX(IF((ContinuousStatsTable[GroupByKey]=ContinuousStatsTable[[#This Row],[GroupByKey]]),(ContinuousStatsTable[GroupByKey]=ContinuousStatsTable[[#This Row],[GroupByKey]])*ContinuousStatsTable[Average]))</f>
        <v>0</v>
      </c>
      <c r="U410" s="5">
        <f>IF((ContinuousStatsTable[[#This Row],[RepsRequested]]&gt;1),ContinuousStatsTable[[#This Row],[HalfWidth]],ContinuousStatsTable[[#This Row],[BatchMeansHalfWidth]])</f>
        <v>0</v>
      </c>
    </row>
    <row r="411" spans="1:21" x14ac:dyDescent="0.25">
      <c r="A411" t="s">
        <v>67</v>
      </c>
      <c r="B411" t="s">
        <v>70</v>
      </c>
      <c r="C411">
        <v>9</v>
      </c>
      <c r="D411" t="s">
        <v>101</v>
      </c>
      <c r="E411" t="s">
        <v>74</v>
      </c>
      <c r="F411" t="s">
        <v>73</v>
      </c>
      <c r="G411">
        <v>0</v>
      </c>
      <c r="H411">
        <v>2E+20</v>
      </c>
      <c r="I411">
        <v>0</v>
      </c>
      <c r="J411">
        <v>0</v>
      </c>
      <c r="K411">
        <v>0</v>
      </c>
      <c r="L411">
        <v>0</v>
      </c>
      <c r="M411" s="5" t="str">
        <f>ContinuousStatsTable[[#This Row],[ProjectName]]&amp;ContinuousStatsTable[[#This Row],[Name]]&amp;ContinuousStatsTable[[#This Row],[Type]]&amp;ContinuousStatsTable[[#This Row],[Source]]</f>
        <v>Unnamed ProjectwelderNumber BusyResource</v>
      </c>
      <c r="N411" s="5">
        <f t="array" ref="N411">MAX(IF((ProjectInfoTable[ProjectName]=ContinuousStatsTable[[#This Row],[ProjectName]]),(ProjectInfoTable[ProjectName]=ContinuousStatsTable[[#This Row],[ProjectName]])*ProjectInfoTable[NumberOfReplications]))</f>
        <v>15</v>
      </c>
      <c r="O411" s="5">
        <f t="array" ref="O411">IFERROR(AVERAGE(IF((ContinuousStatsTable[GroupByKey]=ContinuousStatsTable[[#This Row],[GroupByKey]]),(ContinuousStatsTable[GroupByKey]=ContinuousStatsTable[[#This Row],[GroupByKey]])*ContinuousStatsTable[Average])),0)</f>
        <v>0</v>
      </c>
      <c r="P411" s="5">
        <f t="array" ref="P411">IFERROR(_xlfn.STDEV.S(IF((ContinuousStatsTable[GroupByKey]=ContinuousStatsTable[[#This Row],[GroupByKey]]),(ContinuousStatsTable[GroupByKey]=ContinuousStatsTable[[#This Row],[GroupByKey]])*ContinuousStatsTable[Average])),0)</f>
        <v>0</v>
      </c>
      <c r="Q411" s="5">
        <f t="array" ref="Q411">MAX(IF((ProjectInfoTable[ProjectName]=ContinuousStatsTable[[#This Row],[ProjectName]]),(ProjectInfoTable[ProjectName]=ContinuousStatsTable[[#This Row],[ProjectName]])*ProjectInfoTable[ConfidenceInterval]))</f>
        <v>0.95</v>
      </c>
      <c r="R4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1" s="5">
        <f t="array" ref="S411">MIN(IF((ContinuousStatsTable[GroupByKey]=ContinuousStatsTable[[#This Row],[GroupByKey]]),(ContinuousStatsTable[GroupByKey]=ContinuousStatsTable[[#This Row],[GroupByKey]])*ContinuousStatsTable[Average]))</f>
        <v>0</v>
      </c>
      <c r="T411" s="5">
        <f t="array" ref="T411">MAX(IF((ContinuousStatsTable[GroupByKey]=ContinuousStatsTable[[#This Row],[GroupByKey]]),(ContinuousStatsTable[GroupByKey]=ContinuousStatsTable[[#This Row],[GroupByKey]])*ContinuousStatsTable[Average]))</f>
        <v>0</v>
      </c>
      <c r="U411" s="5">
        <f>IF((ContinuousStatsTable[[#This Row],[RepsRequested]]&gt;1),ContinuousStatsTable[[#This Row],[HalfWidth]],ContinuousStatsTable[[#This Row],[BatchMeansHalfWidth]])</f>
        <v>0</v>
      </c>
    </row>
    <row r="412" spans="1:21" x14ac:dyDescent="0.25">
      <c r="A412" t="s">
        <v>67</v>
      </c>
      <c r="B412" t="s">
        <v>70</v>
      </c>
      <c r="C412">
        <v>9</v>
      </c>
      <c r="D412" t="s">
        <v>101</v>
      </c>
      <c r="E412" t="s">
        <v>75</v>
      </c>
      <c r="F412" t="s">
        <v>73</v>
      </c>
      <c r="G412">
        <v>1.5834999999999999</v>
      </c>
      <c r="H412">
        <v>3E+20</v>
      </c>
      <c r="I412">
        <v>1</v>
      </c>
      <c r="J412">
        <v>2</v>
      </c>
      <c r="K412">
        <v>2</v>
      </c>
      <c r="L412">
        <v>0</v>
      </c>
      <c r="M412" s="5" t="str">
        <f>ContinuousStatsTable[[#This Row],[ProjectName]]&amp;ContinuousStatsTable[[#This Row],[Name]]&amp;ContinuousStatsTable[[#This Row],[Type]]&amp;ContinuousStatsTable[[#This Row],[Source]]</f>
        <v>Unnamed ProjectwelderNumber ScheduledResource</v>
      </c>
      <c r="N412" s="5">
        <f t="array" ref="N412">MAX(IF((ProjectInfoTable[ProjectName]=ContinuousStatsTable[[#This Row],[ProjectName]]),(ProjectInfoTable[ProjectName]=ContinuousStatsTable[[#This Row],[ProjectName]])*ProjectInfoTable[NumberOfReplications]))</f>
        <v>15</v>
      </c>
      <c r="O412" s="5">
        <f t="array" ref="O412">IFERROR(AVERAGE(IF((ContinuousStatsTable[GroupByKey]=ContinuousStatsTable[[#This Row],[GroupByKey]]),(ContinuousStatsTable[GroupByKey]=ContinuousStatsTable[[#This Row],[GroupByKey]])*ContinuousStatsTable[Average])),0)</f>
        <v>1.5334531146777051</v>
      </c>
      <c r="P412" s="5">
        <f t="array" ref="P412">IFERROR(_xlfn.STDEV.S(IF((ContinuousStatsTable[GroupByKey]=ContinuousStatsTable[[#This Row],[GroupByKey]]),(ContinuousStatsTable[GroupByKey]=ContinuousStatsTable[[#This Row],[GroupByKey]])*ContinuousStatsTable[Average])),0)</f>
        <v>0.24154952363702747</v>
      </c>
      <c r="Q412" s="5">
        <f t="array" ref="Q412">MAX(IF((ProjectInfoTable[ProjectName]=ContinuousStatsTable[[#This Row],[ProjectName]]),(ProjectInfoTable[ProjectName]=ContinuousStatsTable[[#This Row],[ProjectName]])*ProjectInfoTable[ConfidenceInterval]))</f>
        <v>0.95</v>
      </c>
      <c r="R4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0.13376566756397254</v>
      </c>
      <c r="S412" s="5">
        <f t="array" ref="S412">MIN(IF((ContinuousStatsTable[GroupByKey]=ContinuousStatsTable[[#This Row],[GroupByKey]]),(ContinuousStatsTable[GroupByKey]=ContinuousStatsTable[[#This Row],[GroupByKey]])*ContinuousStatsTable[Average]))</f>
        <v>1</v>
      </c>
      <c r="T412" s="5">
        <f t="array" ref="T412">MAX(IF((ContinuousStatsTable[GroupByKey]=ContinuousStatsTable[[#This Row],[GroupByKey]]),(ContinuousStatsTable[GroupByKey]=ContinuousStatsTable[[#This Row],[GroupByKey]])*ContinuousStatsTable[Average]))</f>
        <v>2</v>
      </c>
      <c r="U412" s="5">
        <f>IF((ContinuousStatsTable[[#This Row],[RepsRequested]]&gt;1),ContinuousStatsTable[[#This Row],[HalfWidth]],ContinuousStatsTable[[#This Row],[BatchMeansHalfWidth]])</f>
        <v>0.13376566756397254</v>
      </c>
    </row>
    <row r="413" spans="1:21" x14ac:dyDescent="0.25">
      <c r="A413" t="s">
        <v>67</v>
      </c>
      <c r="B413" t="s">
        <v>70</v>
      </c>
      <c r="C413">
        <v>9</v>
      </c>
      <c r="D413" t="s">
        <v>102</v>
      </c>
      <c r="E413" t="s">
        <v>72</v>
      </c>
      <c r="F413" t="s">
        <v>73</v>
      </c>
      <c r="G413">
        <v>0</v>
      </c>
      <c r="H413">
        <v>2E+20</v>
      </c>
      <c r="I413">
        <v>0</v>
      </c>
      <c r="J413">
        <v>0</v>
      </c>
      <c r="K413">
        <v>0</v>
      </c>
      <c r="L413">
        <v>0</v>
      </c>
      <c r="M413" s="5" t="str">
        <f>ContinuousStatsTable[[#This Row],[ProjectName]]&amp;ContinuousStatsTable[[#This Row],[Name]]&amp;ContinuousStatsTable[[#This Row],[Type]]&amp;ContinuousStatsTable[[#This Row],[Source]]</f>
        <v>Unnamed ProjectweldingqcworkerInstantaneous UtilizationResource</v>
      </c>
      <c r="N413" s="5">
        <f t="array" ref="N413">MAX(IF((ProjectInfoTable[ProjectName]=ContinuousStatsTable[[#This Row],[ProjectName]]),(ProjectInfoTable[ProjectName]=ContinuousStatsTable[[#This Row],[ProjectName]])*ProjectInfoTable[NumberOfReplications]))</f>
        <v>15</v>
      </c>
      <c r="O413" s="5">
        <f t="array" ref="O413">IFERROR(AVERAGE(IF((ContinuousStatsTable[GroupByKey]=ContinuousStatsTable[[#This Row],[GroupByKey]]),(ContinuousStatsTable[GroupByKey]=ContinuousStatsTable[[#This Row],[GroupByKey]])*ContinuousStatsTable[Average])),0)</f>
        <v>0</v>
      </c>
      <c r="P413" s="5">
        <f t="array" ref="P413">IFERROR(_xlfn.STDEV.S(IF((ContinuousStatsTable[GroupByKey]=ContinuousStatsTable[[#This Row],[GroupByKey]]),(ContinuousStatsTable[GroupByKey]=ContinuousStatsTable[[#This Row],[GroupByKey]])*ContinuousStatsTable[Average])),0)</f>
        <v>0</v>
      </c>
      <c r="Q413" s="5">
        <f t="array" ref="Q413">MAX(IF((ProjectInfoTable[ProjectName]=ContinuousStatsTable[[#This Row],[ProjectName]]),(ProjectInfoTable[ProjectName]=ContinuousStatsTable[[#This Row],[ProjectName]])*ProjectInfoTable[ConfidenceInterval]))</f>
        <v>0.95</v>
      </c>
      <c r="R4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3" s="5">
        <f t="array" ref="S413">MIN(IF((ContinuousStatsTable[GroupByKey]=ContinuousStatsTable[[#This Row],[GroupByKey]]),(ContinuousStatsTable[GroupByKey]=ContinuousStatsTable[[#This Row],[GroupByKey]])*ContinuousStatsTable[Average]))</f>
        <v>0</v>
      </c>
      <c r="T413" s="5">
        <f t="array" ref="T413">MAX(IF((ContinuousStatsTable[GroupByKey]=ContinuousStatsTable[[#This Row],[GroupByKey]]),(ContinuousStatsTable[GroupByKey]=ContinuousStatsTable[[#This Row],[GroupByKey]])*ContinuousStatsTable[Average]))</f>
        <v>0</v>
      </c>
      <c r="U413" s="5">
        <f>IF((ContinuousStatsTable[[#This Row],[RepsRequested]]&gt;1),ContinuousStatsTable[[#This Row],[HalfWidth]],ContinuousStatsTable[[#This Row],[BatchMeansHalfWidth]])</f>
        <v>0</v>
      </c>
    </row>
    <row r="414" spans="1:21" x14ac:dyDescent="0.25">
      <c r="A414" t="s">
        <v>67</v>
      </c>
      <c r="B414" t="s">
        <v>70</v>
      </c>
      <c r="C414">
        <v>9</v>
      </c>
      <c r="D414" t="s">
        <v>102</v>
      </c>
      <c r="E414" t="s">
        <v>74</v>
      </c>
      <c r="F414" t="s">
        <v>73</v>
      </c>
      <c r="G414">
        <v>0</v>
      </c>
      <c r="H414">
        <v>2E+20</v>
      </c>
      <c r="I414">
        <v>0</v>
      </c>
      <c r="J414">
        <v>0</v>
      </c>
      <c r="K414">
        <v>0</v>
      </c>
      <c r="L414">
        <v>0</v>
      </c>
      <c r="M414" s="5" t="str">
        <f>ContinuousStatsTable[[#This Row],[ProjectName]]&amp;ContinuousStatsTable[[#This Row],[Name]]&amp;ContinuousStatsTable[[#This Row],[Type]]&amp;ContinuousStatsTable[[#This Row],[Source]]</f>
        <v>Unnamed ProjectweldingqcworkerNumber BusyResource</v>
      </c>
      <c r="N414" s="5">
        <f t="array" ref="N414">MAX(IF((ProjectInfoTable[ProjectName]=ContinuousStatsTable[[#This Row],[ProjectName]]),(ProjectInfoTable[ProjectName]=ContinuousStatsTable[[#This Row],[ProjectName]])*ProjectInfoTable[NumberOfReplications]))</f>
        <v>15</v>
      </c>
      <c r="O414" s="5">
        <f t="array" ref="O414">IFERROR(AVERAGE(IF((ContinuousStatsTable[GroupByKey]=ContinuousStatsTable[[#This Row],[GroupByKey]]),(ContinuousStatsTable[GroupByKey]=ContinuousStatsTable[[#This Row],[GroupByKey]])*ContinuousStatsTable[Average])),0)</f>
        <v>0</v>
      </c>
      <c r="P414" s="5">
        <f t="array" ref="P414">IFERROR(_xlfn.STDEV.S(IF((ContinuousStatsTable[GroupByKey]=ContinuousStatsTable[[#This Row],[GroupByKey]]),(ContinuousStatsTable[GroupByKey]=ContinuousStatsTable[[#This Row],[GroupByKey]])*ContinuousStatsTable[Average])),0)</f>
        <v>0</v>
      </c>
      <c r="Q414" s="5">
        <f t="array" ref="Q414">MAX(IF((ProjectInfoTable[ProjectName]=ContinuousStatsTable[[#This Row],[ProjectName]]),(ProjectInfoTable[ProjectName]=ContinuousStatsTable[[#This Row],[ProjectName]])*ProjectInfoTable[ConfidenceInterval]))</f>
        <v>0.95</v>
      </c>
      <c r="R4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4" s="5">
        <f t="array" ref="S414">MIN(IF((ContinuousStatsTable[GroupByKey]=ContinuousStatsTable[[#This Row],[GroupByKey]]),(ContinuousStatsTable[GroupByKey]=ContinuousStatsTable[[#This Row],[GroupByKey]])*ContinuousStatsTable[Average]))</f>
        <v>0</v>
      </c>
      <c r="T414" s="5">
        <f t="array" ref="T414">MAX(IF((ContinuousStatsTable[GroupByKey]=ContinuousStatsTable[[#This Row],[GroupByKey]]),(ContinuousStatsTable[GroupByKey]=ContinuousStatsTable[[#This Row],[GroupByKey]])*ContinuousStatsTable[Average]))</f>
        <v>0</v>
      </c>
      <c r="U414" s="5">
        <f>IF((ContinuousStatsTable[[#This Row],[RepsRequested]]&gt;1),ContinuousStatsTable[[#This Row],[HalfWidth]],ContinuousStatsTable[[#This Row],[BatchMeansHalfWidth]])</f>
        <v>0</v>
      </c>
    </row>
    <row r="415" spans="1:21" x14ac:dyDescent="0.25">
      <c r="A415" t="s">
        <v>67</v>
      </c>
      <c r="B415" t="s">
        <v>70</v>
      </c>
      <c r="C415">
        <v>9</v>
      </c>
      <c r="D415" t="s">
        <v>102</v>
      </c>
      <c r="E415" t="s">
        <v>75</v>
      </c>
      <c r="F415" t="s">
        <v>73</v>
      </c>
      <c r="G415">
        <v>1.5834999999999999</v>
      </c>
      <c r="H415">
        <v>3E+20</v>
      </c>
      <c r="I415">
        <v>1</v>
      </c>
      <c r="J415">
        <v>2</v>
      </c>
      <c r="K415">
        <v>2</v>
      </c>
      <c r="L415">
        <v>0</v>
      </c>
      <c r="M415" s="5" t="str">
        <f>ContinuousStatsTable[[#This Row],[ProjectName]]&amp;ContinuousStatsTable[[#This Row],[Name]]&amp;ContinuousStatsTable[[#This Row],[Type]]&amp;ContinuousStatsTable[[#This Row],[Source]]</f>
        <v>Unnamed ProjectweldingqcworkerNumber ScheduledResource</v>
      </c>
      <c r="N415" s="5">
        <f t="array" ref="N415">MAX(IF((ProjectInfoTable[ProjectName]=ContinuousStatsTable[[#This Row],[ProjectName]]),(ProjectInfoTable[ProjectName]=ContinuousStatsTable[[#This Row],[ProjectName]])*ProjectInfoTable[NumberOfReplications]))</f>
        <v>15</v>
      </c>
      <c r="O415" s="5">
        <f t="array" ref="O415">IFERROR(AVERAGE(IF((ContinuousStatsTable[GroupByKey]=ContinuousStatsTable[[#This Row],[GroupByKey]]),(ContinuousStatsTable[GroupByKey]=ContinuousStatsTable[[#This Row],[GroupByKey]])*ContinuousStatsTable[Average])),0)</f>
        <v>1.5334635492504263</v>
      </c>
      <c r="P415" s="5">
        <f t="array" ref="P415">IFERROR(_xlfn.STDEV.S(IF((ContinuousStatsTable[GroupByKey]=ContinuousStatsTable[[#This Row],[GroupByKey]]),(ContinuousStatsTable[GroupByKey]=ContinuousStatsTable[[#This Row],[GroupByKey]])*ContinuousStatsTable[Average])),0)</f>
        <v>0.24155183649982462</v>
      </c>
      <c r="Q415" s="5">
        <f t="array" ref="Q415">MAX(IF((ProjectInfoTable[ProjectName]=ContinuousStatsTable[[#This Row],[ProjectName]]),(ProjectInfoTable[ProjectName]=ContinuousStatsTable[[#This Row],[ProjectName]])*ProjectInfoTable[ConfidenceInterval]))</f>
        <v>0.95</v>
      </c>
      <c r="R4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0.1337669483846978</v>
      </c>
      <c r="S415" s="5">
        <f t="array" ref="S415">MIN(IF((ContinuousStatsTable[GroupByKey]=ContinuousStatsTable[[#This Row],[GroupByKey]]),(ContinuousStatsTable[GroupByKey]=ContinuousStatsTable[[#This Row],[GroupByKey]])*ContinuousStatsTable[Average]))</f>
        <v>1</v>
      </c>
      <c r="T415" s="5">
        <f t="array" ref="T415">MAX(IF((ContinuousStatsTable[GroupByKey]=ContinuousStatsTable[[#This Row],[GroupByKey]]),(ContinuousStatsTable[GroupByKey]=ContinuousStatsTable[[#This Row],[GroupByKey]])*ContinuousStatsTable[Average]))</f>
        <v>2</v>
      </c>
      <c r="U415" s="5">
        <f>IF((ContinuousStatsTable[[#This Row],[RepsRequested]]&gt;1),ContinuousStatsTable[[#This Row],[HalfWidth]],ContinuousStatsTable[[#This Row],[BatchMeansHalfWidth]])</f>
        <v>0.1337669483846978</v>
      </c>
    </row>
    <row r="416" spans="1:21" x14ac:dyDescent="0.25">
      <c r="A416" t="s">
        <v>67</v>
      </c>
      <c r="B416" t="s">
        <v>70</v>
      </c>
      <c r="C416">
        <v>10</v>
      </c>
      <c r="D416" t="s">
        <v>71</v>
      </c>
      <c r="E416" t="s">
        <v>72</v>
      </c>
      <c r="F416" t="s">
        <v>73</v>
      </c>
      <c r="G416">
        <v>0</v>
      </c>
      <c r="H416">
        <v>2E+20</v>
      </c>
      <c r="I416">
        <v>0</v>
      </c>
      <c r="J416">
        <v>0</v>
      </c>
      <c r="K416">
        <v>0</v>
      </c>
      <c r="L416">
        <v>0</v>
      </c>
      <c r="M416" s="5" t="str">
        <f>ContinuousStatsTable[[#This Row],[ProjectName]]&amp;ContinuousStatsTable[[#This Row],[Name]]&amp;ContinuousStatsTable[[#This Row],[Type]]&amp;ContinuousStatsTable[[#This Row],[Source]]</f>
        <v>Unnamed ProjectassemblerInstantaneous UtilizationResource</v>
      </c>
      <c r="N416" s="5">
        <f t="array" ref="N416">MAX(IF((ProjectInfoTable[ProjectName]=ContinuousStatsTable[[#This Row],[ProjectName]]),(ProjectInfoTable[ProjectName]=ContinuousStatsTable[[#This Row],[ProjectName]])*ProjectInfoTable[NumberOfReplications]))</f>
        <v>15</v>
      </c>
      <c r="O416" s="5">
        <f t="array" ref="O416">IFERROR(AVERAGE(IF((ContinuousStatsTable[GroupByKey]=ContinuousStatsTable[[#This Row],[GroupByKey]]),(ContinuousStatsTable[GroupByKey]=ContinuousStatsTable[[#This Row],[GroupByKey]])*ContinuousStatsTable[Average])),0)</f>
        <v>0</v>
      </c>
      <c r="P416" s="5">
        <f t="array" ref="P416">IFERROR(_xlfn.STDEV.S(IF((ContinuousStatsTable[GroupByKey]=ContinuousStatsTable[[#This Row],[GroupByKey]]),(ContinuousStatsTable[GroupByKey]=ContinuousStatsTable[[#This Row],[GroupByKey]])*ContinuousStatsTable[Average])),0)</f>
        <v>0</v>
      </c>
      <c r="Q416" s="5">
        <f t="array" ref="Q416">MAX(IF((ProjectInfoTable[ProjectName]=ContinuousStatsTable[[#This Row],[ProjectName]]),(ProjectInfoTable[ProjectName]=ContinuousStatsTable[[#This Row],[ProjectName]])*ProjectInfoTable[ConfidenceInterval]))</f>
        <v>0.95</v>
      </c>
      <c r="R4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6" s="5">
        <f t="array" ref="S416">MIN(IF((ContinuousStatsTable[GroupByKey]=ContinuousStatsTable[[#This Row],[GroupByKey]]),(ContinuousStatsTable[GroupByKey]=ContinuousStatsTable[[#This Row],[GroupByKey]])*ContinuousStatsTable[Average]))</f>
        <v>0</v>
      </c>
      <c r="T416" s="5">
        <f t="array" ref="T416">MAX(IF((ContinuousStatsTable[GroupByKey]=ContinuousStatsTable[[#This Row],[GroupByKey]]),(ContinuousStatsTable[GroupByKey]=ContinuousStatsTable[[#This Row],[GroupByKey]])*ContinuousStatsTable[Average]))</f>
        <v>0</v>
      </c>
      <c r="U416" s="5">
        <f>IF((ContinuousStatsTable[[#This Row],[RepsRequested]]&gt;1),ContinuousStatsTable[[#This Row],[HalfWidth]],ContinuousStatsTable[[#This Row],[BatchMeansHalfWidth]])</f>
        <v>0</v>
      </c>
    </row>
    <row r="417" spans="1:21" x14ac:dyDescent="0.25">
      <c r="A417" t="s">
        <v>67</v>
      </c>
      <c r="B417" t="s">
        <v>70</v>
      </c>
      <c r="C417">
        <v>10</v>
      </c>
      <c r="D417" t="s">
        <v>71</v>
      </c>
      <c r="E417" t="s">
        <v>74</v>
      </c>
      <c r="F417" t="s">
        <v>73</v>
      </c>
      <c r="G417">
        <v>0</v>
      </c>
      <c r="H417">
        <v>2E+20</v>
      </c>
      <c r="I417">
        <v>0</v>
      </c>
      <c r="J417">
        <v>0</v>
      </c>
      <c r="K417">
        <v>0</v>
      </c>
      <c r="L417">
        <v>0</v>
      </c>
      <c r="M417" s="5" t="str">
        <f>ContinuousStatsTable[[#This Row],[ProjectName]]&amp;ContinuousStatsTable[[#This Row],[Name]]&amp;ContinuousStatsTable[[#This Row],[Type]]&amp;ContinuousStatsTable[[#This Row],[Source]]</f>
        <v>Unnamed ProjectassemblerNumber BusyResource</v>
      </c>
      <c r="N417" s="5">
        <f t="array" ref="N417">MAX(IF((ProjectInfoTable[ProjectName]=ContinuousStatsTable[[#This Row],[ProjectName]]),(ProjectInfoTable[ProjectName]=ContinuousStatsTable[[#This Row],[ProjectName]])*ProjectInfoTable[NumberOfReplications]))</f>
        <v>15</v>
      </c>
      <c r="O417" s="5">
        <f t="array" ref="O417">IFERROR(AVERAGE(IF((ContinuousStatsTable[GroupByKey]=ContinuousStatsTable[[#This Row],[GroupByKey]]),(ContinuousStatsTable[GroupByKey]=ContinuousStatsTable[[#This Row],[GroupByKey]])*ContinuousStatsTable[Average])),0)</f>
        <v>0</v>
      </c>
      <c r="P417" s="5">
        <f t="array" ref="P417">IFERROR(_xlfn.STDEV.S(IF((ContinuousStatsTable[GroupByKey]=ContinuousStatsTable[[#This Row],[GroupByKey]]),(ContinuousStatsTable[GroupByKey]=ContinuousStatsTable[[#This Row],[GroupByKey]])*ContinuousStatsTable[Average])),0)</f>
        <v>0</v>
      </c>
      <c r="Q417" s="5">
        <f t="array" ref="Q417">MAX(IF((ProjectInfoTable[ProjectName]=ContinuousStatsTable[[#This Row],[ProjectName]]),(ProjectInfoTable[ProjectName]=ContinuousStatsTable[[#This Row],[ProjectName]])*ProjectInfoTable[ConfidenceInterval]))</f>
        <v>0.95</v>
      </c>
      <c r="R4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7" s="5">
        <f t="array" ref="S417">MIN(IF((ContinuousStatsTable[GroupByKey]=ContinuousStatsTable[[#This Row],[GroupByKey]]),(ContinuousStatsTable[GroupByKey]=ContinuousStatsTable[[#This Row],[GroupByKey]])*ContinuousStatsTable[Average]))</f>
        <v>0</v>
      </c>
      <c r="T417" s="5">
        <f t="array" ref="T417">MAX(IF((ContinuousStatsTable[GroupByKey]=ContinuousStatsTable[[#This Row],[GroupByKey]]),(ContinuousStatsTable[GroupByKey]=ContinuousStatsTable[[#This Row],[GroupByKey]])*ContinuousStatsTable[Average]))</f>
        <v>0</v>
      </c>
      <c r="U417" s="5">
        <f>IF((ContinuousStatsTable[[#This Row],[RepsRequested]]&gt;1),ContinuousStatsTable[[#This Row],[HalfWidth]],ContinuousStatsTable[[#This Row],[BatchMeansHalfWidth]])</f>
        <v>0</v>
      </c>
    </row>
    <row r="418" spans="1:21" x14ac:dyDescent="0.25">
      <c r="A418" t="s">
        <v>67</v>
      </c>
      <c r="B418" t="s">
        <v>70</v>
      </c>
      <c r="C418">
        <v>10</v>
      </c>
      <c r="D418" t="s">
        <v>71</v>
      </c>
      <c r="E418" t="s">
        <v>75</v>
      </c>
      <c r="F418" t="s">
        <v>73</v>
      </c>
      <c r="G418">
        <v>1.58300461711098</v>
      </c>
      <c r="H418">
        <v>3E+20</v>
      </c>
      <c r="I418">
        <v>1</v>
      </c>
      <c r="J418">
        <v>2</v>
      </c>
      <c r="K418">
        <v>1</v>
      </c>
      <c r="L418">
        <v>0</v>
      </c>
      <c r="M418" s="5" t="str">
        <f>ContinuousStatsTable[[#This Row],[ProjectName]]&amp;ContinuousStatsTable[[#This Row],[Name]]&amp;ContinuousStatsTable[[#This Row],[Type]]&amp;ContinuousStatsTable[[#This Row],[Source]]</f>
        <v>Unnamed ProjectassemblerNumber ScheduledResource</v>
      </c>
      <c r="N418" s="5">
        <f t="array" ref="N418">MAX(IF((ProjectInfoTable[ProjectName]=ContinuousStatsTable[[#This Row],[ProjectName]]),(ProjectInfoTable[ProjectName]=ContinuousStatsTable[[#This Row],[ProjectName]])*ProjectInfoTable[NumberOfReplications]))</f>
        <v>15</v>
      </c>
      <c r="O418" s="5">
        <f t="array" ref="O418">IFERROR(AVERAGE(IF((ContinuousStatsTable[GroupByKey]=ContinuousStatsTable[[#This Row],[GroupByKey]]),(ContinuousStatsTable[GroupByKey]=ContinuousStatsTable[[#This Row],[GroupByKey]])*ContinuousStatsTable[Average])),0)</f>
        <v>1.5333142680768803</v>
      </c>
      <c r="P418" s="5">
        <f t="array" ref="P418">IFERROR(_xlfn.STDEV.S(IF((ContinuousStatsTable[GroupByKey]=ContinuousStatsTable[[#This Row],[GroupByKey]]),(ContinuousStatsTable[GroupByKey]=ContinuousStatsTable[[#This Row],[GroupByKey]])*ContinuousStatsTable[Average])),0)</f>
        <v>0.24151891999367611</v>
      </c>
      <c r="Q418" s="5">
        <f t="array" ref="Q418">MAX(IF((ProjectInfoTable[ProjectName]=ContinuousStatsTable[[#This Row],[ProjectName]]),(ProjectInfoTable[ProjectName]=ContinuousStatsTable[[#This Row],[ProjectName]])*ProjectInfoTable[ConfidenceInterval]))</f>
        <v>0.95</v>
      </c>
      <c r="R4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0.13374871983117992</v>
      </c>
      <c r="S418" s="5">
        <f t="array" ref="S418">MIN(IF((ContinuousStatsTable[GroupByKey]=ContinuousStatsTable[[#This Row],[GroupByKey]]),(ContinuousStatsTable[GroupByKey]=ContinuousStatsTable[[#This Row],[GroupByKey]])*ContinuousStatsTable[Average]))</f>
        <v>1</v>
      </c>
      <c r="T418" s="5">
        <f t="array" ref="T418">MAX(IF((ContinuousStatsTable[GroupByKey]=ContinuousStatsTable[[#This Row],[GroupByKey]]),(ContinuousStatsTable[GroupByKey]=ContinuousStatsTable[[#This Row],[GroupByKey]])*ContinuousStatsTable[Average]))</f>
        <v>2</v>
      </c>
      <c r="U418" s="5">
        <f>IF((ContinuousStatsTable[[#This Row],[RepsRequested]]&gt;1),ContinuousStatsTable[[#This Row],[HalfWidth]],ContinuousStatsTable[[#This Row],[BatchMeansHalfWidth]])</f>
        <v>0.13374871983117992</v>
      </c>
    </row>
    <row r="419" spans="1:21" x14ac:dyDescent="0.25">
      <c r="A419" t="s">
        <v>67</v>
      </c>
      <c r="B419" t="s">
        <v>70</v>
      </c>
      <c r="C419">
        <v>10</v>
      </c>
      <c r="D419" t="s">
        <v>76</v>
      </c>
      <c r="E419" t="s">
        <v>72</v>
      </c>
      <c r="F419" t="s">
        <v>73</v>
      </c>
      <c r="G419">
        <v>0</v>
      </c>
      <c r="H419">
        <v>2E+20</v>
      </c>
      <c r="I419">
        <v>0</v>
      </c>
      <c r="J419">
        <v>0</v>
      </c>
      <c r="K419">
        <v>0</v>
      </c>
      <c r="L419">
        <v>0</v>
      </c>
      <c r="M419" s="5" t="str">
        <f>ContinuousStatsTable[[#This Row],[ProjectName]]&amp;ContinuousStatsTable[[#This Row],[Name]]&amp;ContinuousStatsTable[[#This Row],[Type]]&amp;ContinuousStatsTable[[#This Row],[Source]]</f>
        <v>Unnamed ProjectassemblyqcworkerInstantaneous UtilizationResource</v>
      </c>
      <c r="N419" s="5">
        <f t="array" ref="N419">MAX(IF((ProjectInfoTable[ProjectName]=ContinuousStatsTable[[#This Row],[ProjectName]]),(ProjectInfoTable[ProjectName]=ContinuousStatsTable[[#This Row],[ProjectName]])*ProjectInfoTable[NumberOfReplications]))</f>
        <v>15</v>
      </c>
      <c r="O419" s="5">
        <f t="array" ref="O419">IFERROR(AVERAGE(IF((ContinuousStatsTable[GroupByKey]=ContinuousStatsTable[[#This Row],[GroupByKey]]),(ContinuousStatsTable[GroupByKey]=ContinuousStatsTable[[#This Row],[GroupByKey]])*ContinuousStatsTable[Average])),0)</f>
        <v>0</v>
      </c>
      <c r="P419" s="5">
        <f t="array" ref="P419">IFERROR(_xlfn.STDEV.S(IF((ContinuousStatsTable[GroupByKey]=ContinuousStatsTable[[#This Row],[GroupByKey]]),(ContinuousStatsTable[GroupByKey]=ContinuousStatsTable[[#This Row],[GroupByKey]])*ContinuousStatsTable[Average])),0)</f>
        <v>0</v>
      </c>
      <c r="Q419" s="5">
        <f t="array" ref="Q419">MAX(IF((ProjectInfoTable[ProjectName]=ContinuousStatsTable[[#This Row],[ProjectName]]),(ProjectInfoTable[ProjectName]=ContinuousStatsTable[[#This Row],[ProjectName]])*ProjectInfoTable[ConfidenceInterval]))</f>
        <v>0.95</v>
      </c>
      <c r="R4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9" s="5">
        <f t="array" ref="S419">MIN(IF((ContinuousStatsTable[GroupByKey]=ContinuousStatsTable[[#This Row],[GroupByKey]]),(ContinuousStatsTable[GroupByKey]=ContinuousStatsTable[[#This Row],[GroupByKey]])*ContinuousStatsTable[Average]))</f>
        <v>0</v>
      </c>
      <c r="T419" s="5">
        <f t="array" ref="T419">MAX(IF((ContinuousStatsTable[GroupByKey]=ContinuousStatsTable[[#This Row],[GroupByKey]]),(ContinuousStatsTable[GroupByKey]=ContinuousStatsTable[[#This Row],[GroupByKey]])*ContinuousStatsTable[Average]))</f>
        <v>0</v>
      </c>
      <c r="U419" s="5">
        <f>IF((ContinuousStatsTable[[#This Row],[RepsRequested]]&gt;1),ContinuousStatsTable[[#This Row],[HalfWidth]],ContinuousStatsTable[[#This Row],[BatchMeansHalfWidth]])</f>
        <v>0</v>
      </c>
    </row>
    <row r="420" spans="1:21" x14ac:dyDescent="0.25">
      <c r="A420" t="s">
        <v>67</v>
      </c>
      <c r="B420" t="s">
        <v>70</v>
      </c>
      <c r="C420">
        <v>10</v>
      </c>
      <c r="D420" t="s">
        <v>76</v>
      </c>
      <c r="E420" t="s">
        <v>74</v>
      </c>
      <c r="F420" t="s">
        <v>73</v>
      </c>
      <c r="G420">
        <v>0</v>
      </c>
      <c r="H420">
        <v>2E+20</v>
      </c>
      <c r="I420">
        <v>0</v>
      </c>
      <c r="J420">
        <v>0</v>
      </c>
      <c r="K420">
        <v>0</v>
      </c>
      <c r="L420">
        <v>0</v>
      </c>
      <c r="M420" s="5" t="str">
        <f>ContinuousStatsTable[[#This Row],[ProjectName]]&amp;ContinuousStatsTable[[#This Row],[Name]]&amp;ContinuousStatsTable[[#This Row],[Type]]&amp;ContinuousStatsTable[[#This Row],[Source]]</f>
        <v>Unnamed ProjectassemblyqcworkerNumber BusyResource</v>
      </c>
      <c r="N420" s="5">
        <f t="array" ref="N420">MAX(IF((ProjectInfoTable[ProjectName]=ContinuousStatsTable[[#This Row],[ProjectName]]),(ProjectInfoTable[ProjectName]=ContinuousStatsTable[[#This Row],[ProjectName]])*ProjectInfoTable[NumberOfReplications]))</f>
        <v>15</v>
      </c>
      <c r="O420" s="5">
        <f t="array" ref="O420">IFERROR(AVERAGE(IF((ContinuousStatsTable[GroupByKey]=ContinuousStatsTable[[#This Row],[GroupByKey]]),(ContinuousStatsTable[GroupByKey]=ContinuousStatsTable[[#This Row],[GroupByKey]])*ContinuousStatsTable[Average])),0)</f>
        <v>0</v>
      </c>
      <c r="P420" s="5">
        <f t="array" ref="P420">IFERROR(_xlfn.STDEV.S(IF((ContinuousStatsTable[GroupByKey]=ContinuousStatsTable[[#This Row],[GroupByKey]]),(ContinuousStatsTable[GroupByKey]=ContinuousStatsTable[[#This Row],[GroupByKey]])*ContinuousStatsTable[Average])),0)</f>
        <v>0</v>
      </c>
      <c r="Q420" s="5">
        <f t="array" ref="Q420">MAX(IF((ProjectInfoTable[ProjectName]=ContinuousStatsTable[[#This Row],[ProjectName]]),(ProjectInfoTable[ProjectName]=ContinuousStatsTable[[#This Row],[ProjectName]])*ProjectInfoTable[ConfidenceInterval]))</f>
        <v>0.95</v>
      </c>
      <c r="R4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0" s="5">
        <f t="array" ref="S420">MIN(IF((ContinuousStatsTable[GroupByKey]=ContinuousStatsTable[[#This Row],[GroupByKey]]),(ContinuousStatsTable[GroupByKey]=ContinuousStatsTable[[#This Row],[GroupByKey]])*ContinuousStatsTable[Average]))</f>
        <v>0</v>
      </c>
      <c r="T420" s="5">
        <f t="array" ref="T420">MAX(IF((ContinuousStatsTable[GroupByKey]=ContinuousStatsTable[[#This Row],[GroupByKey]]),(ContinuousStatsTable[GroupByKey]=ContinuousStatsTable[[#This Row],[GroupByKey]])*ContinuousStatsTable[Average]))</f>
        <v>0</v>
      </c>
      <c r="U420" s="5">
        <f>IF((ContinuousStatsTable[[#This Row],[RepsRequested]]&gt;1),ContinuousStatsTable[[#This Row],[HalfWidth]],ContinuousStatsTable[[#This Row],[BatchMeansHalfWidth]])</f>
        <v>0</v>
      </c>
    </row>
    <row r="421" spans="1:21" x14ac:dyDescent="0.25">
      <c r="A421" t="s">
        <v>67</v>
      </c>
      <c r="B421" t="s">
        <v>70</v>
      </c>
      <c r="C421">
        <v>10</v>
      </c>
      <c r="D421" t="s">
        <v>76</v>
      </c>
      <c r="E421" t="s">
        <v>75</v>
      </c>
      <c r="F421" t="s">
        <v>73</v>
      </c>
      <c r="G421">
        <v>1.5834999999999999</v>
      </c>
      <c r="H421">
        <v>3E+20</v>
      </c>
      <c r="I421">
        <v>1</v>
      </c>
      <c r="J421">
        <v>2</v>
      </c>
      <c r="K421">
        <v>2</v>
      </c>
      <c r="L421">
        <v>0</v>
      </c>
      <c r="M421" s="5" t="str">
        <f>ContinuousStatsTable[[#This Row],[ProjectName]]&amp;ContinuousStatsTable[[#This Row],[Name]]&amp;ContinuousStatsTable[[#This Row],[Type]]&amp;ContinuousStatsTable[[#This Row],[Source]]</f>
        <v>Unnamed ProjectassemblyqcworkerNumber ScheduledResource</v>
      </c>
      <c r="N421" s="5">
        <f t="array" ref="N421">MAX(IF((ProjectInfoTable[ProjectName]=ContinuousStatsTable[[#This Row],[ProjectName]]),(ProjectInfoTable[ProjectName]=ContinuousStatsTable[[#This Row],[ProjectName]])*ProjectInfoTable[NumberOfReplications]))</f>
        <v>15</v>
      </c>
      <c r="O421" s="5">
        <f t="array" ref="O421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421" s="5">
        <f t="array" ref="P421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421" s="5">
        <f t="array" ref="Q421">MAX(IF((ProjectInfoTable[ProjectName]=ContinuousStatsTable[[#This Row],[ProjectName]]),(ProjectInfoTable[ProjectName]=ContinuousStatsTable[[#This Row],[ProjectName]])*ProjectInfoTable[ConfidenceInterval]))</f>
        <v>0.95</v>
      </c>
      <c r="R4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421" s="5">
        <f t="array" ref="S421">MIN(IF((ContinuousStatsTable[GroupByKey]=ContinuousStatsTable[[#This Row],[GroupByKey]]),(ContinuousStatsTable[GroupByKey]=ContinuousStatsTable[[#This Row],[GroupByKey]])*ContinuousStatsTable[Average]))</f>
        <v>1</v>
      </c>
      <c r="T421" s="5">
        <f t="array" ref="T421">MAX(IF((ContinuousStatsTable[GroupByKey]=ContinuousStatsTable[[#This Row],[GroupByKey]]),(ContinuousStatsTable[GroupByKey]=ContinuousStatsTable[[#This Row],[GroupByKey]])*ContinuousStatsTable[Average]))</f>
        <v>2</v>
      </c>
      <c r="U421" s="5">
        <f>IF((ContinuousStatsTable[[#This Row],[RepsRequested]]&gt;1),ContinuousStatsTable[[#This Row],[HalfWidth]],ContinuousStatsTable[[#This Row],[BatchMeansHalfWidth]])</f>
        <v>0.13376733135491528</v>
      </c>
    </row>
    <row r="422" spans="1:21" x14ac:dyDescent="0.25">
      <c r="A422" t="s">
        <v>67</v>
      </c>
      <c r="B422" t="s">
        <v>70</v>
      </c>
      <c r="C422">
        <v>10</v>
      </c>
      <c r="D422" t="s">
        <v>77</v>
      </c>
      <c r="E422" t="s">
        <v>78</v>
      </c>
      <c r="F422" t="s">
        <v>79</v>
      </c>
      <c r="G422">
        <v>0</v>
      </c>
      <c r="H422">
        <v>2E+20</v>
      </c>
      <c r="I422">
        <v>0</v>
      </c>
      <c r="J422">
        <v>0</v>
      </c>
      <c r="K422">
        <v>0</v>
      </c>
      <c r="L422">
        <v>0</v>
      </c>
      <c r="M422" s="5" t="str">
        <f>ContinuousStatsTable[[#This Row],[ProjectName]]&amp;ContinuousStatsTable[[#This Row],[Name]]&amp;ContinuousStatsTable[[#This Row],[Type]]&amp;ContinuousStatsTable[[#This Row],[Source]]</f>
        <v>Unnamed Projectbatched_partsWIPEntity</v>
      </c>
      <c r="N422" s="5">
        <f t="array" ref="N422">MAX(IF((ProjectInfoTable[ProjectName]=ContinuousStatsTable[[#This Row],[ProjectName]]),(ProjectInfoTable[ProjectName]=ContinuousStatsTable[[#This Row],[ProjectName]])*ProjectInfoTable[NumberOfReplications]))</f>
        <v>15</v>
      </c>
      <c r="O422" s="5">
        <f t="array" ref="O422">IFERROR(AVERAGE(IF((ContinuousStatsTable[GroupByKey]=ContinuousStatsTable[[#This Row],[GroupByKey]]),(ContinuousStatsTable[GroupByKey]=ContinuousStatsTable[[#This Row],[GroupByKey]])*ContinuousStatsTable[Average])),0)</f>
        <v>0</v>
      </c>
      <c r="P422" s="5">
        <f t="array" ref="P422">IFERROR(_xlfn.STDEV.S(IF((ContinuousStatsTable[GroupByKey]=ContinuousStatsTable[[#This Row],[GroupByKey]]),(ContinuousStatsTable[GroupByKey]=ContinuousStatsTable[[#This Row],[GroupByKey]])*ContinuousStatsTable[Average])),0)</f>
        <v>0</v>
      </c>
      <c r="Q422" s="5">
        <f t="array" ref="Q422">MAX(IF((ProjectInfoTable[ProjectName]=ContinuousStatsTable[[#This Row],[ProjectName]]),(ProjectInfoTable[ProjectName]=ContinuousStatsTable[[#This Row],[ProjectName]])*ProjectInfoTable[ConfidenceInterval]))</f>
        <v>0.95</v>
      </c>
      <c r="R4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2" s="5">
        <f t="array" ref="S422">MIN(IF((ContinuousStatsTable[GroupByKey]=ContinuousStatsTable[[#This Row],[GroupByKey]]),(ContinuousStatsTable[GroupByKey]=ContinuousStatsTable[[#This Row],[GroupByKey]])*ContinuousStatsTable[Average]))</f>
        <v>0</v>
      </c>
      <c r="T422" s="5">
        <f t="array" ref="T422">MAX(IF((ContinuousStatsTable[GroupByKey]=ContinuousStatsTable[[#This Row],[GroupByKey]]),(ContinuousStatsTable[GroupByKey]=ContinuousStatsTable[[#This Row],[GroupByKey]])*ContinuousStatsTable[Average]))</f>
        <v>0</v>
      </c>
      <c r="U422" s="5">
        <f>IF((ContinuousStatsTable[[#This Row],[RepsRequested]]&gt;1),ContinuousStatsTable[[#This Row],[HalfWidth]],ContinuousStatsTable[[#This Row],[BatchMeansHalfWidth]])</f>
        <v>0</v>
      </c>
    </row>
    <row r="423" spans="1:21" x14ac:dyDescent="0.25">
      <c r="A423" t="s">
        <v>67</v>
      </c>
      <c r="B423" t="s">
        <v>70</v>
      </c>
      <c r="C423">
        <v>10</v>
      </c>
      <c r="D423" t="s">
        <v>80</v>
      </c>
      <c r="E423" t="s">
        <v>72</v>
      </c>
      <c r="F423" t="s">
        <v>73</v>
      </c>
      <c r="G423">
        <v>0</v>
      </c>
      <c r="H423">
        <v>2E+20</v>
      </c>
      <c r="I423">
        <v>0</v>
      </c>
      <c r="J423">
        <v>0</v>
      </c>
      <c r="K423">
        <v>0</v>
      </c>
      <c r="L423">
        <v>0</v>
      </c>
      <c r="M423" s="5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423" s="5">
        <f t="array" ref="N423">MAX(IF((ProjectInfoTable[ProjectName]=ContinuousStatsTable[[#This Row],[ProjectName]]),(ProjectInfoTable[ProjectName]=ContinuousStatsTable[[#This Row],[ProjectName]])*ProjectInfoTable[NumberOfReplications]))</f>
        <v>15</v>
      </c>
      <c r="O423" s="5">
        <f t="array" ref="O423">IFERROR(AVERAGE(IF((ContinuousStatsTable[GroupByKey]=ContinuousStatsTable[[#This Row],[GroupByKey]]),(ContinuousStatsTable[GroupByKey]=ContinuousStatsTable[[#This Row],[GroupByKey]])*ContinuousStatsTable[Average])),0)</f>
        <v>0</v>
      </c>
      <c r="P423" s="5">
        <f t="array" ref="P423">IFERROR(_xlfn.STDEV.S(IF((ContinuousStatsTable[GroupByKey]=ContinuousStatsTable[[#This Row],[GroupByKey]]),(ContinuousStatsTable[GroupByKey]=ContinuousStatsTable[[#This Row],[GroupByKey]])*ContinuousStatsTable[Average])),0)</f>
        <v>0</v>
      </c>
      <c r="Q423" s="5">
        <f t="array" ref="Q423">MAX(IF((ProjectInfoTable[ProjectName]=ContinuousStatsTable[[#This Row],[ProjectName]]),(ProjectInfoTable[ProjectName]=ContinuousStatsTable[[#This Row],[ProjectName]])*ProjectInfoTable[ConfidenceInterval]))</f>
        <v>0.95</v>
      </c>
      <c r="R4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3" s="5">
        <f t="array" ref="S423">MIN(IF((ContinuousStatsTable[GroupByKey]=ContinuousStatsTable[[#This Row],[GroupByKey]]),(ContinuousStatsTable[GroupByKey]=ContinuousStatsTable[[#This Row],[GroupByKey]])*ContinuousStatsTable[Average]))</f>
        <v>0</v>
      </c>
      <c r="T423" s="5">
        <f t="array" ref="T423">MAX(IF((ContinuousStatsTable[GroupByKey]=ContinuousStatsTable[[#This Row],[GroupByKey]]),(ContinuousStatsTable[GroupByKey]=ContinuousStatsTable[[#This Row],[GroupByKey]])*ContinuousStatsTable[Average]))</f>
        <v>0</v>
      </c>
      <c r="U423" s="5">
        <f>IF((ContinuousStatsTable[[#This Row],[RepsRequested]]&gt;1),ContinuousStatsTable[[#This Row],[HalfWidth]],ContinuousStatsTable[[#This Row],[BatchMeansHalfWidth]])</f>
        <v>0</v>
      </c>
    </row>
    <row r="424" spans="1:21" x14ac:dyDescent="0.25">
      <c r="A424" t="s">
        <v>67</v>
      </c>
      <c r="B424" t="s">
        <v>70</v>
      </c>
      <c r="C424">
        <v>10</v>
      </c>
      <c r="D424" t="s">
        <v>80</v>
      </c>
      <c r="E424" t="s">
        <v>74</v>
      </c>
      <c r="F424" t="s">
        <v>73</v>
      </c>
      <c r="G424">
        <v>0</v>
      </c>
      <c r="H424">
        <v>2E+20</v>
      </c>
      <c r="I424">
        <v>0</v>
      </c>
      <c r="J424">
        <v>0</v>
      </c>
      <c r="K424">
        <v>0</v>
      </c>
      <c r="L424">
        <v>0</v>
      </c>
      <c r="M424" s="5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424" s="5">
        <f t="array" ref="N424">MAX(IF((ProjectInfoTable[ProjectName]=ContinuousStatsTable[[#This Row],[ProjectName]]),(ProjectInfoTable[ProjectName]=ContinuousStatsTable[[#This Row],[ProjectName]])*ProjectInfoTable[NumberOfReplications]))</f>
        <v>15</v>
      </c>
      <c r="O424" s="5">
        <f t="array" ref="O424">IFERROR(AVERAGE(IF((ContinuousStatsTable[GroupByKey]=ContinuousStatsTable[[#This Row],[GroupByKey]]),(ContinuousStatsTable[GroupByKey]=ContinuousStatsTable[[#This Row],[GroupByKey]])*ContinuousStatsTable[Average])),0)</f>
        <v>0</v>
      </c>
      <c r="P424" s="5">
        <f t="array" ref="P424">IFERROR(_xlfn.STDEV.S(IF((ContinuousStatsTable[GroupByKey]=ContinuousStatsTable[[#This Row],[GroupByKey]]),(ContinuousStatsTable[GroupByKey]=ContinuousStatsTable[[#This Row],[GroupByKey]])*ContinuousStatsTable[Average])),0)</f>
        <v>0</v>
      </c>
      <c r="Q424" s="5">
        <f t="array" ref="Q424">MAX(IF((ProjectInfoTable[ProjectName]=ContinuousStatsTable[[#This Row],[ProjectName]]),(ProjectInfoTable[ProjectName]=ContinuousStatsTable[[#This Row],[ProjectName]])*ProjectInfoTable[ConfidenceInterval]))</f>
        <v>0.95</v>
      </c>
      <c r="R4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4" s="5">
        <f t="array" ref="S424">MIN(IF((ContinuousStatsTable[GroupByKey]=ContinuousStatsTable[[#This Row],[GroupByKey]]),(ContinuousStatsTable[GroupByKey]=ContinuousStatsTable[[#This Row],[GroupByKey]])*ContinuousStatsTable[Average]))</f>
        <v>0</v>
      </c>
      <c r="T424" s="5">
        <f t="array" ref="T424">MAX(IF((ContinuousStatsTable[GroupByKey]=ContinuousStatsTable[[#This Row],[GroupByKey]]),(ContinuousStatsTable[GroupByKey]=ContinuousStatsTable[[#This Row],[GroupByKey]])*ContinuousStatsTable[Average]))</f>
        <v>0</v>
      </c>
      <c r="U424" s="5">
        <f>IF((ContinuousStatsTable[[#This Row],[RepsRequested]]&gt;1),ContinuousStatsTable[[#This Row],[HalfWidth]],ContinuousStatsTable[[#This Row],[BatchMeansHalfWidth]])</f>
        <v>0</v>
      </c>
    </row>
    <row r="425" spans="1:21" x14ac:dyDescent="0.25">
      <c r="A425" t="s">
        <v>67</v>
      </c>
      <c r="B425" t="s">
        <v>70</v>
      </c>
      <c r="C425">
        <v>10</v>
      </c>
      <c r="D425" t="s">
        <v>80</v>
      </c>
      <c r="E425" t="s">
        <v>75</v>
      </c>
      <c r="F425" t="s">
        <v>73</v>
      </c>
      <c r="G425">
        <v>1.5834999999999999</v>
      </c>
      <c r="H425">
        <v>3E+20</v>
      </c>
      <c r="I425">
        <v>1</v>
      </c>
      <c r="J425">
        <v>2</v>
      </c>
      <c r="K425">
        <v>2</v>
      </c>
      <c r="L425">
        <v>0</v>
      </c>
      <c r="M425" s="5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425" s="5">
        <f t="array" ref="N425">MAX(IF((ProjectInfoTable[ProjectName]=ContinuousStatsTable[[#This Row],[ProjectName]]),(ProjectInfoTable[ProjectName]=ContinuousStatsTable[[#This Row],[ProjectName]])*ProjectInfoTable[NumberOfReplications]))</f>
        <v>15</v>
      </c>
      <c r="O425" s="5">
        <f t="array" ref="O425">IFERROR(AVERAGE(IF((ContinuousStatsTable[GroupByKey]=ContinuousStatsTable[[#This Row],[GroupByKey]]),(ContinuousStatsTable[GroupByKey]=ContinuousStatsTable[[#This Row],[GroupByKey]])*ContinuousStatsTable[Average])),0)</f>
        <v>1.5334471868881776</v>
      </c>
      <c r="P425" s="5">
        <f t="array" ref="P425">IFERROR(_xlfn.STDEV.S(IF((ContinuousStatsTable[GroupByKey]=ContinuousStatsTable[[#This Row],[GroupByKey]]),(ContinuousStatsTable[GroupByKey]=ContinuousStatsTable[[#This Row],[GroupByKey]])*ContinuousStatsTable[Average])),0)</f>
        <v>0.24154821158553658</v>
      </c>
      <c r="Q425" s="5">
        <f t="array" ref="Q425">MAX(IF((ProjectInfoTable[ProjectName]=ContinuousStatsTable[[#This Row],[ProjectName]]),(ProjectInfoTable[ProjectName]=ContinuousStatsTable[[#This Row],[ProjectName]])*ProjectInfoTable[ConfidenceInterval]))</f>
        <v>0.95</v>
      </c>
      <c r="R4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0.13376494097407529</v>
      </c>
      <c r="S425" s="5">
        <f t="array" ref="S425">MIN(IF((ContinuousStatsTable[GroupByKey]=ContinuousStatsTable[[#This Row],[GroupByKey]]),(ContinuousStatsTable[GroupByKey]=ContinuousStatsTable[[#This Row],[GroupByKey]])*ContinuousStatsTable[Average]))</f>
        <v>1</v>
      </c>
      <c r="T425" s="5">
        <f t="array" ref="T425">MAX(IF((ContinuousStatsTable[GroupByKey]=ContinuousStatsTable[[#This Row],[GroupByKey]]),(ContinuousStatsTable[GroupByKey]=ContinuousStatsTable[[#This Row],[GroupByKey]])*ContinuousStatsTable[Average]))</f>
        <v>2</v>
      </c>
      <c r="U425" s="5">
        <f>IF((ContinuousStatsTable[[#This Row],[RepsRequested]]&gt;1),ContinuousStatsTable[[#This Row],[HalfWidth]],ContinuousStatsTable[[#This Row],[BatchMeansHalfWidth]])</f>
        <v>0.13376494097407529</v>
      </c>
    </row>
    <row r="426" spans="1:21" x14ac:dyDescent="0.25">
      <c r="A426" t="s">
        <v>67</v>
      </c>
      <c r="B426" t="s">
        <v>70</v>
      </c>
      <c r="C426">
        <v>10</v>
      </c>
      <c r="D426" t="s">
        <v>81</v>
      </c>
      <c r="E426" t="s">
        <v>72</v>
      </c>
      <c r="F426" t="s">
        <v>73</v>
      </c>
      <c r="G426">
        <v>0</v>
      </c>
      <c r="H426">
        <v>2E+20</v>
      </c>
      <c r="I426">
        <v>0</v>
      </c>
      <c r="J426">
        <v>0</v>
      </c>
      <c r="K426">
        <v>0</v>
      </c>
      <c r="L426">
        <v>0</v>
      </c>
      <c r="M426" s="5" t="str">
        <f>ContinuousStatsTable[[#This Row],[ProjectName]]&amp;ContinuousStatsTable[[#This Row],[Name]]&amp;ContinuousStatsTable[[#This Row],[Type]]&amp;ContinuousStatsTable[[#This Row],[Source]]</f>
        <v>Unnamed ProjectcutterInstantaneous UtilizationResource</v>
      </c>
      <c r="N426" s="5">
        <f t="array" ref="N426">MAX(IF((ProjectInfoTable[ProjectName]=ContinuousStatsTable[[#This Row],[ProjectName]]),(ProjectInfoTable[ProjectName]=ContinuousStatsTable[[#This Row],[ProjectName]])*ProjectInfoTable[NumberOfReplications]))</f>
        <v>15</v>
      </c>
      <c r="O426" s="5">
        <f t="array" ref="O426">IFERROR(AVERAGE(IF((ContinuousStatsTable[GroupByKey]=ContinuousStatsTable[[#This Row],[GroupByKey]]),(ContinuousStatsTable[GroupByKey]=ContinuousStatsTable[[#This Row],[GroupByKey]])*ContinuousStatsTable[Average])),0)</f>
        <v>0</v>
      </c>
      <c r="P426" s="5">
        <f t="array" ref="P426">IFERROR(_xlfn.STDEV.S(IF((ContinuousStatsTable[GroupByKey]=ContinuousStatsTable[[#This Row],[GroupByKey]]),(ContinuousStatsTable[GroupByKey]=ContinuousStatsTable[[#This Row],[GroupByKey]])*ContinuousStatsTable[Average])),0)</f>
        <v>0</v>
      </c>
      <c r="Q426" s="5">
        <f t="array" ref="Q426">MAX(IF((ProjectInfoTable[ProjectName]=ContinuousStatsTable[[#This Row],[ProjectName]]),(ProjectInfoTable[ProjectName]=ContinuousStatsTable[[#This Row],[ProjectName]])*ProjectInfoTable[ConfidenceInterval]))</f>
        <v>0.95</v>
      </c>
      <c r="R4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6" s="5">
        <f t="array" ref="S426">MIN(IF((ContinuousStatsTable[GroupByKey]=ContinuousStatsTable[[#This Row],[GroupByKey]]),(ContinuousStatsTable[GroupByKey]=ContinuousStatsTable[[#This Row],[GroupByKey]])*ContinuousStatsTable[Average]))</f>
        <v>0</v>
      </c>
      <c r="T426" s="5">
        <f t="array" ref="T426">MAX(IF((ContinuousStatsTable[GroupByKey]=ContinuousStatsTable[[#This Row],[GroupByKey]]),(ContinuousStatsTable[GroupByKey]=ContinuousStatsTable[[#This Row],[GroupByKey]])*ContinuousStatsTable[Average]))</f>
        <v>0</v>
      </c>
      <c r="U426" s="5">
        <f>IF((ContinuousStatsTable[[#This Row],[RepsRequested]]&gt;1),ContinuousStatsTable[[#This Row],[HalfWidth]],ContinuousStatsTable[[#This Row],[BatchMeansHalfWidth]])</f>
        <v>0</v>
      </c>
    </row>
    <row r="427" spans="1:21" x14ac:dyDescent="0.25">
      <c r="A427" t="s">
        <v>67</v>
      </c>
      <c r="B427" t="s">
        <v>70</v>
      </c>
      <c r="C427">
        <v>10</v>
      </c>
      <c r="D427" t="s">
        <v>81</v>
      </c>
      <c r="E427" t="s">
        <v>74</v>
      </c>
      <c r="F427" t="s">
        <v>73</v>
      </c>
      <c r="G427">
        <v>0</v>
      </c>
      <c r="H427">
        <v>2E+20</v>
      </c>
      <c r="I427">
        <v>0</v>
      </c>
      <c r="J427">
        <v>0</v>
      </c>
      <c r="K427">
        <v>0</v>
      </c>
      <c r="L427">
        <v>0</v>
      </c>
      <c r="M427" s="5" t="str">
        <f>ContinuousStatsTable[[#This Row],[ProjectName]]&amp;ContinuousStatsTable[[#This Row],[Name]]&amp;ContinuousStatsTable[[#This Row],[Type]]&amp;ContinuousStatsTable[[#This Row],[Source]]</f>
        <v>Unnamed ProjectcutterNumber BusyResource</v>
      </c>
      <c r="N427" s="5">
        <f t="array" ref="N427">MAX(IF((ProjectInfoTable[ProjectName]=ContinuousStatsTable[[#This Row],[ProjectName]]),(ProjectInfoTable[ProjectName]=ContinuousStatsTable[[#This Row],[ProjectName]])*ProjectInfoTable[NumberOfReplications]))</f>
        <v>15</v>
      </c>
      <c r="O427" s="5">
        <f t="array" ref="O427">IFERROR(AVERAGE(IF((ContinuousStatsTable[GroupByKey]=ContinuousStatsTable[[#This Row],[GroupByKey]]),(ContinuousStatsTable[GroupByKey]=ContinuousStatsTable[[#This Row],[GroupByKey]])*ContinuousStatsTable[Average])),0)</f>
        <v>0</v>
      </c>
      <c r="P427" s="5">
        <f t="array" ref="P427">IFERROR(_xlfn.STDEV.S(IF((ContinuousStatsTable[GroupByKey]=ContinuousStatsTable[[#This Row],[GroupByKey]]),(ContinuousStatsTable[GroupByKey]=ContinuousStatsTable[[#This Row],[GroupByKey]])*ContinuousStatsTable[Average])),0)</f>
        <v>0</v>
      </c>
      <c r="Q427" s="5">
        <f t="array" ref="Q427">MAX(IF((ProjectInfoTable[ProjectName]=ContinuousStatsTable[[#This Row],[ProjectName]]),(ProjectInfoTable[ProjectName]=ContinuousStatsTable[[#This Row],[ProjectName]])*ProjectInfoTable[ConfidenceInterval]))</f>
        <v>0.95</v>
      </c>
      <c r="R4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7" s="5">
        <f t="array" ref="S427">MIN(IF((ContinuousStatsTable[GroupByKey]=ContinuousStatsTable[[#This Row],[GroupByKey]]),(ContinuousStatsTable[GroupByKey]=ContinuousStatsTable[[#This Row],[GroupByKey]])*ContinuousStatsTable[Average]))</f>
        <v>0</v>
      </c>
      <c r="T427" s="5">
        <f t="array" ref="T427">MAX(IF((ContinuousStatsTable[GroupByKey]=ContinuousStatsTable[[#This Row],[GroupByKey]]),(ContinuousStatsTable[GroupByKey]=ContinuousStatsTable[[#This Row],[GroupByKey]])*ContinuousStatsTable[Average]))</f>
        <v>0</v>
      </c>
      <c r="U427" s="5">
        <f>IF((ContinuousStatsTable[[#This Row],[RepsRequested]]&gt;1),ContinuousStatsTable[[#This Row],[HalfWidth]],ContinuousStatsTable[[#This Row],[BatchMeansHalfWidth]])</f>
        <v>0</v>
      </c>
    </row>
    <row r="428" spans="1:21" x14ac:dyDescent="0.25">
      <c r="A428" t="s">
        <v>67</v>
      </c>
      <c r="B428" t="s">
        <v>70</v>
      </c>
      <c r="C428">
        <v>10</v>
      </c>
      <c r="D428" t="s">
        <v>81</v>
      </c>
      <c r="E428" t="s">
        <v>75</v>
      </c>
      <c r="F428" t="s">
        <v>73</v>
      </c>
      <c r="G428">
        <v>1.583375</v>
      </c>
      <c r="H428">
        <v>3E+20</v>
      </c>
      <c r="I428">
        <v>1</v>
      </c>
      <c r="J428">
        <v>2</v>
      </c>
      <c r="K428">
        <v>2</v>
      </c>
      <c r="L428">
        <v>0</v>
      </c>
      <c r="M428" s="5" t="str">
        <f>ContinuousStatsTable[[#This Row],[ProjectName]]&amp;ContinuousStatsTable[[#This Row],[Name]]&amp;ContinuousStatsTable[[#This Row],[Type]]&amp;ContinuousStatsTable[[#This Row],[Source]]</f>
        <v>Unnamed ProjectcutterNumber ScheduledResource</v>
      </c>
      <c r="N428" s="5">
        <f t="array" ref="N428">MAX(IF((ProjectInfoTable[ProjectName]=ContinuousStatsTable[[#This Row],[ProjectName]]),(ProjectInfoTable[ProjectName]=ContinuousStatsTable[[#This Row],[ProjectName]])*ProjectInfoTable[NumberOfReplications]))</f>
        <v>15</v>
      </c>
      <c r="O428" s="5">
        <f t="array" ref="O428">IFERROR(AVERAGE(IF((ContinuousStatsTable[GroupByKey]=ContinuousStatsTable[[#This Row],[GroupByKey]]),(ContinuousStatsTable[GroupByKey]=ContinuousStatsTable[[#This Row],[GroupByKey]])*ContinuousStatsTable[Average])),0)</f>
        <v>1.5332999999999999</v>
      </c>
      <c r="P428" s="5">
        <f t="array" ref="P428">IFERROR(_xlfn.STDEV.S(IF((ContinuousStatsTable[GroupByKey]=ContinuousStatsTable[[#This Row],[GroupByKey]]),(ContinuousStatsTable[GroupByKey]=ContinuousStatsTable[[#This Row],[GroupByKey]])*ContinuousStatsTable[Average])),0)</f>
        <v>0.24151556349584294</v>
      </c>
      <c r="Q428" s="5">
        <f t="array" ref="Q428">MAX(IF((ProjectInfoTable[ProjectName]=ContinuousStatsTable[[#This Row],[ProjectName]]),(ProjectInfoTable[ProjectName]=ContinuousStatsTable[[#This Row],[ProjectName]])*ProjectInfoTable[ConfidenceInterval]))</f>
        <v>0.95</v>
      </c>
      <c r="R4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0.1337468610646356</v>
      </c>
      <c r="S428" s="5">
        <f t="array" ref="S428">MIN(IF((ContinuousStatsTable[GroupByKey]=ContinuousStatsTable[[#This Row],[GroupByKey]]),(ContinuousStatsTable[GroupByKey]=ContinuousStatsTable[[#This Row],[GroupByKey]])*ContinuousStatsTable[Average]))</f>
        <v>1</v>
      </c>
      <c r="T428" s="5">
        <f t="array" ref="T428">MAX(IF((ContinuousStatsTable[GroupByKey]=ContinuousStatsTable[[#This Row],[GroupByKey]]),(ContinuousStatsTable[GroupByKey]=ContinuousStatsTable[[#This Row],[GroupByKey]])*ContinuousStatsTable[Average]))</f>
        <v>2</v>
      </c>
      <c r="U428" s="5">
        <f>IF((ContinuousStatsTable[[#This Row],[RepsRequested]]&gt;1),ContinuousStatsTable[[#This Row],[HalfWidth]],ContinuousStatsTable[[#This Row],[BatchMeansHalfWidth]])</f>
        <v>0.1337468610646356</v>
      </c>
    </row>
    <row r="429" spans="1:21" x14ac:dyDescent="0.25">
      <c r="A429" t="s">
        <v>67</v>
      </c>
      <c r="B429" t="s">
        <v>70</v>
      </c>
      <c r="C429">
        <v>10</v>
      </c>
      <c r="D429" t="s">
        <v>82</v>
      </c>
      <c r="E429" t="s">
        <v>72</v>
      </c>
      <c r="F429" t="s">
        <v>73</v>
      </c>
      <c r="G429">
        <v>0</v>
      </c>
      <c r="H429">
        <v>2E+20</v>
      </c>
      <c r="I429">
        <v>0</v>
      </c>
      <c r="J429">
        <v>0</v>
      </c>
      <c r="K429">
        <v>0</v>
      </c>
      <c r="L429">
        <v>0</v>
      </c>
      <c r="M429" s="5" t="str">
        <f>ContinuousStatsTable[[#This Row],[ProjectName]]&amp;ContinuousStatsTable[[#This Row],[Name]]&amp;ContinuousStatsTable[[#This Row],[Type]]&amp;ContinuousStatsTable[[#This Row],[Source]]</f>
        <v>Unnamed ProjectfinalqcmanInstantaneous UtilizationResource</v>
      </c>
      <c r="N429" s="5">
        <f t="array" ref="N429">MAX(IF((ProjectInfoTable[ProjectName]=ContinuousStatsTable[[#This Row],[ProjectName]]),(ProjectInfoTable[ProjectName]=ContinuousStatsTable[[#This Row],[ProjectName]])*ProjectInfoTable[NumberOfReplications]))</f>
        <v>15</v>
      </c>
      <c r="O429" s="5">
        <f t="array" ref="O429">IFERROR(AVERAGE(IF((ContinuousStatsTable[GroupByKey]=ContinuousStatsTable[[#This Row],[GroupByKey]]),(ContinuousStatsTable[GroupByKey]=ContinuousStatsTable[[#This Row],[GroupByKey]])*ContinuousStatsTable[Average])),0)</f>
        <v>0</v>
      </c>
      <c r="P429" s="5">
        <f t="array" ref="P429">IFERROR(_xlfn.STDEV.S(IF((ContinuousStatsTable[GroupByKey]=ContinuousStatsTable[[#This Row],[GroupByKey]]),(ContinuousStatsTable[GroupByKey]=ContinuousStatsTable[[#This Row],[GroupByKey]])*ContinuousStatsTable[Average])),0)</f>
        <v>0</v>
      </c>
      <c r="Q429" s="5">
        <f t="array" ref="Q429">MAX(IF((ProjectInfoTable[ProjectName]=ContinuousStatsTable[[#This Row],[ProjectName]]),(ProjectInfoTable[ProjectName]=ContinuousStatsTable[[#This Row],[ProjectName]])*ProjectInfoTable[ConfidenceInterval]))</f>
        <v>0.95</v>
      </c>
      <c r="R4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9" s="5">
        <f t="array" ref="S429">MIN(IF((ContinuousStatsTable[GroupByKey]=ContinuousStatsTable[[#This Row],[GroupByKey]]),(ContinuousStatsTable[GroupByKey]=ContinuousStatsTable[[#This Row],[GroupByKey]])*ContinuousStatsTable[Average]))</f>
        <v>0</v>
      </c>
      <c r="T429" s="5">
        <f t="array" ref="T429">MAX(IF((ContinuousStatsTable[GroupByKey]=ContinuousStatsTable[[#This Row],[GroupByKey]]),(ContinuousStatsTable[GroupByKey]=ContinuousStatsTable[[#This Row],[GroupByKey]])*ContinuousStatsTable[Average]))</f>
        <v>0</v>
      </c>
      <c r="U429" s="5">
        <f>IF((ContinuousStatsTable[[#This Row],[RepsRequested]]&gt;1),ContinuousStatsTable[[#This Row],[HalfWidth]],ContinuousStatsTable[[#This Row],[BatchMeansHalfWidth]])</f>
        <v>0</v>
      </c>
    </row>
    <row r="430" spans="1:21" x14ac:dyDescent="0.25">
      <c r="A430" t="s">
        <v>67</v>
      </c>
      <c r="B430" t="s">
        <v>70</v>
      </c>
      <c r="C430">
        <v>10</v>
      </c>
      <c r="D430" t="s">
        <v>82</v>
      </c>
      <c r="E430" t="s">
        <v>74</v>
      </c>
      <c r="F430" t="s">
        <v>73</v>
      </c>
      <c r="G430">
        <v>0</v>
      </c>
      <c r="H430">
        <v>2E+20</v>
      </c>
      <c r="I430">
        <v>0</v>
      </c>
      <c r="J430">
        <v>0</v>
      </c>
      <c r="K430">
        <v>0</v>
      </c>
      <c r="L430">
        <v>0</v>
      </c>
      <c r="M430" s="5" t="str">
        <f>ContinuousStatsTable[[#This Row],[ProjectName]]&amp;ContinuousStatsTable[[#This Row],[Name]]&amp;ContinuousStatsTable[[#This Row],[Type]]&amp;ContinuousStatsTable[[#This Row],[Source]]</f>
        <v>Unnamed ProjectfinalqcmanNumber BusyResource</v>
      </c>
      <c r="N430" s="5">
        <f t="array" ref="N430">MAX(IF((ProjectInfoTable[ProjectName]=ContinuousStatsTable[[#This Row],[ProjectName]]),(ProjectInfoTable[ProjectName]=ContinuousStatsTable[[#This Row],[ProjectName]])*ProjectInfoTable[NumberOfReplications]))</f>
        <v>15</v>
      </c>
      <c r="O430" s="5">
        <f t="array" ref="O430">IFERROR(AVERAGE(IF((ContinuousStatsTable[GroupByKey]=ContinuousStatsTable[[#This Row],[GroupByKey]]),(ContinuousStatsTable[GroupByKey]=ContinuousStatsTable[[#This Row],[GroupByKey]])*ContinuousStatsTable[Average])),0)</f>
        <v>0</v>
      </c>
      <c r="P430" s="5">
        <f t="array" ref="P430">IFERROR(_xlfn.STDEV.S(IF((ContinuousStatsTable[GroupByKey]=ContinuousStatsTable[[#This Row],[GroupByKey]]),(ContinuousStatsTable[GroupByKey]=ContinuousStatsTable[[#This Row],[GroupByKey]])*ContinuousStatsTable[Average])),0)</f>
        <v>0</v>
      </c>
      <c r="Q430" s="5">
        <f t="array" ref="Q430">MAX(IF((ProjectInfoTable[ProjectName]=ContinuousStatsTable[[#This Row],[ProjectName]]),(ProjectInfoTable[ProjectName]=ContinuousStatsTable[[#This Row],[ProjectName]])*ProjectInfoTable[ConfidenceInterval]))</f>
        <v>0.95</v>
      </c>
      <c r="R4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0" s="5">
        <f t="array" ref="S430">MIN(IF((ContinuousStatsTable[GroupByKey]=ContinuousStatsTable[[#This Row],[GroupByKey]]),(ContinuousStatsTable[GroupByKey]=ContinuousStatsTable[[#This Row],[GroupByKey]])*ContinuousStatsTable[Average]))</f>
        <v>0</v>
      </c>
      <c r="T430" s="5">
        <f t="array" ref="T430">MAX(IF((ContinuousStatsTable[GroupByKey]=ContinuousStatsTable[[#This Row],[GroupByKey]]),(ContinuousStatsTable[GroupByKey]=ContinuousStatsTable[[#This Row],[GroupByKey]])*ContinuousStatsTable[Average]))</f>
        <v>0</v>
      </c>
      <c r="U430" s="5">
        <f>IF((ContinuousStatsTable[[#This Row],[RepsRequested]]&gt;1),ContinuousStatsTable[[#This Row],[HalfWidth]],ContinuousStatsTable[[#This Row],[BatchMeansHalfWidth]])</f>
        <v>0</v>
      </c>
    </row>
    <row r="431" spans="1:21" x14ac:dyDescent="0.25">
      <c r="A431" t="s">
        <v>67</v>
      </c>
      <c r="B431" t="s">
        <v>70</v>
      </c>
      <c r="C431">
        <v>10</v>
      </c>
      <c r="D431" t="s">
        <v>82</v>
      </c>
      <c r="E431" t="s">
        <v>75</v>
      </c>
      <c r="F431" t="s">
        <v>73</v>
      </c>
      <c r="G431">
        <v>1.5834999999999999</v>
      </c>
      <c r="H431">
        <v>3E+20</v>
      </c>
      <c r="I431">
        <v>1</v>
      </c>
      <c r="J431">
        <v>2</v>
      </c>
      <c r="K431">
        <v>2</v>
      </c>
      <c r="L431">
        <v>0</v>
      </c>
      <c r="M431" s="5" t="str">
        <f>ContinuousStatsTable[[#This Row],[ProjectName]]&amp;ContinuousStatsTable[[#This Row],[Name]]&amp;ContinuousStatsTable[[#This Row],[Type]]&amp;ContinuousStatsTable[[#This Row],[Source]]</f>
        <v>Unnamed ProjectfinalqcmanNumber ScheduledResource</v>
      </c>
      <c r="N431" s="5">
        <f t="array" ref="N431">MAX(IF((ProjectInfoTable[ProjectName]=ContinuousStatsTable[[#This Row],[ProjectName]]),(ProjectInfoTable[ProjectName]=ContinuousStatsTable[[#This Row],[ProjectName]])*ProjectInfoTable[NumberOfReplications]))</f>
        <v>15</v>
      </c>
      <c r="O431" s="5">
        <f t="array" ref="O431">IFERROR(AVERAGE(IF((ContinuousStatsTable[GroupByKey]=ContinuousStatsTable[[#This Row],[GroupByKey]]),(ContinuousStatsTable[GroupByKey]=ContinuousStatsTable[[#This Row],[GroupByKey]])*ContinuousStatsTable[Average])),0)</f>
        <v>1.5334510661643974</v>
      </c>
      <c r="P431" s="5">
        <f t="array" ref="P431">IFERROR(_xlfn.STDEV.S(IF((ContinuousStatsTable[GroupByKey]=ContinuousStatsTable[[#This Row],[GroupByKey]]),(ContinuousStatsTable[GroupByKey]=ContinuousStatsTable[[#This Row],[GroupByKey]])*ContinuousStatsTable[Average])),0)</f>
        <v>0.24154906725932371</v>
      </c>
      <c r="Q431" s="5">
        <f t="array" ref="Q431">MAX(IF((ProjectInfoTable[ProjectName]=ContinuousStatsTable[[#This Row],[ProjectName]]),(ProjectInfoTable[ProjectName]=ContinuousStatsTable[[#This Row],[ProjectName]])*ProjectInfoTable[ConfidenceInterval]))</f>
        <v>0.95</v>
      </c>
      <c r="R4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0.13376541483042423</v>
      </c>
      <c r="S431" s="5">
        <f t="array" ref="S431">MIN(IF((ContinuousStatsTable[GroupByKey]=ContinuousStatsTable[[#This Row],[GroupByKey]]),(ContinuousStatsTable[GroupByKey]=ContinuousStatsTable[[#This Row],[GroupByKey]])*ContinuousStatsTable[Average]))</f>
        <v>1</v>
      </c>
      <c r="T431" s="5">
        <f t="array" ref="T431">MAX(IF((ContinuousStatsTable[GroupByKey]=ContinuousStatsTable[[#This Row],[GroupByKey]]),(ContinuousStatsTable[GroupByKey]=ContinuousStatsTable[[#This Row],[GroupByKey]])*ContinuousStatsTable[Average]))</f>
        <v>2</v>
      </c>
      <c r="U431" s="5">
        <f>IF((ContinuousStatsTable[[#This Row],[RepsRequested]]&gt;1),ContinuousStatsTable[[#This Row],[HalfWidth]],ContinuousStatsTable[[#This Row],[BatchMeansHalfWidth]])</f>
        <v>0.13376541483042423</v>
      </c>
    </row>
    <row r="432" spans="1:21" x14ac:dyDescent="0.25">
      <c r="A432" t="s">
        <v>67</v>
      </c>
      <c r="B432" t="s">
        <v>70</v>
      </c>
      <c r="C432">
        <v>10</v>
      </c>
      <c r="D432" t="s">
        <v>83</v>
      </c>
      <c r="E432" t="s">
        <v>84</v>
      </c>
      <c r="F432" t="s">
        <v>85</v>
      </c>
      <c r="G432">
        <v>0</v>
      </c>
      <c r="H432">
        <v>2E+20</v>
      </c>
      <c r="I432">
        <v>0</v>
      </c>
      <c r="J432">
        <v>0</v>
      </c>
      <c r="K432">
        <v>0</v>
      </c>
      <c r="L432">
        <v>0</v>
      </c>
      <c r="M432" s="5" t="str">
        <f>ContinuousStatsTable[[#This Row],[ProjectName]]&amp;ContinuousStatsTable[[#This Row],[Name]]&amp;ContinuousStatsTable[[#This Row],[Type]]&amp;ContinuousStatsTable[[#This Row],[Source]]</f>
        <v>Unnamed Projectinspectorseize.QueueNumber WaitingQueue</v>
      </c>
      <c r="N432" s="5">
        <f t="array" ref="N432">MAX(IF((ProjectInfoTable[ProjectName]=ContinuousStatsTable[[#This Row],[ProjectName]]),(ProjectInfoTable[ProjectName]=ContinuousStatsTable[[#This Row],[ProjectName]])*ProjectInfoTable[NumberOfReplications]))</f>
        <v>15</v>
      </c>
      <c r="O432" s="5">
        <f t="array" ref="O432">IFERROR(AVERAGE(IF((ContinuousStatsTable[GroupByKey]=ContinuousStatsTable[[#This Row],[GroupByKey]]),(ContinuousStatsTable[GroupByKey]=ContinuousStatsTable[[#This Row],[GroupByKey]])*ContinuousStatsTable[Average])),0)</f>
        <v>0</v>
      </c>
      <c r="P432" s="5">
        <f t="array" ref="P432">IFERROR(_xlfn.STDEV.S(IF((ContinuousStatsTable[GroupByKey]=ContinuousStatsTable[[#This Row],[GroupByKey]]),(ContinuousStatsTable[GroupByKey]=ContinuousStatsTable[[#This Row],[GroupByKey]])*ContinuousStatsTable[Average])),0)</f>
        <v>0</v>
      </c>
      <c r="Q432" s="5">
        <f t="array" ref="Q432">MAX(IF((ProjectInfoTable[ProjectName]=ContinuousStatsTable[[#This Row],[ProjectName]]),(ProjectInfoTable[ProjectName]=ContinuousStatsTable[[#This Row],[ProjectName]])*ProjectInfoTable[ConfidenceInterval]))</f>
        <v>0.95</v>
      </c>
      <c r="R4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2" s="5">
        <f t="array" ref="S432">MIN(IF((ContinuousStatsTable[GroupByKey]=ContinuousStatsTable[[#This Row],[GroupByKey]]),(ContinuousStatsTable[GroupByKey]=ContinuousStatsTable[[#This Row],[GroupByKey]])*ContinuousStatsTable[Average]))</f>
        <v>0</v>
      </c>
      <c r="T432" s="5">
        <f t="array" ref="T432">MAX(IF((ContinuousStatsTable[GroupByKey]=ContinuousStatsTable[[#This Row],[GroupByKey]]),(ContinuousStatsTable[GroupByKey]=ContinuousStatsTable[[#This Row],[GroupByKey]])*ContinuousStatsTable[Average]))</f>
        <v>0</v>
      </c>
      <c r="U432" s="5">
        <f>IF((ContinuousStatsTable[[#This Row],[RepsRequested]]&gt;1),ContinuousStatsTable[[#This Row],[HalfWidth]],ContinuousStatsTable[[#This Row],[BatchMeansHalfWidth]])</f>
        <v>0</v>
      </c>
    </row>
    <row r="433" spans="1:21" x14ac:dyDescent="0.25">
      <c r="A433" t="s">
        <v>67</v>
      </c>
      <c r="B433" t="s">
        <v>70</v>
      </c>
      <c r="C433">
        <v>10</v>
      </c>
      <c r="D433" t="s">
        <v>86</v>
      </c>
      <c r="E433" t="s">
        <v>84</v>
      </c>
      <c r="F433" t="s">
        <v>85</v>
      </c>
      <c r="G433">
        <v>0</v>
      </c>
      <c r="H433">
        <v>2E+20</v>
      </c>
      <c r="I433">
        <v>0</v>
      </c>
      <c r="J433">
        <v>0</v>
      </c>
      <c r="K433">
        <v>0</v>
      </c>
      <c r="L433">
        <v>0</v>
      </c>
      <c r="M433" s="5" t="str">
        <f>ContinuousStatsTable[[#This Row],[ProjectName]]&amp;ContinuousStatsTable[[#This Row],[Name]]&amp;ContinuousStatsTable[[#This Row],[Type]]&amp;ContinuousStatsTable[[#This Row],[Source]]</f>
        <v>Unnamed Projectmatch_truckcombo.Queue1Number WaitingQueue</v>
      </c>
      <c r="N433" s="5">
        <f t="array" ref="N433">MAX(IF((ProjectInfoTable[ProjectName]=ContinuousStatsTable[[#This Row],[ProjectName]]),(ProjectInfoTable[ProjectName]=ContinuousStatsTable[[#This Row],[ProjectName]])*ProjectInfoTable[NumberOfReplications]))</f>
        <v>15</v>
      </c>
      <c r="O433" s="5">
        <f t="array" ref="O433">IFERROR(AVERAGE(IF((ContinuousStatsTable[GroupByKey]=ContinuousStatsTable[[#This Row],[GroupByKey]]),(ContinuousStatsTable[GroupByKey]=ContinuousStatsTable[[#This Row],[GroupByKey]])*ContinuousStatsTable[Average])),0)</f>
        <v>3.3333333333333335</v>
      </c>
      <c r="P433" s="5">
        <f t="array" ref="P433">IFERROR(_xlfn.STDEV.S(IF((ContinuousStatsTable[GroupByKey]=ContinuousStatsTable[[#This Row],[GroupByKey]]),(ContinuousStatsTable[GroupByKey]=ContinuousStatsTable[[#This Row],[GroupByKey]])*ContinuousStatsTable[Average])),0)</f>
        <v>4.577377082170635</v>
      </c>
      <c r="Q433" s="5">
        <f t="array" ref="Q433">MAX(IF((ProjectInfoTable[ProjectName]=ContinuousStatsTable[[#This Row],[ProjectName]]),(ProjectInfoTable[ProjectName]=ContinuousStatsTable[[#This Row],[ProjectName]])*ProjectInfoTable[ConfidenceInterval]))</f>
        <v>0.95</v>
      </c>
      <c r="R4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2.5348669368881507</v>
      </c>
      <c r="S433" s="5">
        <f t="array" ref="S433">MIN(IF((ContinuousStatsTable[GroupByKey]=ContinuousStatsTable[[#This Row],[GroupByKey]]),(ContinuousStatsTable[GroupByKey]=ContinuousStatsTable[[#This Row],[GroupByKey]])*ContinuousStatsTable[Average]))</f>
        <v>0</v>
      </c>
      <c r="T433" s="5">
        <f t="array" ref="T433">MAX(IF((ContinuousStatsTable[GroupByKey]=ContinuousStatsTable[[#This Row],[GroupByKey]]),(ContinuousStatsTable[GroupByKey]=ContinuousStatsTable[[#This Row],[GroupByKey]])*ContinuousStatsTable[Average]))</f>
        <v>12</v>
      </c>
      <c r="U433" s="5">
        <f>IF((ContinuousStatsTable[[#This Row],[RepsRequested]]&gt;1),ContinuousStatsTable[[#This Row],[HalfWidth]],ContinuousStatsTable[[#This Row],[BatchMeansHalfWidth]])</f>
        <v>2.5348669368881507</v>
      </c>
    </row>
    <row r="434" spans="1:21" x14ac:dyDescent="0.25">
      <c r="A434" t="s">
        <v>67</v>
      </c>
      <c r="B434" t="s">
        <v>70</v>
      </c>
      <c r="C434">
        <v>10</v>
      </c>
      <c r="D434" t="s">
        <v>87</v>
      </c>
      <c r="E434" t="s">
        <v>84</v>
      </c>
      <c r="F434" t="s">
        <v>85</v>
      </c>
      <c r="G434">
        <v>16</v>
      </c>
      <c r="H434">
        <v>2E+20</v>
      </c>
      <c r="I434">
        <v>16</v>
      </c>
      <c r="J434">
        <v>16</v>
      </c>
      <c r="K434">
        <v>16</v>
      </c>
      <c r="L434">
        <v>0</v>
      </c>
      <c r="M434" s="5" t="str">
        <f>ContinuousStatsTable[[#This Row],[ProjectName]]&amp;ContinuousStatsTable[[#This Row],[Name]]&amp;ContinuousStatsTable[[#This Row],[Type]]&amp;ContinuousStatsTable[[#This Row],[Source]]</f>
        <v>Unnamed Projectmatch_truckcombo.Queue2Number WaitingQueue</v>
      </c>
      <c r="N434" s="5">
        <f t="array" ref="N434">MAX(IF((ProjectInfoTable[ProjectName]=ContinuousStatsTable[[#This Row],[ProjectName]]),(ProjectInfoTable[ProjectName]=ContinuousStatsTable[[#This Row],[ProjectName]])*ProjectInfoTable[NumberOfReplications]))</f>
        <v>15</v>
      </c>
      <c r="O434" s="5">
        <f t="array" ref="O434">IFERROR(AVERAGE(IF((ContinuousStatsTable[GroupByKey]=ContinuousStatsTable[[#This Row],[GroupByKey]]),(ContinuousStatsTable[GroupByKey]=ContinuousStatsTable[[#This Row],[GroupByKey]])*ContinuousStatsTable[Average])),0)</f>
        <v>2.8</v>
      </c>
      <c r="P434" s="5">
        <f t="array" ref="P434">IFERROR(_xlfn.STDEV.S(IF((ContinuousStatsTable[GroupByKey]=ContinuousStatsTable[[#This Row],[GroupByKey]]),(ContinuousStatsTable[GroupByKey]=ContinuousStatsTable[[#This Row],[GroupByKey]])*ContinuousStatsTable[Average])),0)</f>
        <v>5.226307081896902</v>
      </c>
      <c r="Q434" s="5">
        <f t="array" ref="Q434">MAX(IF((ProjectInfoTable[ProjectName]=ContinuousStatsTable[[#This Row],[ProjectName]]),(ProjectInfoTable[ProjectName]=ContinuousStatsTable[[#This Row],[ProjectName]])*ProjectInfoTable[ConfidenceInterval]))</f>
        <v>0.95</v>
      </c>
      <c r="R4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2.8942323925042523</v>
      </c>
      <c r="S434" s="5">
        <f t="array" ref="S434">MIN(IF((ContinuousStatsTable[GroupByKey]=ContinuousStatsTable[[#This Row],[GroupByKey]]),(ContinuousStatsTable[GroupByKey]=ContinuousStatsTable[[#This Row],[GroupByKey]])*ContinuousStatsTable[Average]))</f>
        <v>0</v>
      </c>
      <c r="T434" s="5">
        <f t="array" ref="T434">MAX(IF((ContinuousStatsTable[GroupByKey]=ContinuousStatsTable[[#This Row],[GroupByKey]]),(ContinuousStatsTable[GroupByKey]=ContinuousStatsTable[[#This Row],[GroupByKey]])*ContinuousStatsTable[Average]))</f>
        <v>16</v>
      </c>
      <c r="U434" s="5">
        <f>IF((ContinuousStatsTable[[#This Row],[RepsRequested]]&gt;1),ContinuousStatsTable[[#This Row],[HalfWidth]],ContinuousStatsTable[[#This Row],[BatchMeansHalfWidth]])</f>
        <v>2.8942323925042523</v>
      </c>
    </row>
    <row r="435" spans="1:21" x14ac:dyDescent="0.25">
      <c r="A435" t="s">
        <v>67</v>
      </c>
      <c r="B435" t="s">
        <v>70</v>
      </c>
      <c r="C435">
        <v>10</v>
      </c>
      <c r="D435" t="s">
        <v>88</v>
      </c>
      <c r="E435" t="s">
        <v>72</v>
      </c>
      <c r="F435" t="s">
        <v>73</v>
      </c>
      <c r="G435">
        <v>0</v>
      </c>
      <c r="H435">
        <v>2E+20</v>
      </c>
      <c r="I435">
        <v>0</v>
      </c>
      <c r="J435">
        <v>0</v>
      </c>
      <c r="K435">
        <v>0</v>
      </c>
      <c r="L435">
        <v>0</v>
      </c>
      <c r="M435" s="5" t="str">
        <f>ContinuousStatsTable[[#This Row],[ProjectName]]&amp;ContinuousStatsTable[[#This Row],[Name]]&amp;ContinuousStatsTable[[#This Row],[Type]]&amp;ContinuousStatsTable[[#This Row],[Source]]</f>
        <v>Unnamed ProjectpaintingmachineInstantaneous UtilizationResource</v>
      </c>
      <c r="N435" s="5">
        <f t="array" ref="N435">MAX(IF((ProjectInfoTable[ProjectName]=ContinuousStatsTable[[#This Row],[ProjectName]]),(ProjectInfoTable[ProjectName]=ContinuousStatsTable[[#This Row],[ProjectName]])*ProjectInfoTable[NumberOfReplications]))</f>
        <v>15</v>
      </c>
      <c r="O435" s="5">
        <f t="array" ref="O435">IFERROR(AVERAGE(IF((ContinuousStatsTable[GroupByKey]=ContinuousStatsTable[[#This Row],[GroupByKey]]),(ContinuousStatsTable[GroupByKey]=ContinuousStatsTable[[#This Row],[GroupByKey]])*ContinuousStatsTable[Average])),0)</f>
        <v>0</v>
      </c>
      <c r="P435" s="5">
        <f t="array" ref="P435">IFERROR(_xlfn.STDEV.S(IF((ContinuousStatsTable[GroupByKey]=ContinuousStatsTable[[#This Row],[GroupByKey]]),(ContinuousStatsTable[GroupByKey]=ContinuousStatsTable[[#This Row],[GroupByKey]])*ContinuousStatsTable[Average])),0)</f>
        <v>0</v>
      </c>
      <c r="Q435" s="5">
        <f t="array" ref="Q435">MAX(IF((ProjectInfoTable[ProjectName]=ContinuousStatsTable[[#This Row],[ProjectName]]),(ProjectInfoTable[ProjectName]=ContinuousStatsTable[[#This Row],[ProjectName]])*ProjectInfoTable[ConfidenceInterval]))</f>
        <v>0.95</v>
      </c>
      <c r="R4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5" s="5">
        <f t="array" ref="S435">MIN(IF((ContinuousStatsTable[GroupByKey]=ContinuousStatsTable[[#This Row],[GroupByKey]]),(ContinuousStatsTable[GroupByKey]=ContinuousStatsTable[[#This Row],[GroupByKey]])*ContinuousStatsTable[Average]))</f>
        <v>0</v>
      </c>
      <c r="T435" s="5">
        <f t="array" ref="T435">MAX(IF((ContinuousStatsTable[GroupByKey]=ContinuousStatsTable[[#This Row],[GroupByKey]]),(ContinuousStatsTable[GroupByKey]=ContinuousStatsTable[[#This Row],[GroupByKey]])*ContinuousStatsTable[Average]))</f>
        <v>0</v>
      </c>
      <c r="U435" s="5">
        <f>IF((ContinuousStatsTable[[#This Row],[RepsRequested]]&gt;1),ContinuousStatsTable[[#This Row],[HalfWidth]],ContinuousStatsTable[[#This Row],[BatchMeansHalfWidth]])</f>
        <v>0</v>
      </c>
    </row>
    <row r="436" spans="1:21" x14ac:dyDescent="0.25">
      <c r="A436" t="s">
        <v>67</v>
      </c>
      <c r="B436" t="s">
        <v>70</v>
      </c>
      <c r="C436">
        <v>10</v>
      </c>
      <c r="D436" t="s">
        <v>88</v>
      </c>
      <c r="E436" t="s">
        <v>74</v>
      </c>
      <c r="F436" t="s">
        <v>73</v>
      </c>
      <c r="G436">
        <v>0</v>
      </c>
      <c r="H436">
        <v>2E+20</v>
      </c>
      <c r="I436">
        <v>0</v>
      </c>
      <c r="J436">
        <v>0</v>
      </c>
      <c r="K436">
        <v>0</v>
      </c>
      <c r="L436">
        <v>0</v>
      </c>
      <c r="M436" s="5" t="str">
        <f>ContinuousStatsTable[[#This Row],[ProjectName]]&amp;ContinuousStatsTable[[#This Row],[Name]]&amp;ContinuousStatsTable[[#This Row],[Type]]&amp;ContinuousStatsTable[[#This Row],[Source]]</f>
        <v>Unnamed ProjectpaintingmachineNumber BusyResource</v>
      </c>
      <c r="N436" s="5">
        <f t="array" ref="N436">MAX(IF((ProjectInfoTable[ProjectName]=ContinuousStatsTable[[#This Row],[ProjectName]]),(ProjectInfoTable[ProjectName]=ContinuousStatsTable[[#This Row],[ProjectName]])*ProjectInfoTable[NumberOfReplications]))</f>
        <v>15</v>
      </c>
      <c r="O436" s="5">
        <f t="array" ref="O436">IFERROR(AVERAGE(IF((ContinuousStatsTable[GroupByKey]=ContinuousStatsTable[[#This Row],[GroupByKey]]),(ContinuousStatsTable[GroupByKey]=ContinuousStatsTable[[#This Row],[GroupByKey]])*ContinuousStatsTable[Average])),0)</f>
        <v>0</v>
      </c>
      <c r="P436" s="5">
        <f t="array" ref="P436">IFERROR(_xlfn.STDEV.S(IF((ContinuousStatsTable[GroupByKey]=ContinuousStatsTable[[#This Row],[GroupByKey]]),(ContinuousStatsTable[GroupByKey]=ContinuousStatsTable[[#This Row],[GroupByKey]])*ContinuousStatsTable[Average])),0)</f>
        <v>0</v>
      </c>
      <c r="Q436" s="5">
        <f t="array" ref="Q436">MAX(IF((ProjectInfoTable[ProjectName]=ContinuousStatsTable[[#This Row],[ProjectName]]),(ProjectInfoTable[ProjectName]=ContinuousStatsTable[[#This Row],[ProjectName]])*ProjectInfoTable[ConfidenceInterval]))</f>
        <v>0.95</v>
      </c>
      <c r="R4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6" s="5">
        <f t="array" ref="S436">MIN(IF((ContinuousStatsTable[GroupByKey]=ContinuousStatsTable[[#This Row],[GroupByKey]]),(ContinuousStatsTable[GroupByKey]=ContinuousStatsTable[[#This Row],[GroupByKey]])*ContinuousStatsTable[Average]))</f>
        <v>0</v>
      </c>
      <c r="T436" s="5">
        <f t="array" ref="T436">MAX(IF((ContinuousStatsTable[GroupByKey]=ContinuousStatsTable[[#This Row],[GroupByKey]]),(ContinuousStatsTable[GroupByKey]=ContinuousStatsTable[[#This Row],[GroupByKey]])*ContinuousStatsTable[Average]))</f>
        <v>0</v>
      </c>
      <c r="U436" s="5">
        <f>IF((ContinuousStatsTable[[#This Row],[RepsRequested]]&gt;1),ContinuousStatsTable[[#This Row],[HalfWidth]],ContinuousStatsTable[[#This Row],[BatchMeansHalfWidth]])</f>
        <v>0</v>
      </c>
    </row>
    <row r="437" spans="1:21" x14ac:dyDescent="0.25">
      <c r="A437" t="s">
        <v>67</v>
      </c>
      <c r="B437" t="s">
        <v>70</v>
      </c>
      <c r="C437">
        <v>10</v>
      </c>
      <c r="D437" t="s">
        <v>88</v>
      </c>
      <c r="E437" t="s">
        <v>75</v>
      </c>
      <c r="F437" t="s">
        <v>73</v>
      </c>
      <c r="G437">
        <v>1</v>
      </c>
      <c r="H437">
        <v>2E+20</v>
      </c>
      <c r="I437">
        <v>1</v>
      </c>
      <c r="J437">
        <v>1</v>
      </c>
      <c r="K437">
        <v>1</v>
      </c>
      <c r="L437">
        <v>0</v>
      </c>
      <c r="M437" s="5" t="str">
        <f>ContinuousStatsTable[[#This Row],[ProjectName]]&amp;ContinuousStatsTable[[#This Row],[Name]]&amp;ContinuousStatsTable[[#This Row],[Type]]&amp;ContinuousStatsTable[[#This Row],[Source]]</f>
        <v>Unnamed ProjectpaintingmachineNumber ScheduledResource</v>
      </c>
      <c r="N437" s="5">
        <f t="array" ref="N437">MAX(IF((ProjectInfoTable[ProjectName]=ContinuousStatsTable[[#This Row],[ProjectName]]),(ProjectInfoTable[ProjectName]=ContinuousStatsTable[[#This Row],[ProjectName]])*ProjectInfoTable[NumberOfReplications]))</f>
        <v>15</v>
      </c>
      <c r="O437" s="5">
        <f t="array" ref="O437">IFERROR(AVERAGE(IF((ContinuousStatsTable[GroupByKey]=ContinuousStatsTable[[#This Row],[GroupByKey]]),(ContinuousStatsTable[GroupByKey]=ContinuousStatsTable[[#This Row],[GroupByKey]])*ContinuousStatsTable[Average])),0)</f>
        <v>1</v>
      </c>
      <c r="P437" s="5">
        <f t="array" ref="P437">IFERROR(_xlfn.STDEV.S(IF((ContinuousStatsTable[GroupByKey]=ContinuousStatsTable[[#This Row],[GroupByKey]]),(ContinuousStatsTable[GroupByKey]=ContinuousStatsTable[[#This Row],[GroupByKey]])*ContinuousStatsTable[Average])),0)</f>
        <v>0</v>
      </c>
      <c r="Q437" s="5">
        <f t="array" ref="Q437">MAX(IF((ProjectInfoTable[ProjectName]=ContinuousStatsTable[[#This Row],[ProjectName]]),(ProjectInfoTable[ProjectName]=ContinuousStatsTable[[#This Row],[ProjectName]])*ProjectInfoTable[ConfidenceInterval]))</f>
        <v>0.95</v>
      </c>
      <c r="R4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7" s="5">
        <f t="array" ref="S437">MIN(IF((ContinuousStatsTable[GroupByKey]=ContinuousStatsTable[[#This Row],[GroupByKey]]),(ContinuousStatsTable[GroupByKey]=ContinuousStatsTable[[#This Row],[GroupByKey]])*ContinuousStatsTable[Average]))</f>
        <v>1</v>
      </c>
      <c r="T437" s="5">
        <f t="array" ref="T437">MAX(IF((ContinuousStatsTable[GroupByKey]=ContinuousStatsTable[[#This Row],[GroupByKey]]),(ContinuousStatsTable[GroupByKey]=ContinuousStatsTable[[#This Row],[GroupByKey]])*ContinuousStatsTable[Average]))</f>
        <v>1</v>
      </c>
      <c r="U437" s="5">
        <f>IF((ContinuousStatsTable[[#This Row],[RepsRequested]]&gt;1),ContinuousStatsTable[[#This Row],[HalfWidth]],ContinuousStatsTable[[#This Row],[BatchMeansHalfWidth]])</f>
        <v>0</v>
      </c>
    </row>
    <row r="438" spans="1:21" x14ac:dyDescent="0.25">
      <c r="A438" t="s">
        <v>67</v>
      </c>
      <c r="B438" t="s">
        <v>70</v>
      </c>
      <c r="C438">
        <v>10</v>
      </c>
      <c r="D438" t="s">
        <v>89</v>
      </c>
      <c r="E438" t="s">
        <v>72</v>
      </c>
      <c r="F438" t="s">
        <v>73</v>
      </c>
      <c r="G438">
        <v>0</v>
      </c>
      <c r="H438">
        <v>2E+20</v>
      </c>
      <c r="I438">
        <v>0</v>
      </c>
      <c r="J438">
        <v>0</v>
      </c>
      <c r="K438">
        <v>0</v>
      </c>
      <c r="L438">
        <v>0</v>
      </c>
      <c r="M438" s="5" t="str">
        <f>ContinuousStatsTable[[#This Row],[ProjectName]]&amp;ContinuousStatsTable[[#This Row],[Name]]&amp;ContinuousStatsTable[[#This Row],[Type]]&amp;ContinuousStatsTable[[#This Row],[Source]]</f>
        <v>Unnamed ProjectpaintingoperatorInstantaneous UtilizationResource</v>
      </c>
      <c r="N438" s="5">
        <f t="array" ref="N438">MAX(IF((ProjectInfoTable[ProjectName]=ContinuousStatsTable[[#This Row],[ProjectName]]),(ProjectInfoTable[ProjectName]=ContinuousStatsTable[[#This Row],[ProjectName]])*ProjectInfoTable[NumberOfReplications]))</f>
        <v>15</v>
      </c>
      <c r="O438" s="5">
        <f t="array" ref="O438">IFERROR(AVERAGE(IF((ContinuousStatsTable[GroupByKey]=ContinuousStatsTable[[#This Row],[GroupByKey]]),(ContinuousStatsTable[GroupByKey]=ContinuousStatsTable[[#This Row],[GroupByKey]])*ContinuousStatsTable[Average])),0)</f>
        <v>0</v>
      </c>
      <c r="P438" s="5">
        <f t="array" ref="P438">IFERROR(_xlfn.STDEV.S(IF((ContinuousStatsTable[GroupByKey]=ContinuousStatsTable[[#This Row],[GroupByKey]]),(ContinuousStatsTable[GroupByKey]=ContinuousStatsTable[[#This Row],[GroupByKey]])*ContinuousStatsTable[Average])),0)</f>
        <v>0</v>
      </c>
      <c r="Q438" s="5">
        <f t="array" ref="Q438">MAX(IF((ProjectInfoTable[ProjectName]=ContinuousStatsTable[[#This Row],[ProjectName]]),(ProjectInfoTable[ProjectName]=ContinuousStatsTable[[#This Row],[ProjectName]])*ProjectInfoTable[ConfidenceInterval]))</f>
        <v>0.95</v>
      </c>
      <c r="R4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8" s="5">
        <f t="array" ref="S438">MIN(IF((ContinuousStatsTable[GroupByKey]=ContinuousStatsTable[[#This Row],[GroupByKey]]),(ContinuousStatsTable[GroupByKey]=ContinuousStatsTable[[#This Row],[GroupByKey]])*ContinuousStatsTable[Average]))</f>
        <v>0</v>
      </c>
      <c r="T438" s="5">
        <f t="array" ref="T438">MAX(IF((ContinuousStatsTable[GroupByKey]=ContinuousStatsTable[[#This Row],[GroupByKey]]),(ContinuousStatsTable[GroupByKey]=ContinuousStatsTable[[#This Row],[GroupByKey]])*ContinuousStatsTable[Average]))</f>
        <v>0</v>
      </c>
      <c r="U438" s="5">
        <f>IF((ContinuousStatsTable[[#This Row],[RepsRequested]]&gt;1),ContinuousStatsTable[[#This Row],[HalfWidth]],ContinuousStatsTable[[#This Row],[BatchMeansHalfWidth]])</f>
        <v>0</v>
      </c>
    </row>
    <row r="439" spans="1:21" x14ac:dyDescent="0.25">
      <c r="A439" t="s">
        <v>67</v>
      </c>
      <c r="B439" t="s">
        <v>70</v>
      </c>
      <c r="C439">
        <v>10</v>
      </c>
      <c r="D439" t="s">
        <v>89</v>
      </c>
      <c r="E439" t="s">
        <v>74</v>
      </c>
      <c r="F439" t="s">
        <v>73</v>
      </c>
      <c r="G439">
        <v>0</v>
      </c>
      <c r="H439">
        <v>2E+20</v>
      </c>
      <c r="I439">
        <v>0</v>
      </c>
      <c r="J439">
        <v>0</v>
      </c>
      <c r="K439">
        <v>0</v>
      </c>
      <c r="L439">
        <v>0</v>
      </c>
      <c r="M439" s="5" t="str">
        <f>ContinuousStatsTable[[#This Row],[ProjectName]]&amp;ContinuousStatsTable[[#This Row],[Name]]&amp;ContinuousStatsTable[[#This Row],[Type]]&amp;ContinuousStatsTable[[#This Row],[Source]]</f>
        <v>Unnamed ProjectpaintingoperatorNumber BusyResource</v>
      </c>
      <c r="N439" s="5">
        <f t="array" ref="N439">MAX(IF((ProjectInfoTable[ProjectName]=ContinuousStatsTable[[#This Row],[ProjectName]]),(ProjectInfoTable[ProjectName]=ContinuousStatsTable[[#This Row],[ProjectName]])*ProjectInfoTable[NumberOfReplications]))</f>
        <v>15</v>
      </c>
      <c r="O439" s="5">
        <f t="array" ref="O439">IFERROR(AVERAGE(IF((ContinuousStatsTable[GroupByKey]=ContinuousStatsTable[[#This Row],[GroupByKey]]),(ContinuousStatsTable[GroupByKey]=ContinuousStatsTable[[#This Row],[GroupByKey]])*ContinuousStatsTable[Average])),0)</f>
        <v>0</v>
      </c>
      <c r="P439" s="5">
        <f t="array" ref="P439">IFERROR(_xlfn.STDEV.S(IF((ContinuousStatsTable[GroupByKey]=ContinuousStatsTable[[#This Row],[GroupByKey]]),(ContinuousStatsTable[GroupByKey]=ContinuousStatsTable[[#This Row],[GroupByKey]])*ContinuousStatsTable[Average])),0)</f>
        <v>0</v>
      </c>
      <c r="Q439" s="5">
        <f t="array" ref="Q439">MAX(IF((ProjectInfoTable[ProjectName]=ContinuousStatsTable[[#This Row],[ProjectName]]),(ProjectInfoTable[ProjectName]=ContinuousStatsTable[[#This Row],[ProjectName]])*ProjectInfoTable[ConfidenceInterval]))</f>
        <v>0.95</v>
      </c>
      <c r="R4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9" s="5">
        <f t="array" ref="S439">MIN(IF((ContinuousStatsTable[GroupByKey]=ContinuousStatsTable[[#This Row],[GroupByKey]]),(ContinuousStatsTable[GroupByKey]=ContinuousStatsTable[[#This Row],[GroupByKey]])*ContinuousStatsTable[Average]))</f>
        <v>0</v>
      </c>
      <c r="T439" s="5">
        <f t="array" ref="T439">MAX(IF((ContinuousStatsTable[GroupByKey]=ContinuousStatsTable[[#This Row],[GroupByKey]]),(ContinuousStatsTable[GroupByKey]=ContinuousStatsTable[[#This Row],[GroupByKey]])*ContinuousStatsTable[Average]))</f>
        <v>0</v>
      </c>
      <c r="U439" s="5">
        <f>IF((ContinuousStatsTable[[#This Row],[RepsRequested]]&gt;1),ContinuousStatsTable[[#This Row],[HalfWidth]],ContinuousStatsTable[[#This Row],[BatchMeansHalfWidth]])</f>
        <v>0</v>
      </c>
    </row>
    <row r="440" spans="1:21" x14ac:dyDescent="0.25">
      <c r="A440" t="s">
        <v>67</v>
      </c>
      <c r="B440" t="s">
        <v>70</v>
      </c>
      <c r="C440">
        <v>10</v>
      </c>
      <c r="D440" t="s">
        <v>89</v>
      </c>
      <c r="E440" t="s">
        <v>75</v>
      </c>
      <c r="F440" t="s">
        <v>73</v>
      </c>
      <c r="G440">
        <v>1.5834999999999999</v>
      </c>
      <c r="H440">
        <v>3E+20</v>
      </c>
      <c r="I440">
        <v>1</v>
      </c>
      <c r="J440">
        <v>2</v>
      </c>
      <c r="K440">
        <v>2</v>
      </c>
      <c r="L440">
        <v>0</v>
      </c>
      <c r="M440" s="5" t="str">
        <f>ContinuousStatsTable[[#This Row],[ProjectName]]&amp;ContinuousStatsTable[[#This Row],[Name]]&amp;ContinuousStatsTable[[#This Row],[Type]]&amp;ContinuousStatsTable[[#This Row],[Source]]</f>
        <v>Unnamed ProjectpaintingoperatorNumber ScheduledResource</v>
      </c>
      <c r="N440" s="5">
        <f t="array" ref="N440">MAX(IF((ProjectInfoTable[ProjectName]=ContinuousStatsTable[[#This Row],[ProjectName]]),(ProjectInfoTable[ProjectName]=ContinuousStatsTable[[#This Row],[ProjectName]])*ProjectInfoTable[NumberOfReplications]))</f>
        <v>15</v>
      </c>
      <c r="O440" s="5">
        <f t="array" ref="O440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440" s="5">
        <f t="array" ref="P440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440" s="5">
        <f t="array" ref="Q440">MAX(IF((ProjectInfoTable[ProjectName]=ContinuousStatsTable[[#This Row],[ProjectName]]),(ProjectInfoTable[ProjectName]=ContinuousStatsTable[[#This Row],[ProjectName]])*ProjectInfoTable[ConfidenceInterval]))</f>
        <v>0.95</v>
      </c>
      <c r="R4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440" s="5">
        <f t="array" ref="S440">MIN(IF((ContinuousStatsTable[GroupByKey]=ContinuousStatsTable[[#This Row],[GroupByKey]]),(ContinuousStatsTable[GroupByKey]=ContinuousStatsTable[[#This Row],[GroupByKey]])*ContinuousStatsTable[Average]))</f>
        <v>1</v>
      </c>
      <c r="T440" s="5">
        <f t="array" ref="T440">MAX(IF((ContinuousStatsTable[GroupByKey]=ContinuousStatsTable[[#This Row],[GroupByKey]]),(ContinuousStatsTable[GroupByKey]=ContinuousStatsTable[[#This Row],[GroupByKey]])*ContinuousStatsTable[Average]))</f>
        <v>2</v>
      </c>
      <c r="U440" s="5">
        <f>IF((ContinuousStatsTable[[#This Row],[RepsRequested]]&gt;1),ContinuousStatsTable[[#This Row],[HalfWidth]],ContinuousStatsTable[[#This Row],[BatchMeansHalfWidth]])</f>
        <v>0.13376733135491528</v>
      </c>
    </row>
    <row r="441" spans="1:21" x14ac:dyDescent="0.25">
      <c r="A441" t="s">
        <v>67</v>
      </c>
      <c r="B441" t="s">
        <v>70</v>
      </c>
      <c r="C441">
        <v>10</v>
      </c>
      <c r="D441" t="s">
        <v>90</v>
      </c>
      <c r="E441" t="s">
        <v>72</v>
      </c>
      <c r="F441" t="s">
        <v>73</v>
      </c>
      <c r="G441">
        <v>0</v>
      </c>
      <c r="H441">
        <v>2E+20</v>
      </c>
      <c r="I441">
        <v>0</v>
      </c>
      <c r="J441">
        <v>0</v>
      </c>
      <c r="K441">
        <v>0</v>
      </c>
      <c r="L441">
        <v>0</v>
      </c>
      <c r="M441" s="5" t="str">
        <f>ContinuousStatsTable[[#This Row],[ProjectName]]&amp;ContinuousStatsTable[[#This Row],[Name]]&amp;ContinuousStatsTable[[#This Row],[Type]]&amp;ContinuousStatsTable[[#This Row],[Source]]</f>
        <v>Unnamed ProjectsandblastmachineInstantaneous UtilizationResource</v>
      </c>
      <c r="N441" s="5">
        <f t="array" ref="N441">MAX(IF((ProjectInfoTable[ProjectName]=ContinuousStatsTable[[#This Row],[ProjectName]]),(ProjectInfoTable[ProjectName]=ContinuousStatsTable[[#This Row],[ProjectName]])*ProjectInfoTable[NumberOfReplications]))</f>
        <v>15</v>
      </c>
      <c r="O441" s="5">
        <f t="array" ref="O441">IFERROR(AVERAGE(IF((ContinuousStatsTable[GroupByKey]=ContinuousStatsTable[[#This Row],[GroupByKey]]),(ContinuousStatsTable[GroupByKey]=ContinuousStatsTable[[#This Row],[GroupByKey]])*ContinuousStatsTable[Average])),0)</f>
        <v>0</v>
      </c>
      <c r="P441" s="5">
        <f t="array" ref="P441">IFERROR(_xlfn.STDEV.S(IF((ContinuousStatsTable[GroupByKey]=ContinuousStatsTable[[#This Row],[GroupByKey]]),(ContinuousStatsTable[GroupByKey]=ContinuousStatsTable[[#This Row],[GroupByKey]])*ContinuousStatsTable[Average])),0)</f>
        <v>0</v>
      </c>
      <c r="Q441" s="5">
        <f t="array" ref="Q441">MAX(IF((ProjectInfoTable[ProjectName]=ContinuousStatsTable[[#This Row],[ProjectName]]),(ProjectInfoTable[ProjectName]=ContinuousStatsTable[[#This Row],[ProjectName]])*ProjectInfoTable[ConfidenceInterval]))</f>
        <v>0.95</v>
      </c>
      <c r="R4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1" s="5">
        <f t="array" ref="S441">MIN(IF((ContinuousStatsTable[GroupByKey]=ContinuousStatsTable[[#This Row],[GroupByKey]]),(ContinuousStatsTable[GroupByKey]=ContinuousStatsTable[[#This Row],[GroupByKey]])*ContinuousStatsTable[Average]))</f>
        <v>0</v>
      </c>
      <c r="T441" s="5">
        <f t="array" ref="T441">MAX(IF((ContinuousStatsTable[GroupByKey]=ContinuousStatsTable[[#This Row],[GroupByKey]]),(ContinuousStatsTable[GroupByKey]=ContinuousStatsTable[[#This Row],[GroupByKey]])*ContinuousStatsTable[Average]))</f>
        <v>0</v>
      </c>
      <c r="U441" s="5">
        <f>IF((ContinuousStatsTable[[#This Row],[RepsRequested]]&gt;1),ContinuousStatsTable[[#This Row],[HalfWidth]],ContinuousStatsTable[[#This Row],[BatchMeansHalfWidth]])</f>
        <v>0</v>
      </c>
    </row>
    <row r="442" spans="1:21" x14ac:dyDescent="0.25">
      <c r="A442" t="s">
        <v>67</v>
      </c>
      <c r="B442" t="s">
        <v>70</v>
      </c>
      <c r="C442">
        <v>10</v>
      </c>
      <c r="D442" t="s">
        <v>90</v>
      </c>
      <c r="E442" t="s">
        <v>74</v>
      </c>
      <c r="F442" t="s">
        <v>73</v>
      </c>
      <c r="G442">
        <v>0</v>
      </c>
      <c r="H442">
        <v>2E+20</v>
      </c>
      <c r="I442">
        <v>0</v>
      </c>
      <c r="J442">
        <v>0</v>
      </c>
      <c r="K442">
        <v>0</v>
      </c>
      <c r="L442">
        <v>0</v>
      </c>
      <c r="M442" s="5" t="str">
        <f>ContinuousStatsTable[[#This Row],[ProjectName]]&amp;ContinuousStatsTable[[#This Row],[Name]]&amp;ContinuousStatsTable[[#This Row],[Type]]&amp;ContinuousStatsTable[[#This Row],[Source]]</f>
        <v>Unnamed ProjectsandblastmachineNumber BusyResource</v>
      </c>
      <c r="N442" s="5">
        <f t="array" ref="N442">MAX(IF((ProjectInfoTable[ProjectName]=ContinuousStatsTable[[#This Row],[ProjectName]]),(ProjectInfoTable[ProjectName]=ContinuousStatsTable[[#This Row],[ProjectName]])*ProjectInfoTable[NumberOfReplications]))</f>
        <v>15</v>
      </c>
      <c r="O442" s="5">
        <f t="array" ref="O442">IFERROR(AVERAGE(IF((ContinuousStatsTable[GroupByKey]=ContinuousStatsTable[[#This Row],[GroupByKey]]),(ContinuousStatsTable[GroupByKey]=ContinuousStatsTable[[#This Row],[GroupByKey]])*ContinuousStatsTable[Average])),0)</f>
        <v>0</v>
      </c>
      <c r="P442" s="5">
        <f t="array" ref="P442">IFERROR(_xlfn.STDEV.S(IF((ContinuousStatsTable[GroupByKey]=ContinuousStatsTable[[#This Row],[GroupByKey]]),(ContinuousStatsTable[GroupByKey]=ContinuousStatsTable[[#This Row],[GroupByKey]])*ContinuousStatsTable[Average])),0)</f>
        <v>0</v>
      </c>
      <c r="Q442" s="5">
        <f t="array" ref="Q442">MAX(IF((ProjectInfoTable[ProjectName]=ContinuousStatsTable[[#This Row],[ProjectName]]),(ProjectInfoTable[ProjectName]=ContinuousStatsTable[[#This Row],[ProjectName]])*ProjectInfoTable[ConfidenceInterval]))</f>
        <v>0.95</v>
      </c>
      <c r="R4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2" s="5">
        <f t="array" ref="S442">MIN(IF((ContinuousStatsTable[GroupByKey]=ContinuousStatsTable[[#This Row],[GroupByKey]]),(ContinuousStatsTable[GroupByKey]=ContinuousStatsTable[[#This Row],[GroupByKey]])*ContinuousStatsTable[Average]))</f>
        <v>0</v>
      </c>
      <c r="T442" s="5">
        <f t="array" ref="T442">MAX(IF((ContinuousStatsTable[GroupByKey]=ContinuousStatsTable[[#This Row],[GroupByKey]]),(ContinuousStatsTable[GroupByKey]=ContinuousStatsTable[[#This Row],[GroupByKey]])*ContinuousStatsTable[Average]))</f>
        <v>0</v>
      </c>
      <c r="U442" s="5">
        <f>IF((ContinuousStatsTable[[#This Row],[RepsRequested]]&gt;1),ContinuousStatsTable[[#This Row],[HalfWidth]],ContinuousStatsTable[[#This Row],[BatchMeansHalfWidth]])</f>
        <v>0</v>
      </c>
    </row>
    <row r="443" spans="1:21" x14ac:dyDescent="0.25">
      <c r="A443" t="s">
        <v>67</v>
      </c>
      <c r="B443" t="s">
        <v>70</v>
      </c>
      <c r="C443">
        <v>10</v>
      </c>
      <c r="D443" t="s">
        <v>90</v>
      </c>
      <c r="E443" t="s">
        <v>75</v>
      </c>
      <c r="F443" t="s">
        <v>73</v>
      </c>
      <c r="G443">
        <v>1</v>
      </c>
      <c r="H443">
        <v>2E+20</v>
      </c>
      <c r="I443">
        <v>1</v>
      </c>
      <c r="J443">
        <v>1</v>
      </c>
      <c r="K443">
        <v>1</v>
      </c>
      <c r="L443">
        <v>0</v>
      </c>
      <c r="M443" s="5" t="str">
        <f>ContinuousStatsTable[[#This Row],[ProjectName]]&amp;ContinuousStatsTable[[#This Row],[Name]]&amp;ContinuousStatsTable[[#This Row],[Type]]&amp;ContinuousStatsTable[[#This Row],[Source]]</f>
        <v>Unnamed ProjectsandblastmachineNumber ScheduledResource</v>
      </c>
      <c r="N443" s="5">
        <f t="array" ref="N443">MAX(IF((ProjectInfoTable[ProjectName]=ContinuousStatsTable[[#This Row],[ProjectName]]),(ProjectInfoTable[ProjectName]=ContinuousStatsTable[[#This Row],[ProjectName]])*ProjectInfoTable[NumberOfReplications]))</f>
        <v>15</v>
      </c>
      <c r="O443" s="5">
        <f t="array" ref="O443">IFERROR(AVERAGE(IF((ContinuousStatsTable[GroupByKey]=ContinuousStatsTable[[#This Row],[GroupByKey]]),(ContinuousStatsTable[GroupByKey]=ContinuousStatsTable[[#This Row],[GroupByKey]])*ContinuousStatsTable[Average])),0)</f>
        <v>1</v>
      </c>
      <c r="P443" s="5">
        <f t="array" ref="P443">IFERROR(_xlfn.STDEV.S(IF((ContinuousStatsTable[GroupByKey]=ContinuousStatsTable[[#This Row],[GroupByKey]]),(ContinuousStatsTable[GroupByKey]=ContinuousStatsTable[[#This Row],[GroupByKey]])*ContinuousStatsTable[Average])),0)</f>
        <v>0</v>
      </c>
      <c r="Q443" s="5">
        <f t="array" ref="Q443">MAX(IF((ProjectInfoTable[ProjectName]=ContinuousStatsTable[[#This Row],[ProjectName]]),(ProjectInfoTable[ProjectName]=ContinuousStatsTable[[#This Row],[ProjectName]])*ProjectInfoTable[ConfidenceInterval]))</f>
        <v>0.95</v>
      </c>
      <c r="R4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3" s="5">
        <f t="array" ref="S443">MIN(IF((ContinuousStatsTable[GroupByKey]=ContinuousStatsTable[[#This Row],[GroupByKey]]),(ContinuousStatsTable[GroupByKey]=ContinuousStatsTable[[#This Row],[GroupByKey]])*ContinuousStatsTable[Average]))</f>
        <v>1</v>
      </c>
      <c r="T443" s="5">
        <f t="array" ref="T443">MAX(IF((ContinuousStatsTable[GroupByKey]=ContinuousStatsTable[[#This Row],[GroupByKey]]),(ContinuousStatsTable[GroupByKey]=ContinuousStatsTable[[#This Row],[GroupByKey]])*ContinuousStatsTable[Average]))</f>
        <v>1</v>
      </c>
      <c r="U443" s="5">
        <f>IF((ContinuousStatsTable[[#This Row],[RepsRequested]]&gt;1),ContinuousStatsTable[[#This Row],[HalfWidth]],ContinuousStatsTable[[#This Row],[BatchMeansHalfWidth]])</f>
        <v>0</v>
      </c>
    </row>
    <row r="444" spans="1:21" x14ac:dyDescent="0.25">
      <c r="A444" t="s">
        <v>67</v>
      </c>
      <c r="B444" t="s">
        <v>70</v>
      </c>
      <c r="C444">
        <v>10</v>
      </c>
      <c r="D444" t="s">
        <v>91</v>
      </c>
      <c r="E444" t="s">
        <v>72</v>
      </c>
      <c r="F444" t="s">
        <v>73</v>
      </c>
      <c r="G444">
        <v>0</v>
      </c>
      <c r="H444">
        <v>2E+20</v>
      </c>
      <c r="I444">
        <v>0</v>
      </c>
      <c r="J444">
        <v>0</v>
      </c>
      <c r="K444">
        <v>0</v>
      </c>
      <c r="L444">
        <v>0</v>
      </c>
      <c r="M444" s="5" t="str">
        <f>ContinuousStatsTable[[#This Row],[ProjectName]]&amp;ContinuousStatsTable[[#This Row],[Name]]&amp;ContinuousStatsTable[[#This Row],[Type]]&amp;ContinuousStatsTable[[#This Row],[Source]]</f>
        <v>Unnamed ProjectsandblastoperatorInstantaneous UtilizationResource</v>
      </c>
      <c r="N444" s="5">
        <f t="array" ref="N444">MAX(IF((ProjectInfoTable[ProjectName]=ContinuousStatsTable[[#This Row],[ProjectName]]),(ProjectInfoTable[ProjectName]=ContinuousStatsTable[[#This Row],[ProjectName]])*ProjectInfoTable[NumberOfReplications]))</f>
        <v>15</v>
      </c>
      <c r="O444" s="5">
        <f t="array" ref="O444">IFERROR(AVERAGE(IF((ContinuousStatsTable[GroupByKey]=ContinuousStatsTable[[#This Row],[GroupByKey]]),(ContinuousStatsTable[GroupByKey]=ContinuousStatsTable[[#This Row],[GroupByKey]])*ContinuousStatsTable[Average])),0)</f>
        <v>0</v>
      </c>
      <c r="P444" s="5">
        <f t="array" ref="P444">IFERROR(_xlfn.STDEV.S(IF((ContinuousStatsTable[GroupByKey]=ContinuousStatsTable[[#This Row],[GroupByKey]]),(ContinuousStatsTable[GroupByKey]=ContinuousStatsTable[[#This Row],[GroupByKey]])*ContinuousStatsTable[Average])),0)</f>
        <v>0</v>
      </c>
      <c r="Q444" s="5">
        <f t="array" ref="Q444">MAX(IF((ProjectInfoTable[ProjectName]=ContinuousStatsTable[[#This Row],[ProjectName]]),(ProjectInfoTable[ProjectName]=ContinuousStatsTable[[#This Row],[ProjectName]])*ProjectInfoTable[ConfidenceInterval]))</f>
        <v>0.95</v>
      </c>
      <c r="R4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4" s="5">
        <f t="array" ref="S444">MIN(IF((ContinuousStatsTable[GroupByKey]=ContinuousStatsTable[[#This Row],[GroupByKey]]),(ContinuousStatsTable[GroupByKey]=ContinuousStatsTable[[#This Row],[GroupByKey]])*ContinuousStatsTable[Average]))</f>
        <v>0</v>
      </c>
      <c r="T444" s="5">
        <f t="array" ref="T444">MAX(IF((ContinuousStatsTable[GroupByKey]=ContinuousStatsTable[[#This Row],[GroupByKey]]),(ContinuousStatsTable[GroupByKey]=ContinuousStatsTable[[#This Row],[GroupByKey]])*ContinuousStatsTable[Average]))</f>
        <v>0</v>
      </c>
      <c r="U444" s="5">
        <f>IF((ContinuousStatsTable[[#This Row],[RepsRequested]]&gt;1),ContinuousStatsTable[[#This Row],[HalfWidth]],ContinuousStatsTable[[#This Row],[BatchMeansHalfWidth]])</f>
        <v>0</v>
      </c>
    </row>
    <row r="445" spans="1:21" x14ac:dyDescent="0.25">
      <c r="A445" t="s">
        <v>67</v>
      </c>
      <c r="B445" t="s">
        <v>70</v>
      </c>
      <c r="C445">
        <v>10</v>
      </c>
      <c r="D445" t="s">
        <v>91</v>
      </c>
      <c r="E445" t="s">
        <v>74</v>
      </c>
      <c r="F445" t="s">
        <v>73</v>
      </c>
      <c r="G445">
        <v>0</v>
      </c>
      <c r="H445">
        <v>2E+20</v>
      </c>
      <c r="I445">
        <v>0</v>
      </c>
      <c r="J445">
        <v>0</v>
      </c>
      <c r="K445">
        <v>0</v>
      </c>
      <c r="L445">
        <v>0</v>
      </c>
      <c r="M445" s="5" t="str">
        <f>ContinuousStatsTable[[#This Row],[ProjectName]]&amp;ContinuousStatsTable[[#This Row],[Name]]&amp;ContinuousStatsTable[[#This Row],[Type]]&amp;ContinuousStatsTable[[#This Row],[Source]]</f>
        <v>Unnamed ProjectsandblastoperatorNumber BusyResource</v>
      </c>
      <c r="N445" s="5">
        <f t="array" ref="N445">MAX(IF((ProjectInfoTable[ProjectName]=ContinuousStatsTable[[#This Row],[ProjectName]]),(ProjectInfoTable[ProjectName]=ContinuousStatsTable[[#This Row],[ProjectName]])*ProjectInfoTable[NumberOfReplications]))</f>
        <v>15</v>
      </c>
      <c r="O445" s="5">
        <f t="array" ref="O445">IFERROR(AVERAGE(IF((ContinuousStatsTable[GroupByKey]=ContinuousStatsTable[[#This Row],[GroupByKey]]),(ContinuousStatsTable[GroupByKey]=ContinuousStatsTable[[#This Row],[GroupByKey]])*ContinuousStatsTable[Average])),0)</f>
        <v>0</v>
      </c>
      <c r="P445" s="5">
        <f t="array" ref="P445">IFERROR(_xlfn.STDEV.S(IF((ContinuousStatsTable[GroupByKey]=ContinuousStatsTable[[#This Row],[GroupByKey]]),(ContinuousStatsTable[GroupByKey]=ContinuousStatsTable[[#This Row],[GroupByKey]])*ContinuousStatsTable[Average])),0)</f>
        <v>0</v>
      </c>
      <c r="Q445" s="5">
        <f t="array" ref="Q445">MAX(IF((ProjectInfoTable[ProjectName]=ContinuousStatsTable[[#This Row],[ProjectName]]),(ProjectInfoTable[ProjectName]=ContinuousStatsTable[[#This Row],[ProjectName]])*ProjectInfoTable[ConfidenceInterval]))</f>
        <v>0.95</v>
      </c>
      <c r="R4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5" s="5">
        <f t="array" ref="S445">MIN(IF((ContinuousStatsTable[GroupByKey]=ContinuousStatsTable[[#This Row],[GroupByKey]]),(ContinuousStatsTable[GroupByKey]=ContinuousStatsTable[[#This Row],[GroupByKey]])*ContinuousStatsTable[Average]))</f>
        <v>0</v>
      </c>
      <c r="T445" s="5">
        <f t="array" ref="T445">MAX(IF((ContinuousStatsTable[GroupByKey]=ContinuousStatsTable[[#This Row],[GroupByKey]]),(ContinuousStatsTable[GroupByKey]=ContinuousStatsTable[[#This Row],[GroupByKey]])*ContinuousStatsTable[Average]))</f>
        <v>0</v>
      </c>
      <c r="U445" s="5">
        <f>IF((ContinuousStatsTable[[#This Row],[RepsRequested]]&gt;1),ContinuousStatsTable[[#This Row],[HalfWidth]],ContinuousStatsTable[[#This Row],[BatchMeansHalfWidth]])</f>
        <v>0</v>
      </c>
    </row>
    <row r="446" spans="1:21" x14ac:dyDescent="0.25">
      <c r="A446" t="s">
        <v>67</v>
      </c>
      <c r="B446" t="s">
        <v>70</v>
      </c>
      <c r="C446">
        <v>10</v>
      </c>
      <c r="D446" t="s">
        <v>91</v>
      </c>
      <c r="E446" t="s">
        <v>75</v>
      </c>
      <c r="F446" t="s">
        <v>73</v>
      </c>
      <c r="G446">
        <v>1.5834999999999999</v>
      </c>
      <c r="H446">
        <v>3E+20</v>
      </c>
      <c r="I446">
        <v>1</v>
      </c>
      <c r="J446">
        <v>2</v>
      </c>
      <c r="K446">
        <v>2</v>
      </c>
      <c r="L446">
        <v>0</v>
      </c>
      <c r="M446" s="5" t="str">
        <f>ContinuousStatsTable[[#This Row],[ProjectName]]&amp;ContinuousStatsTable[[#This Row],[Name]]&amp;ContinuousStatsTable[[#This Row],[Type]]&amp;ContinuousStatsTable[[#This Row],[Source]]</f>
        <v>Unnamed ProjectsandblastoperatorNumber ScheduledResource</v>
      </c>
      <c r="N446" s="5">
        <f t="array" ref="N446">MAX(IF((ProjectInfoTable[ProjectName]=ContinuousStatsTable[[#This Row],[ProjectName]]),(ProjectInfoTable[ProjectName]=ContinuousStatsTable[[#This Row],[ProjectName]])*ProjectInfoTable[NumberOfReplications]))</f>
        <v>15</v>
      </c>
      <c r="O446" s="5">
        <f t="array" ref="O446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446" s="5">
        <f t="array" ref="P446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446" s="5">
        <f t="array" ref="Q446">MAX(IF((ProjectInfoTable[ProjectName]=ContinuousStatsTable[[#This Row],[ProjectName]]),(ProjectInfoTable[ProjectName]=ContinuousStatsTable[[#This Row],[ProjectName]])*ProjectInfoTable[ConfidenceInterval]))</f>
        <v>0.95</v>
      </c>
      <c r="R4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446" s="5">
        <f t="array" ref="S446">MIN(IF((ContinuousStatsTable[GroupByKey]=ContinuousStatsTable[[#This Row],[GroupByKey]]),(ContinuousStatsTable[GroupByKey]=ContinuousStatsTable[[#This Row],[GroupByKey]])*ContinuousStatsTable[Average]))</f>
        <v>1</v>
      </c>
      <c r="T446" s="5">
        <f t="array" ref="T446">MAX(IF((ContinuousStatsTable[GroupByKey]=ContinuousStatsTable[[#This Row],[GroupByKey]]),(ContinuousStatsTable[GroupByKey]=ContinuousStatsTable[[#This Row],[GroupByKey]])*ContinuousStatsTable[Average]))</f>
        <v>2</v>
      </c>
      <c r="U446" s="5">
        <f>IF((ContinuousStatsTable[[#This Row],[RepsRequested]]&gt;1),ContinuousStatsTable[[#This Row],[HalfWidth]],ContinuousStatsTable[[#This Row],[BatchMeansHalfWidth]])</f>
        <v>0.13376733135491528</v>
      </c>
    </row>
    <row r="447" spans="1:21" x14ac:dyDescent="0.25">
      <c r="A447" t="s">
        <v>67</v>
      </c>
      <c r="B447" t="s">
        <v>70</v>
      </c>
      <c r="C447">
        <v>10</v>
      </c>
      <c r="D447" t="s">
        <v>92</v>
      </c>
      <c r="E447" t="s">
        <v>84</v>
      </c>
      <c r="F447" t="s">
        <v>85</v>
      </c>
      <c r="G447">
        <v>0</v>
      </c>
      <c r="H447">
        <v>2E+20</v>
      </c>
      <c r="I447">
        <v>0</v>
      </c>
      <c r="J447">
        <v>0</v>
      </c>
      <c r="K447">
        <v>0</v>
      </c>
      <c r="L447">
        <v>0</v>
      </c>
      <c r="M447" s="5" t="str">
        <f>ContinuousStatsTable[[#This Row],[ProjectName]]&amp;ContinuousStatsTable[[#This Row],[Name]]&amp;ContinuousStatsTable[[#This Row],[Type]]&amp;ContinuousStatsTable[[#This Row],[Source]]</f>
        <v>Unnamed Projectseize_assembler.QueueNumber WaitingQueue</v>
      </c>
      <c r="N447" s="5">
        <f t="array" ref="N447">MAX(IF((ProjectInfoTable[ProjectName]=ContinuousStatsTable[[#This Row],[ProjectName]]),(ProjectInfoTable[ProjectName]=ContinuousStatsTable[[#This Row],[ProjectName]])*ProjectInfoTable[NumberOfReplications]))</f>
        <v>15</v>
      </c>
      <c r="O447" s="5">
        <f t="array" ref="O447">IFERROR(AVERAGE(IF((ContinuousStatsTable[GroupByKey]=ContinuousStatsTable[[#This Row],[GroupByKey]]),(ContinuousStatsTable[GroupByKey]=ContinuousStatsTable[[#This Row],[GroupByKey]])*ContinuousStatsTable[Average])),0)</f>
        <v>0</v>
      </c>
      <c r="P447" s="5">
        <f t="array" ref="P447">IFERROR(_xlfn.STDEV.S(IF((ContinuousStatsTable[GroupByKey]=ContinuousStatsTable[[#This Row],[GroupByKey]]),(ContinuousStatsTable[GroupByKey]=ContinuousStatsTable[[#This Row],[GroupByKey]])*ContinuousStatsTable[Average])),0)</f>
        <v>0</v>
      </c>
      <c r="Q447" s="5">
        <f t="array" ref="Q447">MAX(IF((ProjectInfoTable[ProjectName]=ContinuousStatsTable[[#This Row],[ProjectName]]),(ProjectInfoTable[ProjectName]=ContinuousStatsTable[[#This Row],[ProjectName]])*ProjectInfoTable[ConfidenceInterval]))</f>
        <v>0.95</v>
      </c>
      <c r="R4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7" s="5">
        <f t="array" ref="S447">MIN(IF((ContinuousStatsTable[GroupByKey]=ContinuousStatsTable[[#This Row],[GroupByKey]]),(ContinuousStatsTable[GroupByKey]=ContinuousStatsTable[[#This Row],[GroupByKey]])*ContinuousStatsTable[Average]))</f>
        <v>0</v>
      </c>
      <c r="T447" s="5">
        <f t="array" ref="T447">MAX(IF((ContinuousStatsTable[GroupByKey]=ContinuousStatsTable[[#This Row],[GroupByKey]]),(ContinuousStatsTable[GroupByKey]=ContinuousStatsTable[[#This Row],[GroupByKey]])*ContinuousStatsTable[Average]))</f>
        <v>0</v>
      </c>
      <c r="U447" s="5">
        <f>IF((ContinuousStatsTable[[#This Row],[RepsRequested]]&gt;1),ContinuousStatsTable[[#This Row],[HalfWidth]],ContinuousStatsTable[[#This Row],[BatchMeansHalfWidth]])</f>
        <v>0</v>
      </c>
    </row>
    <row r="448" spans="1:21" x14ac:dyDescent="0.25">
      <c r="A448" t="s">
        <v>67</v>
      </c>
      <c r="B448" t="s">
        <v>70</v>
      </c>
      <c r="C448">
        <v>10</v>
      </c>
      <c r="D448" t="s">
        <v>93</v>
      </c>
      <c r="E448" t="s">
        <v>84</v>
      </c>
      <c r="F448" t="s">
        <v>85</v>
      </c>
      <c r="G448">
        <v>0</v>
      </c>
      <c r="H448">
        <v>2E+20</v>
      </c>
      <c r="I448">
        <v>0</v>
      </c>
      <c r="J448">
        <v>0</v>
      </c>
      <c r="K448">
        <v>0</v>
      </c>
      <c r="L448">
        <v>0</v>
      </c>
      <c r="M448" s="5" t="str">
        <f>ContinuousStatsTable[[#This Row],[ProjectName]]&amp;ContinuousStatsTable[[#This Row],[Name]]&amp;ContinuousStatsTable[[#This Row],[Type]]&amp;ContinuousStatsTable[[#This Row],[Source]]</f>
        <v>Unnamed Projectseize_cutter.QueueNumber WaitingQueue</v>
      </c>
      <c r="N448" s="5">
        <f t="array" ref="N448">MAX(IF((ProjectInfoTable[ProjectName]=ContinuousStatsTable[[#This Row],[ProjectName]]),(ProjectInfoTable[ProjectName]=ContinuousStatsTable[[#This Row],[ProjectName]])*ProjectInfoTable[NumberOfReplications]))</f>
        <v>15</v>
      </c>
      <c r="O448" s="5">
        <f t="array" ref="O448">IFERROR(AVERAGE(IF((ContinuousStatsTable[GroupByKey]=ContinuousStatsTable[[#This Row],[GroupByKey]]),(ContinuousStatsTable[GroupByKey]=ContinuousStatsTable[[#This Row],[GroupByKey]])*ContinuousStatsTable[Average])),0)</f>
        <v>0</v>
      </c>
      <c r="P448" s="5">
        <f t="array" ref="P448">IFERROR(_xlfn.STDEV.S(IF((ContinuousStatsTable[GroupByKey]=ContinuousStatsTable[[#This Row],[GroupByKey]]),(ContinuousStatsTable[GroupByKey]=ContinuousStatsTable[[#This Row],[GroupByKey]])*ContinuousStatsTable[Average])),0)</f>
        <v>0</v>
      </c>
      <c r="Q448" s="5">
        <f t="array" ref="Q448">MAX(IF((ProjectInfoTable[ProjectName]=ContinuousStatsTable[[#This Row],[ProjectName]]),(ProjectInfoTable[ProjectName]=ContinuousStatsTable[[#This Row],[ProjectName]])*ProjectInfoTable[ConfidenceInterval]))</f>
        <v>0.95</v>
      </c>
      <c r="R4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8" s="5">
        <f t="array" ref="S448">MIN(IF((ContinuousStatsTable[GroupByKey]=ContinuousStatsTable[[#This Row],[GroupByKey]]),(ContinuousStatsTable[GroupByKey]=ContinuousStatsTable[[#This Row],[GroupByKey]])*ContinuousStatsTable[Average]))</f>
        <v>0</v>
      </c>
      <c r="T448" s="5">
        <f t="array" ref="T448">MAX(IF((ContinuousStatsTable[GroupByKey]=ContinuousStatsTable[[#This Row],[GroupByKey]]),(ContinuousStatsTable[GroupByKey]=ContinuousStatsTable[[#This Row],[GroupByKey]])*ContinuousStatsTable[Average]))</f>
        <v>0</v>
      </c>
      <c r="U448" s="5">
        <f>IF((ContinuousStatsTable[[#This Row],[RepsRequested]]&gt;1),ContinuousStatsTable[[#This Row],[HalfWidth]],ContinuousStatsTable[[#This Row],[BatchMeansHalfWidth]])</f>
        <v>0</v>
      </c>
    </row>
    <row r="449" spans="1:21" x14ac:dyDescent="0.25">
      <c r="A449" t="s">
        <v>67</v>
      </c>
      <c r="B449" t="s">
        <v>70</v>
      </c>
      <c r="C449">
        <v>10</v>
      </c>
      <c r="D449" t="s">
        <v>94</v>
      </c>
      <c r="E449" t="s">
        <v>84</v>
      </c>
      <c r="F449" t="s">
        <v>85</v>
      </c>
      <c r="G449">
        <v>0</v>
      </c>
      <c r="H449">
        <v>2E+20</v>
      </c>
      <c r="I449">
        <v>0</v>
      </c>
      <c r="J449">
        <v>0</v>
      </c>
      <c r="K449">
        <v>0</v>
      </c>
      <c r="L449">
        <v>0</v>
      </c>
      <c r="M449" s="5" t="str">
        <f>ContinuousStatsTable[[#This Row],[ProjectName]]&amp;ContinuousStatsTable[[#This Row],[Name]]&amp;ContinuousStatsTable[[#This Row],[Type]]&amp;ContinuousStatsTable[[#This Row],[Source]]</f>
        <v>Unnamed Projectseizeassemblyqcman.QueueNumber WaitingQueue</v>
      </c>
      <c r="N449" s="5">
        <f t="array" ref="N449">MAX(IF((ProjectInfoTable[ProjectName]=ContinuousStatsTable[[#This Row],[ProjectName]]),(ProjectInfoTable[ProjectName]=ContinuousStatsTable[[#This Row],[ProjectName]])*ProjectInfoTable[NumberOfReplications]))</f>
        <v>15</v>
      </c>
      <c r="O449" s="5">
        <f t="array" ref="O449">IFERROR(AVERAGE(IF((ContinuousStatsTable[GroupByKey]=ContinuousStatsTable[[#This Row],[GroupByKey]]),(ContinuousStatsTable[GroupByKey]=ContinuousStatsTable[[#This Row],[GroupByKey]])*ContinuousStatsTable[Average])),0)</f>
        <v>0</v>
      </c>
      <c r="P449" s="5">
        <f t="array" ref="P449">IFERROR(_xlfn.STDEV.S(IF((ContinuousStatsTable[GroupByKey]=ContinuousStatsTable[[#This Row],[GroupByKey]]),(ContinuousStatsTable[GroupByKey]=ContinuousStatsTable[[#This Row],[GroupByKey]])*ContinuousStatsTable[Average])),0)</f>
        <v>0</v>
      </c>
      <c r="Q449" s="5">
        <f t="array" ref="Q449">MAX(IF((ProjectInfoTable[ProjectName]=ContinuousStatsTable[[#This Row],[ProjectName]]),(ProjectInfoTable[ProjectName]=ContinuousStatsTable[[#This Row],[ProjectName]])*ProjectInfoTable[ConfidenceInterval]))</f>
        <v>0.95</v>
      </c>
      <c r="R4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9" s="5">
        <f t="array" ref="S449">MIN(IF((ContinuousStatsTable[GroupByKey]=ContinuousStatsTable[[#This Row],[GroupByKey]]),(ContinuousStatsTable[GroupByKey]=ContinuousStatsTable[[#This Row],[GroupByKey]])*ContinuousStatsTable[Average]))</f>
        <v>0</v>
      </c>
      <c r="T449" s="5">
        <f t="array" ref="T449">MAX(IF((ContinuousStatsTable[GroupByKey]=ContinuousStatsTable[[#This Row],[GroupByKey]]),(ContinuousStatsTable[GroupByKey]=ContinuousStatsTable[[#This Row],[GroupByKey]])*ContinuousStatsTable[Average]))</f>
        <v>0</v>
      </c>
      <c r="U449" s="5">
        <f>IF((ContinuousStatsTable[[#This Row],[RepsRequested]]&gt;1),ContinuousStatsTable[[#This Row],[HalfWidth]],ContinuousStatsTable[[#This Row],[BatchMeansHalfWidth]])</f>
        <v>0</v>
      </c>
    </row>
    <row r="450" spans="1:21" x14ac:dyDescent="0.25">
      <c r="A450" t="s">
        <v>67</v>
      </c>
      <c r="B450" t="s">
        <v>70</v>
      </c>
      <c r="C450">
        <v>10</v>
      </c>
      <c r="D450" t="s">
        <v>95</v>
      </c>
      <c r="E450" t="s">
        <v>84</v>
      </c>
      <c r="F450" t="s">
        <v>85</v>
      </c>
      <c r="G450">
        <v>0</v>
      </c>
      <c r="H450">
        <v>2E+20</v>
      </c>
      <c r="I450">
        <v>0</v>
      </c>
      <c r="J450">
        <v>0</v>
      </c>
      <c r="K450">
        <v>0</v>
      </c>
      <c r="L450">
        <v>0</v>
      </c>
      <c r="M450" s="5" t="str">
        <f>ContinuousStatsTable[[#This Row],[ProjectName]]&amp;ContinuousStatsTable[[#This Row],[Name]]&amp;ContinuousStatsTable[[#This Row],[Type]]&amp;ContinuousStatsTable[[#This Row],[Source]]</f>
        <v>Unnamed Projectseizecleaner.QueueNumber WaitingQueue</v>
      </c>
      <c r="N450" s="5">
        <f t="array" ref="N450">MAX(IF((ProjectInfoTable[ProjectName]=ContinuousStatsTable[[#This Row],[ProjectName]]),(ProjectInfoTable[ProjectName]=ContinuousStatsTable[[#This Row],[ProjectName]])*ProjectInfoTable[NumberOfReplications]))</f>
        <v>15</v>
      </c>
      <c r="O450" s="5">
        <f t="array" ref="O450">IFERROR(AVERAGE(IF((ContinuousStatsTable[GroupByKey]=ContinuousStatsTable[[#This Row],[GroupByKey]]),(ContinuousStatsTable[GroupByKey]=ContinuousStatsTable[[#This Row],[GroupByKey]])*ContinuousStatsTable[Average])),0)</f>
        <v>0</v>
      </c>
      <c r="P450" s="5">
        <f t="array" ref="P450">IFERROR(_xlfn.STDEV.S(IF((ContinuousStatsTable[GroupByKey]=ContinuousStatsTable[[#This Row],[GroupByKey]]),(ContinuousStatsTable[GroupByKey]=ContinuousStatsTable[[#This Row],[GroupByKey]])*ContinuousStatsTable[Average])),0)</f>
        <v>0</v>
      </c>
      <c r="Q450" s="5">
        <f t="array" ref="Q450">MAX(IF((ProjectInfoTable[ProjectName]=ContinuousStatsTable[[#This Row],[ProjectName]]),(ProjectInfoTable[ProjectName]=ContinuousStatsTable[[#This Row],[ProjectName]])*ProjectInfoTable[ConfidenceInterval]))</f>
        <v>0.95</v>
      </c>
      <c r="R4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0" s="5">
        <f t="array" ref="S450">MIN(IF((ContinuousStatsTable[GroupByKey]=ContinuousStatsTable[[#This Row],[GroupByKey]]),(ContinuousStatsTable[GroupByKey]=ContinuousStatsTable[[#This Row],[GroupByKey]])*ContinuousStatsTable[Average]))</f>
        <v>0</v>
      </c>
      <c r="T450" s="5">
        <f t="array" ref="T450">MAX(IF((ContinuousStatsTable[GroupByKey]=ContinuousStatsTable[[#This Row],[GroupByKey]]),(ContinuousStatsTable[GroupByKey]=ContinuousStatsTable[[#This Row],[GroupByKey]])*ContinuousStatsTable[Average]))</f>
        <v>0</v>
      </c>
      <c r="U450" s="5">
        <f>IF((ContinuousStatsTable[[#This Row],[RepsRequested]]&gt;1),ContinuousStatsTable[[#This Row],[HalfWidth]],ContinuousStatsTable[[#This Row],[BatchMeansHalfWidth]])</f>
        <v>0</v>
      </c>
    </row>
    <row r="451" spans="1:21" x14ac:dyDescent="0.25">
      <c r="A451" t="s">
        <v>67</v>
      </c>
      <c r="B451" t="s">
        <v>70</v>
      </c>
      <c r="C451">
        <v>10</v>
      </c>
      <c r="D451" t="s">
        <v>96</v>
      </c>
      <c r="E451" t="s">
        <v>84</v>
      </c>
      <c r="F451" t="s">
        <v>85</v>
      </c>
      <c r="G451">
        <v>0</v>
      </c>
      <c r="H451">
        <v>2E+20</v>
      </c>
      <c r="I451">
        <v>0</v>
      </c>
      <c r="J451">
        <v>0</v>
      </c>
      <c r="K451">
        <v>0</v>
      </c>
      <c r="L451">
        <v>0</v>
      </c>
      <c r="M451" s="5" t="str">
        <f>ContinuousStatsTable[[#This Row],[ProjectName]]&amp;ContinuousStatsTable[[#This Row],[Name]]&amp;ContinuousStatsTable[[#This Row],[Type]]&amp;ContinuousStatsTable[[#This Row],[Source]]</f>
        <v>Unnamed Projectseizepainter.QueueNumber WaitingQueue</v>
      </c>
      <c r="N451" s="5">
        <f t="array" ref="N451">MAX(IF((ProjectInfoTable[ProjectName]=ContinuousStatsTable[[#This Row],[ProjectName]]),(ProjectInfoTable[ProjectName]=ContinuousStatsTable[[#This Row],[ProjectName]])*ProjectInfoTable[NumberOfReplications]))</f>
        <v>15</v>
      </c>
      <c r="O451" s="5">
        <f t="array" ref="O451">IFERROR(AVERAGE(IF((ContinuousStatsTable[GroupByKey]=ContinuousStatsTable[[#This Row],[GroupByKey]]),(ContinuousStatsTable[GroupByKey]=ContinuousStatsTable[[#This Row],[GroupByKey]])*ContinuousStatsTable[Average])),0)</f>
        <v>0</v>
      </c>
      <c r="P451" s="5">
        <f t="array" ref="P451">IFERROR(_xlfn.STDEV.S(IF((ContinuousStatsTable[GroupByKey]=ContinuousStatsTable[[#This Row],[GroupByKey]]),(ContinuousStatsTable[GroupByKey]=ContinuousStatsTable[[#This Row],[GroupByKey]])*ContinuousStatsTable[Average])),0)</f>
        <v>0</v>
      </c>
      <c r="Q451" s="5">
        <f t="array" ref="Q451">MAX(IF((ProjectInfoTable[ProjectName]=ContinuousStatsTable[[#This Row],[ProjectName]]),(ProjectInfoTable[ProjectName]=ContinuousStatsTable[[#This Row],[ProjectName]])*ProjectInfoTable[ConfidenceInterval]))</f>
        <v>0.95</v>
      </c>
      <c r="R4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1" s="5">
        <f t="array" ref="S451">MIN(IF((ContinuousStatsTable[GroupByKey]=ContinuousStatsTable[[#This Row],[GroupByKey]]),(ContinuousStatsTable[GroupByKey]=ContinuousStatsTable[[#This Row],[GroupByKey]])*ContinuousStatsTable[Average]))</f>
        <v>0</v>
      </c>
      <c r="T451" s="5">
        <f t="array" ref="T451">MAX(IF((ContinuousStatsTable[GroupByKey]=ContinuousStatsTable[[#This Row],[GroupByKey]]),(ContinuousStatsTable[GroupByKey]=ContinuousStatsTable[[#This Row],[GroupByKey]])*ContinuousStatsTable[Average]))</f>
        <v>0</v>
      </c>
      <c r="U451" s="5">
        <f>IF((ContinuousStatsTable[[#This Row],[RepsRequested]]&gt;1),ContinuousStatsTable[[#This Row],[HalfWidth]],ContinuousStatsTable[[#This Row],[BatchMeansHalfWidth]])</f>
        <v>0</v>
      </c>
    </row>
    <row r="452" spans="1:21" x14ac:dyDescent="0.25">
      <c r="A452" t="s">
        <v>67</v>
      </c>
      <c r="B452" t="s">
        <v>70</v>
      </c>
      <c r="C452">
        <v>10</v>
      </c>
      <c r="D452" t="s">
        <v>97</v>
      </c>
      <c r="E452" t="s">
        <v>84</v>
      </c>
      <c r="F452" t="s">
        <v>85</v>
      </c>
      <c r="G452">
        <v>0</v>
      </c>
      <c r="H452">
        <v>2E+20</v>
      </c>
      <c r="I452">
        <v>0</v>
      </c>
      <c r="J452">
        <v>0</v>
      </c>
      <c r="K452">
        <v>0</v>
      </c>
      <c r="L452">
        <v>0</v>
      </c>
      <c r="M452" s="5" t="str">
        <f>ContinuousStatsTable[[#This Row],[ProjectName]]&amp;ContinuousStatsTable[[#This Row],[Name]]&amp;ContinuousStatsTable[[#This Row],[Type]]&amp;ContinuousStatsTable[[#This Row],[Source]]</f>
        <v>Unnamed Projectseizeqcman.QueueNumber WaitingQueue</v>
      </c>
      <c r="N452" s="5">
        <f t="array" ref="N452">MAX(IF((ProjectInfoTable[ProjectName]=ContinuousStatsTable[[#This Row],[ProjectName]]),(ProjectInfoTable[ProjectName]=ContinuousStatsTable[[#This Row],[ProjectName]])*ProjectInfoTable[NumberOfReplications]))</f>
        <v>15</v>
      </c>
      <c r="O452" s="5">
        <f t="array" ref="O452">IFERROR(AVERAGE(IF((ContinuousStatsTable[GroupByKey]=ContinuousStatsTable[[#This Row],[GroupByKey]]),(ContinuousStatsTable[GroupByKey]=ContinuousStatsTable[[#This Row],[GroupByKey]])*ContinuousStatsTable[Average])),0)</f>
        <v>0</v>
      </c>
      <c r="P452" s="5">
        <f t="array" ref="P452">IFERROR(_xlfn.STDEV.S(IF((ContinuousStatsTable[GroupByKey]=ContinuousStatsTable[[#This Row],[GroupByKey]]),(ContinuousStatsTable[GroupByKey]=ContinuousStatsTable[[#This Row],[GroupByKey]])*ContinuousStatsTable[Average])),0)</f>
        <v>0</v>
      </c>
      <c r="Q452" s="5">
        <f t="array" ref="Q452">MAX(IF((ProjectInfoTable[ProjectName]=ContinuousStatsTable[[#This Row],[ProjectName]]),(ProjectInfoTable[ProjectName]=ContinuousStatsTable[[#This Row],[ProjectName]])*ProjectInfoTable[ConfidenceInterval]))</f>
        <v>0.95</v>
      </c>
      <c r="R4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2" s="5">
        <f t="array" ref="S452">MIN(IF((ContinuousStatsTable[GroupByKey]=ContinuousStatsTable[[#This Row],[GroupByKey]]),(ContinuousStatsTable[GroupByKey]=ContinuousStatsTable[[#This Row],[GroupByKey]])*ContinuousStatsTable[Average]))</f>
        <v>0</v>
      </c>
      <c r="T452" s="5">
        <f t="array" ref="T452">MAX(IF((ContinuousStatsTable[GroupByKey]=ContinuousStatsTable[[#This Row],[GroupByKey]]),(ContinuousStatsTable[GroupByKey]=ContinuousStatsTable[[#This Row],[GroupByKey]])*ContinuousStatsTable[Average]))</f>
        <v>0</v>
      </c>
      <c r="U452" s="5">
        <f>IF((ContinuousStatsTable[[#This Row],[RepsRequested]]&gt;1),ContinuousStatsTable[[#This Row],[HalfWidth]],ContinuousStatsTable[[#This Row],[BatchMeansHalfWidth]])</f>
        <v>0</v>
      </c>
    </row>
    <row r="453" spans="1:21" x14ac:dyDescent="0.25">
      <c r="A453" t="s">
        <v>67</v>
      </c>
      <c r="B453" t="s">
        <v>70</v>
      </c>
      <c r="C453">
        <v>10</v>
      </c>
      <c r="D453" t="s">
        <v>98</v>
      </c>
      <c r="E453" t="s">
        <v>84</v>
      </c>
      <c r="F453" t="s">
        <v>85</v>
      </c>
      <c r="G453">
        <v>0</v>
      </c>
      <c r="H453">
        <v>2E+20</v>
      </c>
      <c r="I453">
        <v>0</v>
      </c>
      <c r="J453">
        <v>0</v>
      </c>
      <c r="K453">
        <v>0</v>
      </c>
      <c r="L453">
        <v>0</v>
      </c>
      <c r="M453" s="5" t="str">
        <f>ContinuousStatsTable[[#This Row],[ProjectName]]&amp;ContinuousStatsTable[[#This Row],[Name]]&amp;ContinuousStatsTable[[#This Row],[Type]]&amp;ContinuousStatsTable[[#This Row],[Source]]</f>
        <v>Unnamed Projectseizesandblaster.QueueNumber WaitingQueue</v>
      </c>
      <c r="N453" s="5">
        <f t="array" ref="N453">MAX(IF((ProjectInfoTable[ProjectName]=ContinuousStatsTable[[#This Row],[ProjectName]]),(ProjectInfoTable[ProjectName]=ContinuousStatsTable[[#This Row],[ProjectName]])*ProjectInfoTable[NumberOfReplications]))</f>
        <v>15</v>
      </c>
      <c r="O453" s="5">
        <f t="array" ref="O453">IFERROR(AVERAGE(IF((ContinuousStatsTable[GroupByKey]=ContinuousStatsTable[[#This Row],[GroupByKey]]),(ContinuousStatsTable[GroupByKey]=ContinuousStatsTable[[#This Row],[GroupByKey]])*ContinuousStatsTable[Average])),0)</f>
        <v>0</v>
      </c>
      <c r="P453" s="5">
        <f t="array" ref="P453">IFERROR(_xlfn.STDEV.S(IF((ContinuousStatsTable[GroupByKey]=ContinuousStatsTable[[#This Row],[GroupByKey]]),(ContinuousStatsTable[GroupByKey]=ContinuousStatsTable[[#This Row],[GroupByKey]])*ContinuousStatsTable[Average])),0)</f>
        <v>0</v>
      </c>
      <c r="Q453" s="5">
        <f t="array" ref="Q453">MAX(IF((ProjectInfoTable[ProjectName]=ContinuousStatsTable[[#This Row],[ProjectName]]),(ProjectInfoTable[ProjectName]=ContinuousStatsTable[[#This Row],[ProjectName]])*ProjectInfoTable[ConfidenceInterval]))</f>
        <v>0.95</v>
      </c>
      <c r="R4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3" s="5">
        <f t="array" ref="S453">MIN(IF((ContinuousStatsTable[GroupByKey]=ContinuousStatsTable[[#This Row],[GroupByKey]]),(ContinuousStatsTable[GroupByKey]=ContinuousStatsTable[[#This Row],[GroupByKey]])*ContinuousStatsTable[Average]))</f>
        <v>0</v>
      </c>
      <c r="T453" s="5">
        <f t="array" ref="T453">MAX(IF((ContinuousStatsTable[GroupByKey]=ContinuousStatsTable[[#This Row],[GroupByKey]]),(ContinuousStatsTable[GroupByKey]=ContinuousStatsTable[[#This Row],[GroupByKey]])*ContinuousStatsTable[Average]))</f>
        <v>0</v>
      </c>
      <c r="U453" s="5">
        <f>IF((ContinuousStatsTable[[#This Row],[RepsRequested]]&gt;1),ContinuousStatsTable[[#This Row],[HalfWidth]],ContinuousStatsTable[[#This Row],[BatchMeansHalfWidth]])</f>
        <v>0</v>
      </c>
    </row>
    <row r="454" spans="1:21" x14ac:dyDescent="0.25">
      <c r="A454" t="s">
        <v>67</v>
      </c>
      <c r="B454" t="s">
        <v>70</v>
      </c>
      <c r="C454">
        <v>10</v>
      </c>
      <c r="D454" t="s">
        <v>99</v>
      </c>
      <c r="E454" t="s">
        <v>84</v>
      </c>
      <c r="F454" t="s">
        <v>85</v>
      </c>
      <c r="G454">
        <v>0</v>
      </c>
      <c r="H454">
        <v>2E+20</v>
      </c>
      <c r="I454">
        <v>0</v>
      </c>
      <c r="J454">
        <v>0</v>
      </c>
      <c r="K454">
        <v>0</v>
      </c>
      <c r="L454">
        <v>0</v>
      </c>
      <c r="M454" s="5" t="str">
        <f>ContinuousStatsTable[[#This Row],[ProjectName]]&amp;ContinuousStatsTable[[#This Row],[Name]]&amp;ContinuousStatsTable[[#This Row],[Type]]&amp;ContinuousStatsTable[[#This Row],[Source]]</f>
        <v>Unnamed Projectseizewelder.QueueNumber WaitingQueue</v>
      </c>
      <c r="N454" s="5">
        <f t="array" ref="N454">MAX(IF((ProjectInfoTable[ProjectName]=ContinuousStatsTable[[#This Row],[ProjectName]]),(ProjectInfoTable[ProjectName]=ContinuousStatsTable[[#This Row],[ProjectName]])*ProjectInfoTable[NumberOfReplications]))</f>
        <v>15</v>
      </c>
      <c r="O454" s="5">
        <f t="array" ref="O454">IFERROR(AVERAGE(IF((ContinuousStatsTable[GroupByKey]=ContinuousStatsTable[[#This Row],[GroupByKey]]),(ContinuousStatsTable[GroupByKey]=ContinuousStatsTable[[#This Row],[GroupByKey]])*ContinuousStatsTable[Average])),0)</f>
        <v>0</v>
      </c>
      <c r="P454" s="5">
        <f t="array" ref="P454">IFERROR(_xlfn.STDEV.S(IF((ContinuousStatsTable[GroupByKey]=ContinuousStatsTable[[#This Row],[GroupByKey]]),(ContinuousStatsTable[GroupByKey]=ContinuousStatsTable[[#This Row],[GroupByKey]])*ContinuousStatsTable[Average])),0)</f>
        <v>0</v>
      </c>
      <c r="Q454" s="5">
        <f t="array" ref="Q454">MAX(IF((ProjectInfoTable[ProjectName]=ContinuousStatsTable[[#This Row],[ProjectName]]),(ProjectInfoTable[ProjectName]=ContinuousStatsTable[[#This Row],[ProjectName]])*ProjectInfoTable[ConfidenceInterval]))</f>
        <v>0.95</v>
      </c>
      <c r="R4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4" s="5">
        <f t="array" ref="S454">MIN(IF((ContinuousStatsTable[GroupByKey]=ContinuousStatsTable[[#This Row],[GroupByKey]]),(ContinuousStatsTable[GroupByKey]=ContinuousStatsTable[[#This Row],[GroupByKey]])*ContinuousStatsTable[Average]))</f>
        <v>0</v>
      </c>
      <c r="T454" s="5">
        <f t="array" ref="T454">MAX(IF((ContinuousStatsTable[GroupByKey]=ContinuousStatsTable[[#This Row],[GroupByKey]]),(ContinuousStatsTable[GroupByKey]=ContinuousStatsTable[[#This Row],[GroupByKey]])*ContinuousStatsTable[Average]))</f>
        <v>0</v>
      </c>
      <c r="U454" s="5">
        <f>IF((ContinuousStatsTable[[#This Row],[RepsRequested]]&gt;1),ContinuousStatsTable[[#This Row],[HalfWidth]],ContinuousStatsTable[[#This Row],[BatchMeansHalfWidth]])</f>
        <v>0</v>
      </c>
    </row>
    <row r="455" spans="1:21" x14ac:dyDescent="0.25">
      <c r="A455" t="s">
        <v>67</v>
      </c>
      <c r="B455" t="s">
        <v>70</v>
      </c>
      <c r="C455">
        <v>10</v>
      </c>
      <c r="D455" t="s">
        <v>100</v>
      </c>
      <c r="E455" t="s">
        <v>78</v>
      </c>
      <c r="F455" t="s">
        <v>79</v>
      </c>
      <c r="G455">
        <v>16</v>
      </c>
      <c r="H455">
        <v>2E+20</v>
      </c>
      <c r="I455">
        <v>16</v>
      </c>
      <c r="J455">
        <v>16</v>
      </c>
      <c r="K455">
        <v>16</v>
      </c>
      <c r="L455">
        <v>0</v>
      </c>
      <c r="M455" s="5" t="str">
        <f>ContinuousStatsTable[[#This Row],[ProjectName]]&amp;ContinuousStatsTable[[#This Row],[Name]]&amp;ContinuousStatsTable[[#This Row],[Type]]&amp;ContinuousStatsTable[[#This Row],[Source]]</f>
        <v>Unnamed ProjectsteelsheetWIPEntity</v>
      </c>
      <c r="N455" s="5">
        <f t="array" ref="N455">MAX(IF((ProjectInfoTable[ProjectName]=ContinuousStatsTable[[#This Row],[ProjectName]]),(ProjectInfoTable[ProjectName]=ContinuousStatsTable[[#This Row],[ProjectName]])*ProjectInfoTable[NumberOfReplications]))</f>
        <v>15</v>
      </c>
      <c r="O455" s="5">
        <f t="array" ref="O455">IFERROR(AVERAGE(IF((ContinuousStatsTable[GroupByKey]=ContinuousStatsTable[[#This Row],[GroupByKey]]),(ContinuousStatsTable[GroupByKey]=ContinuousStatsTable[[#This Row],[GroupByKey]])*ContinuousStatsTable[Average])),0)</f>
        <v>6.1333333333333337</v>
      </c>
      <c r="P455" s="5">
        <f t="array" ref="P455">IFERROR(_xlfn.STDEV.S(IF((ContinuousStatsTable[GroupByKey]=ContinuousStatsTable[[#This Row],[GroupByKey]]),(ContinuousStatsTable[GroupByKey]=ContinuousStatsTable[[#This Row],[GroupByKey]])*ContinuousStatsTable[Average])),0)</f>
        <v>5.3166405433005028</v>
      </c>
      <c r="Q455" s="5">
        <f t="array" ref="Q455">MAX(IF((ProjectInfoTable[ProjectName]=ContinuousStatsTable[[#This Row],[ProjectName]]),(ProjectInfoTable[ProjectName]=ContinuousStatsTable[[#This Row],[ProjectName]])*ProjectInfoTable[ConfidenceInterval]))</f>
        <v>0.95</v>
      </c>
      <c r="R4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2.944257396015229</v>
      </c>
      <c r="S455" s="5">
        <f t="array" ref="S455">MIN(IF((ContinuousStatsTable[GroupByKey]=ContinuousStatsTable[[#This Row],[GroupByKey]]),(ContinuousStatsTable[GroupByKey]=ContinuousStatsTable[[#This Row],[GroupByKey]])*ContinuousStatsTable[Average]))</f>
        <v>0</v>
      </c>
      <c r="T455" s="5">
        <f t="array" ref="T455">MAX(IF((ContinuousStatsTable[GroupByKey]=ContinuousStatsTable[[#This Row],[GroupByKey]]),(ContinuousStatsTable[GroupByKey]=ContinuousStatsTable[[#This Row],[GroupByKey]])*ContinuousStatsTable[Average]))</f>
        <v>16</v>
      </c>
      <c r="U455" s="5">
        <f>IF((ContinuousStatsTable[[#This Row],[RepsRequested]]&gt;1),ContinuousStatsTable[[#This Row],[HalfWidth]],ContinuousStatsTable[[#This Row],[BatchMeansHalfWidth]])</f>
        <v>2.944257396015229</v>
      </c>
    </row>
    <row r="456" spans="1:21" x14ac:dyDescent="0.25">
      <c r="A456" t="s">
        <v>67</v>
      </c>
      <c r="B456" t="s">
        <v>70</v>
      </c>
      <c r="C456">
        <v>10</v>
      </c>
      <c r="D456" t="s">
        <v>101</v>
      </c>
      <c r="E456" t="s">
        <v>72</v>
      </c>
      <c r="F456" t="s">
        <v>73</v>
      </c>
      <c r="G456">
        <v>0</v>
      </c>
      <c r="H456">
        <v>2E+20</v>
      </c>
      <c r="I456">
        <v>0</v>
      </c>
      <c r="J456">
        <v>0</v>
      </c>
      <c r="K456">
        <v>0</v>
      </c>
      <c r="L456">
        <v>0</v>
      </c>
      <c r="M456" s="5" t="str">
        <f>ContinuousStatsTable[[#This Row],[ProjectName]]&amp;ContinuousStatsTable[[#This Row],[Name]]&amp;ContinuousStatsTable[[#This Row],[Type]]&amp;ContinuousStatsTable[[#This Row],[Source]]</f>
        <v>Unnamed ProjectwelderInstantaneous UtilizationResource</v>
      </c>
      <c r="N456" s="5">
        <f t="array" ref="N456">MAX(IF((ProjectInfoTable[ProjectName]=ContinuousStatsTable[[#This Row],[ProjectName]]),(ProjectInfoTable[ProjectName]=ContinuousStatsTable[[#This Row],[ProjectName]])*ProjectInfoTable[NumberOfReplications]))</f>
        <v>15</v>
      </c>
      <c r="O456" s="5">
        <f t="array" ref="O456">IFERROR(AVERAGE(IF((ContinuousStatsTable[GroupByKey]=ContinuousStatsTable[[#This Row],[GroupByKey]]),(ContinuousStatsTable[GroupByKey]=ContinuousStatsTable[[#This Row],[GroupByKey]])*ContinuousStatsTable[Average])),0)</f>
        <v>0</v>
      </c>
      <c r="P456" s="5">
        <f t="array" ref="P456">IFERROR(_xlfn.STDEV.S(IF((ContinuousStatsTable[GroupByKey]=ContinuousStatsTable[[#This Row],[GroupByKey]]),(ContinuousStatsTable[GroupByKey]=ContinuousStatsTable[[#This Row],[GroupByKey]])*ContinuousStatsTable[Average])),0)</f>
        <v>0</v>
      </c>
      <c r="Q456" s="5">
        <f t="array" ref="Q456">MAX(IF((ProjectInfoTable[ProjectName]=ContinuousStatsTable[[#This Row],[ProjectName]]),(ProjectInfoTable[ProjectName]=ContinuousStatsTable[[#This Row],[ProjectName]])*ProjectInfoTable[ConfidenceInterval]))</f>
        <v>0.95</v>
      </c>
      <c r="R4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6" s="5">
        <f t="array" ref="S456">MIN(IF((ContinuousStatsTable[GroupByKey]=ContinuousStatsTable[[#This Row],[GroupByKey]]),(ContinuousStatsTable[GroupByKey]=ContinuousStatsTable[[#This Row],[GroupByKey]])*ContinuousStatsTable[Average]))</f>
        <v>0</v>
      </c>
      <c r="T456" s="5">
        <f t="array" ref="T456">MAX(IF((ContinuousStatsTable[GroupByKey]=ContinuousStatsTable[[#This Row],[GroupByKey]]),(ContinuousStatsTable[GroupByKey]=ContinuousStatsTable[[#This Row],[GroupByKey]])*ContinuousStatsTable[Average]))</f>
        <v>0</v>
      </c>
      <c r="U456" s="5">
        <f>IF((ContinuousStatsTable[[#This Row],[RepsRequested]]&gt;1),ContinuousStatsTable[[#This Row],[HalfWidth]],ContinuousStatsTable[[#This Row],[BatchMeansHalfWidth]])</f>
        <v>0</v>
      </c>
    </row>
    <row r="457" spans="1:21" x14ac:dyDescent="0.25">
      <c r="A457" t="s">
        <v>67</v>
      </c>
      <c r="B457" t="s">
        <v>70</v>
      </c>
      <c r="C457">
        <v>10</v>
      </c>
      <c r="D457" t="s">
        <v>101</v>
      </c>
      <c r="E457" t="s">
        <v>74</v>
      </c>
      <c r="F457" t="s">
        <v>73</v>
      </c>
      <c r="G457">
        <v>0</v>
      </c>
      <c r="H457">
        <v>2E+20</v>
      </c>
      <c r="I457">
        <v>0</v>
      </c>
      <c r="J457">
        <v>0</v>
      </c>
      <c r="K457">
        <v>0</v>
      </c>
      <c r="L457">
        <v>0</v>
      </c>
      <c r="M457" s="5" t="str">
        <f>ContinuousStatsTable[[#This Row],[ProjectName]]&amp;ContinuousStatsTable[[#This Row],[Name]]&amp;ContinuousStatsTable[[#This Row],[Type]]&amp;ContinuousStatsTable[[#This Row],[Source]]</f>
        <v>Unnamed ProjectwelderNumber BusyResource</v>
      </c>
      <c r="N457" s="5">
        <f t="array" ref="N457">MAX(IF((ProjectInfoTable[ProjectName]=ContinuousStatsTable[[#This Row],[ProjectName]]),(ProjectInfoTable[ProjectName]=ContinuousStatsTable[[#This Row],[ProjectName]])*ProjectInfoTable[NumberOfReplications]))</f>
        <v>15</v>
      </c>
      <c r="O457" s="5">
        <f t="array" ref="O457">IFERROR(AVERAGE(IF((ContinuousStatsTable[GroupByKey]=ContinuousStatsTable[[#This Row],[GroupByKey]]),(ContinuousStatsTable[GroupByKey]=ContinuousStatsTable[[#This Row],[GroupByKey]])*ContinuousStatsTable[Average])),0)</f>
        <v>0</v>
      </c>
      <c r="P457" s="5">
        <f t="array" ref="P457">IFERROR(_xlfn.STDEV.S(IF((ContinuousStatsTable[GroupByKey]=ContinuousStatsTable[[#This Row],[GroupByKey]]),(ContinuousStatsTable[GroupByKey]=ContinuousStatsTable[[#This Row],[GroupByKey]])*ContinuousStatsTable[Average])),0)</f>
        <v>0</v>
      </c>
      <c r="Q457" s="5">
        <f t="array" ref="Q457">MAX(IF((ProjectInfoTable[ProjectName]=ContinuousStatsTable[[#This Row],[ProjectName]]),(ProjectInfoTable[ProjectName]=ContinuousStatsTable[[#This Row],[ProjectName]])*ProjectInfoTable[ConfidenceInterval]))</f>
        <v>0.95</v>
      </c>
      <c r="R4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7" s="5">
        <f t="array" ref="S457">MIN(IF((ContinuousStatsTable[GroupByKey]=ContinuousStatsTable[[#This Row],[GroupByKey]]),(ContinuousStatsTable[GroupByKey]=ContinuousStatsTable[[#This Row],[GroupByKey]])*ContinuousStatsTable[Average]))</f>
        <v>0</v>
      </c>
      <c r="T457" s="5">
        <f t="array" ref="T457">MAX(IF((ContinuousStatsTable[GroupByKey]=ContinuousStatsTable[[#This Row],[GroupByKey]]),(ContinuousStatsTable[GroupByKey]=ContinuousStatsTable[[#This Row],[GroupByKey]])*ContinuousStatsTable[Average]))</f>
        <v>0</v>
      </c>
      <c r="U457" s="5">
        <f>IF((ContinuousStatsTable[[#This Row],[RepsRequested]]&gt;1),ContinuousStatsTable[[#This Row],[HalfWidth]],ContinuousStatsTable[[#This Row],[BatchMeansHalfWidth]])</f>
        <v>0</v>
      </c>
    </row>
    <row r="458" spans="1:21" x14ac:dyDescent="0.25">
      <c r="A458" t="s">
        <v>67</v>
      </c>
      <c r="B458" t="s">
        <v>70</v>
      </c>
      <c r="C458">
        <v>10</v>
      </c>
      <c r="D458" t="s">
        <v>101</v>
      </c>
      <c r="E458" t="s">
        <v>75</v>
      </c>
      <c r="F458" t="s">
        <v>73</v>
      </c>
      <c r="G458">
        <v>1.5834999999999999</v>
      </c>
      <c r="H458">
        <v>3E+20</v>
      </c>
      <c r="I458">
        <v>1</v>
      </c>
      <c r="J458">
        <v>2</v>
      </c>
      <c r="K458">
        <v>2</v>
      </c>
      <c r="L458">
        <v>0</v>
      </c>
      <c r="M458" s="5" t="str">
        <f>ContinuousStatsTable[[#This Row],[ProjectName]]&amp;ContinuousStatsTable[[#This Row],[Name]]&amp;ContinuousStatsTable[[#This Row],[Type]]&amp;ContinuousStatsTable[[#This Row],[Source]]</f>
        <v>Unnamed ProjectwelderNumber ScheduledResource</v>
      </c>
      <c r="N458" s="5">
        <f t="array" ref="N458">MAX(IF((ProjectInfoTable[ProjectName]=ContinuousStatsTable[[#This Row],[ProjectName]]),(ProjectInfoTable[ProjectName]=ContinuousStatsTable[[#This Row],[ProjectName]])*ProjectInfoTable[NumberOfReplications]))</f>
        <v>15</v>
      </c>
      <c r="O458" s="5">
        <f t="array" ref="O458">IFERROR(AVERAGE(IF((ContinuousStatsTable[GroupByKey]=ContinuousStatsTable[[#This Row],[GroupByKey]]),(ContinuousStatsTable[GroupByKey]=ContinuousStatsTable[[#This Row],[GroupByKey]])*ContinuousStatsTable[Average])),0)</f>
        <v>1.5334531146777051</v>
      </c>
      <c r="P458" s="5">
        <f t="array" ref="P458">IFERROR(_xlfn.STDEV.S(IF((ContinuousStatsTable[GroupByKey]=ContinuousStatsTable[[#This Row],[GroupByKey]]),(ContinuousStatsTable[GroupByKey]=ContinuousStatsTable[[#This Row],[GroupByKey]])*ContinuousStatsTable[Average])),0)</f>
        <v>0.24154952363702747</v>
      </c>
      <c r="Q458" s="5">
        <f t="array" ref="Q458">MAX(IF((ProjectInfoTable[ProjectName]=ContinuousStatsTable[[#This Row],[ProjectName]]),(ProjectInfoTable[ProjectName]=ContinuousStatsTable[[#This Row],[ProjectName]])*ProjectInfoTable[ConfidenceInterval]))</f>
        <v>0.95</v>
      </c>
      <c r="R4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0.13376566756397254</v>
      </c>
      <c r="S458" s="5">
        <f t="array" ref="S458">MIN(IF((ContinuousStatsTable[GroupByKey]=ContinuousStatsTable[[#This Row],[GroupByKey]]),(ContinuousStatsTable[GroupByKey]=ContinuousStatsTable[[#This Row],[GroupByKey]])*ContinuousStatsTable[Average]))</f>
        <v>1</v>
      </c>
      <c r="T458" s="5">
        <f t="array" ref="T458">MAX(IF((ContinuousStatsTable[GroupByKey]=ContinuousStatsTable[[#This Row],[GroupByKey]]),(ContinuousStatsTable[GroupByKey]=ContinuousStatsTable[[#This Row],[GroupByKey]])*ContinuousStatsTable[Average]))</f>
        <v>2</v>
      </c>
      <c r="U458" s="5">
        <f>IF((ContinuousStatsTable[[#This Row],[RepsRequested]]&gt;1),ContinuousStatsTable[[#This Row],[HalfWidth]],ContinuousStatsTable[[#This Row],[BatchMeansHalfWidth]])</f>
        <v>0.13376566756397254</v>
      </c>
    </row>
    <row r="459" spans="1:21" x14ac:dyDescent="0.25">
      <c r="A459" t="s">
        <v>67</v>
      </c>
      <c r="B459" t="s">
        <v>70</v>
      </c>
      <c r="C459">
        <v>10</v>
      </c>
      <c r="D459" t="s">
        <v>102</v>
      </c>
      <c r="E459" t="s">
        <v>72</v>
      </c>
      <c r="F459" t="s">
        <v>73</v>
      </c>
      <c r="G459">
        <v>0</v>
      </c>
      <c r="H459">
        <v>2E+20</v>
      </c>
      <c r="I459">
        <v>0</v>
      </c>
      <c r="J459">
        <v>0</v>
      </c>
      <c r="K459">
        <v>0</v>
      </c>
      <c r="L459">
        <v>0</v>
      </c>
      <c r="M459" s="5" t="str">
        <f>ContinuousStatsTable[[#This Row],[ProjectName]]&amp;ContinuousStatsTable[[#This Row],[Name]]&amp;ContinuousStatsTable[[#This Row],[Type]]&amp;ContinuousStatsTable[[#This Row],[Source]]</f>
        <v>Unnamed ProjectweldingqcworkerInstantaneous UtilizationResource</v>
      </c>
      <c r="N459" s="5">
        <f t="array" ref="N459">MAX(IF((ProjectInfoTable[ProjectName]=ContinuousStatsTable[[#This Row],[ProjectName]]),(ProjectInfoTable[ProjectName]=ContinuousStatsTable[[#This Row],[ProjectName]])*ProjectInfoTable[NumberOfReplications]))</f>
        <v>15</v>
      </c>
      <c r="O459" s="5">
        <f t="array" ref="O459">IFERROR(AVERAGE(IF((ContinuousStatsTable[GroupByKey]=ContinuousStatsTable[[#This Row],[GroupByKey]]),(ContinuousStatsTable[GroupByKey]=ContinuousStatsTable[[#This Row],[GroupByKey]])*ContinuousStatsTable[Average])),0)</f>
        <v>0</v>
      </c>
      <c r="P459" s="5">
        <f t="array" ref="P459">IFERROR(_xlfn.STDEV.S(IF((ContinuousStatsTable[GroupByKey]=ContinuousStatsTable[[#This Row],[GroupByKey]]),(ContinuousStatsTable[GroupByKey]=ContinuousStatsTable[[#This Row],[GroupByKey]])*ContinuousStatsTable[Average])),0)</f>
        <v>0</v>
      </c>
      <c r="Q459" s="5">
        <f t="array" ref="Q459">MAX(IF((ProjectInfoTable[ProjectName]=ContinuousStatsTable[[#This Row],[ProjectName]]),(ProjectInfoTable[ProjectName]=ContinuousStatsTable[[#This Row],[ProjectName]])*ProjectInfoTable[ConfidenceInterval]))</f>
        <v>0.95</v>
      </c>
      <c r="R4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9" s="5">
        <f t="array" ref="S459">MIN(IF((ContinuousStatsTable[GroupByKey]=ContinuousStatsTable[[#This Row],[GroupByKey]]),(ContinuousStatsTable[GroupByKey]=ContinuousStatsTable[[#This Row],[GroupByKey]])*ContinuousStatsTable[Average]))</f>
        <v>0</v>
      </c>
      <c r="T459" s="5">
        <f t="array" ref="T459">MAX(IF((ContinuousStatsTable[GroupByKey]=ContinuousStatsTable[[#This Row],[GroupByKey]]),(ContinuousStatsTable[GroupByKey]=ContinuousStatsTable[[#This Row],[GroupByKey]])*ContinuousStatsTable[Average]))</f>
        <v>0</v>
      </c>
      <c r="U459" s="5">
        <f>IF((ContinuousStatsTable[[#This Row],[RepsRequested]]&gt;1),ContinuousStatsTable[[#This Row],[HalfWidth]],ContinuousStatsTable[[#This Row],[BatchMeansHalfWidth]])</f>
        <v>0</v>
      </c>
    </row>
    <row r="460" spans="1:21" x14ac:dyDescent="0.25">
      <c r="A460" t="s">
        <v>67</v>
      </c>
      <c r="B460" t="s">
        <v>70</v>
      </c>
      <c r="C460">
        <v>10</v>
      </c>
      <c r="D460" t="s">
        <v>102</v>
      </c>
      <c r="E460" t="s">
        <v>74</v>
      </c>
      <c r="F460" t="s">
        <v>73</v>
      </c>
      <c r="G460">
        <v>0</v>
      </c>
      <c r="H460">
        <v>2E+20</v>
      </c>
      <c r="I460">
        <v>0</v>
      </c>
      <c r="J460">
        <v>0</v>
      </c>
      <c r="K460">
        <v>0</v>
      </c>
      <c r="L460">
        <v>0</v>
      </c>
      <c r="M460" s="5" t="str">
        <f>ContinuousStatsTable[[#This Row],[ProjectName]]&amp;ContinuousStatsTable[[#This Row],[Name]]&amp;ContinuousStatsTable[[#This Row],[Type]]&amp;ContinuousStatsTable[[#This Row],[Source]]</f>
        <v>Unnamed ProjectweldingqcworkerNumber BusyResource</v>
      </c>
      <c r="N460" s="5">
        <f t="array" ref="N460">MAX(IF((ProjectInfoTable[ProjectName]=ContinuousStatsTable[[#This Row],[ProjectName]]),(ProjectInfoTable[ProjectName]=ContinuousStatsTable[[#This Row],[ProjectName]])*ProjectInfoTable[NumberOfReplications]))</f>
        <v>15</v>
      </c>
      <c r="O460" s="5">
        <f t="array" ref="O460">IFERROR(AVERAGE(IF((ContinuousStatsTable[GroupByKey]=ContinuousStatsTable[[#This Row],[GroupByKey]]),(ContinuousStatsTable[GroupByKey]=ContinuousStatsTable[[#This Row],[GroupByKey]])*ContinuousStatsTable[Average])),0)</f>
        <v>0</v>
      </c>
      <c r="P460" s="5">
        <f t="array" ref="P460">IFERROR(_xlfn.STDEV.S(IF((ContinuousStatsTable[GroupByKey]=ContinuousStatsTable[[#This Row],[GroupByKey]]),(ContinuousStatsTable[GroupByKey]=ContinuousStatsTable[[#This Row],[GroupByKey]])*ContinuousStatsTable[Average])),0)</f>
        <v>0</v>
      </c>
      <c r="Q460" s="5">
        <f t="array" ref="Q460">MAX(IF((ProjectInfoTable[ProjectName]=ContinuousStatsTable[[#This Row],[ProjectName]]),(ProjectInfoTable[ProjectName]=ContinuousStatsTable[[#This Row],[ProjectName]])*ProjectInfoTable[ConfidenceInterval]))</f>
        <v>0.95</v>
      </c>
      <c r="R4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0" s="5">
        <f t="array" ref="S460">MIN(IF((ContinuousStatsTable[GroupByKey]=ContinuousStatsTable[[#This Row],[GroupByKey]]),(ContinuousStatsTable[GroupByKey]=ContinuousStatsTable[[#This Row],[GroupByKey]])*ContinuousStatsTable[Average]))</f>
        <v>0</v>
      </c>
      <c r="T460" s="5">
        <f t="array" ref="T460">MAX(IF((ContinuousStatsTable[GroupByKey]=ContinuousStatsTable[[#This Row],[GroupByKey]]),(ContinuousStatsTable[GroupByKey]=ContinuousStatsTable[[#This Row],[GroupByKey]])*ContinuousStatsTable[Average]))</f>
        <v>0</v>
      </c>
      <c r="U460" s="5">
        <f>IF((ContinuousStatsTable[[#This Row],[RepsRequested]]&gt;1),ContinuousStatsTable[[#This Row],[HalfWidth]],ContinuousStatsTable[[#This Row],[BatchMeansHalfWidth]])</f>
        <v>0</v>
      </c>
    </row>
    <row r="461" spans="1:21" x14ac:dyDescent="0.25">
      <c r="A461" t="s">
        <v>67</v>
      </c>
      <c r="B461" t="s">
        <v>70</v>
      </c>
      <c r="C461">
        <v>10</v>
      </c>
      <c r="D461" t="s">
        <v>102</v>
      </c>
      <c r="E461" t="s">
        <v>75</v>
      </c>
      <c r="F461" t="s">
        <v>73</v>
      </c>
      <c r="G461">
        <v>1.5834988798243499</v>
      </c>
      <c r="H461">
        <v>3E+20</v>
      </c>
      <c r="I461">
        <v>1</v>
      </c>
      <c r="J461">
        <v>2</v>
      </c>
      <c r="K461">
        <v>2</v>
      </c>
      <c r="L461">
        <v>0</v>
      </c>
      <c r="M461" s="5" t="str">
        <f>ContinuousStatsTable[[#This Row],[ProjectName]]&amp;ContinuousStatsTable[[#This Row],[Name]]&amp;ContinuousStatsTable[[#This Row],[Type]]&amp;ContinuousStatsTable[[#This Row],[Source]]</f>
        <v>Unnamed ProjectweldingqcworkerNumber ScheduledResource</v>
      </c>
      <c r="N461" s="5">
        <f t="array" ref="N461">MAX(IF((ProjectInfoTable[ProjectName]=ContinuousStatsTable[[#This Row],[ProjectName]]),(ProjectInfoTable[ProjectName]=ContinuousStatsTable[[#This Row],[ProjectName]])*ProjectInfoTable[NumberOfReplications]))</f>
        <v>15</v>
      </c>
      <c r="O461" s="5">
        <f t="array" ref="O461">IFERROR(AVERAGE(IF((ContinuousStatsTable[GroupByKey]=ContinuousStatsTable[[#This Row],[GroupByKey]]),(ContinuousStatsTable[GroupByKey]=ContinuousStatsTable[[#This Row],[GroupByKey]])*ContinuousStatsTable[Average])),0)</f>
        <v>1.5334635492504263</v>
      </c>
      <c r="P461" s="5">
        <f t="array" ref="P461">IFERROR(_xlfn.STDEV.S(IF((ContinuousStatsTable[GroupByKey]=ContinuousStatsTable[[#This Row],[GroupByKey]]),(ContinuousStatsTable[GroupByKey]=ContinuousStatsTable[[#This Row],[GroupByKey]])*ContinuousStatsTable[Average])),0)</f>
        <v>0.24155183649982462</v>
      </c>
      <c r="Q461" s="5">
        <f t="array" ref="Q461">MAX(IF((ProjectInfoTable[ProjectName]=ContinuousStatsTable[[#This Row],[ProjectName]]),(ProjectInfoTable[ProjectName]=ContinuousStatsTable[[#This Row],[ProjectName]])*ProjectInfoTable[ConfidenceInterval]))</f>
        <v>0.95</v>
      </c>
      <c r="R4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0.1337669483846978</v>
      </c>
      <c r="S461" s="5">
        <f t="array" ref="S461">MIN(IF((ContinuousStatsTable[GroupByKey]=ContinuousStatsTable[[#This Row],[GroupByKey]]),(ContinuousStatsTable[GroupByKey]=ContinuousStatsTable[[#This Row],[GroupByKey]])*ContinuousStatsTable[Average]))</f>
        <v>1</v>
      </c>
      <c r="T461" s="5">
        <f t="array" ref="T461">MAX(IF((ContinuousStatsTable[GroupByKey]=ContinuousStatsTable[[#This Row],[GroupByKey]]),(ContinuousStatsTable[GroupByKey]=ContinuousStatsTable[[#This Row],[GroupByKey]])*ContinuousStatsTable[Average]))</f>
        <v>2</v>
      </c>
      <c r="U461" s="5">
        <f>IF((ContinuousStatsTable[[#This Row],[RepsRequested]]&gt;1),ContinuousStatsTable[[#This Row],[HalfWidth]],ContinuousStatsTable[[#This Row],[BatchMeansHalfWidth]])</f>
        <v>0.1337669483846978</v>
      </c>
    </row>
    <row r="462" spans="1:21" x14ac:dyDescent="0.25">
      <c r="A462" t="s">
        <v>67</v>
      </c>
      <c r="B462" t="s">
        <v>70</v>
      </c>
      <c r="C462">
        <v>11</v>
      </c>
      <c r="D462" t="s">
        <v>71</v>
      </c>
      <c r="E462" t="s">
        <v>72</v>
      </c>
      <c r="F462" t="s">
        <v>73</v>
      </c>
      <c r="G462">
        <v>0</v>
      </c>
      <c r="H462">
        <v>2E+20</v>
      </c>
      <c r="I462">
        <v>0</v>
      </c>
      <c r="J462">
        <v>0</v>
      </c>
      <c r="K462">
        <v>0</v>
      </c>
      <c r="L462">
        <v>0</v>
      </c>
      <c r="M462" s="5" t="str">
        <f>ContinuousStatsTable[[#This Row],[ProjectName]]&amp;ContinuousStatsTable[[#This Row],[Name]]&amp;ContinuousStatsTable[[#This Row],[Type]]&amp;ContinuousStatsTable[[#This Row],[Source]]</f>
        <v>Unnamed ProjectassemblerInstantaneous UtilizationResource</v>
      </c>
      <c r="N462" s="5">
        <f t="array" ref="N462">MAX(IF((ProjectInfoTable[ProjectName]=ContinuousStatsTable[[#This Row],[ProjectName]]),(ProjectInfoTable[ProjectName]=ContinuousStatsTable[[#This Row],[ProjectName]])*ProjectInfoTable[NumberOfReplications]))</f>
        <v>15</v>
      </c>
      <c r="O462" s="5">
        <f t="array" ref="O462">IFERROR(AVERAGE(IF((ContinuousStatsTable[GroupByKey]=ContinuousStatsTable[[#This Row],[GroupByKey]]),(ContinuousStatsTable[GroupByKey]=ContinuousStatsTable[[#This Row],[GroupByKey]])*ContinuousStatsTable[Average])),0)</f>
        <v>0</v>
      </c>
      <c r="P462" s="5">
        <f t="array" ref="P462">IFERROR(_xlfn.STDEV.S(IF((ContinuousStatsTable[GroupByKey]=ContinuousStatsTable[[#This Row],[GroupByKey]]),(ContinuousStatsTable[GroupByKey]=ContinuousStatsTable[[#This Row],[GroupByKey]])*ContinuousStatsTable[Average])),0)</f>
        <v>0</v>
      </c>
      <c r="Q462" s="5">
        <f t="array" ref="Q462">MAX(IF((ProjectInfoTable[ProjectName]=ContinuousStatsTable[[#This Row],[ProjectName]]),(ProjectInfoTable[ProjectName]=ContinuousStatsTable[[#This Row],[ProjectName]])*ProjectInfoTable[ConfidenceInterval]))</f>
        <v>0.95</v>
      </c>
      <c r="R4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2" s="5">
        <f t="array" ref="S462">MIN(IF((ContinuousStatsTable[GroupByKey]=ContinuousStatsTable[[#This Row],[GroupByKey]]),(ContinuousStatsTable[GroupByKey]=ContinuousStatsTable[[#This Row],[GroupByKey]])*ContinuousStatsTable[Average]))</f>
        <v>0</v>
      </c>
      <c r="T462" s="5">
        <f t="array" ref="T462">MAX(IF((ContinuousStatsTable[GroupByKey]=ContinuousStatsTable[[#This Row],[GroupByKey]]),(ContinuousStatsTable[GroupByKey]=ContinuousStatsTable[[#This Row],[GroupByKey]])*ContinuousStatsTable[Average]))</f>
        <v>0</v>
      </c>
      <c r="U462" s="5">
        <f>IF((ContinuousStatsTable[[#This Row],[RepsRequested]]&gt;1),ContinuousStatsTable[[#This Row],[HalfWidth]],ContinuousStatsTable[[#This Row],[BatchMeansHalfWidth]])</f>
        <v>0</v>
      </c>
    </row>
    <row r="463" spans="1:21" x14ac:dyDescent="0.25">
      <c r="A463" t="s">
        <v>67</v>
      </c>
      <c r="B463" t="s">
        <v>70</v>
      </c>
      <c r="C463">
        <v>11</v>
      </c>
      <c r="D463" t="s">
        <v>71</v>
      </c>
      <c r="E463" t="s">
        <v>74</v>
      </c>
      <c r="F463" t="s">
        <v>73</v>
      </c>
      <c r="G463">
        <v>0</v>
      </c>
      <c r="H463">
        <v>2E+20</v>
      </c>
      <c r="I463">
        <v>0</v>
      </c>
      <c r="J463">
        <v>0</v>
      </c>
      <c r="K463">
        <v>0</v>
      </c>
      <c r="L463">
        <v>0</v>
      </c>
      <c r="M463" s="5" t="str">
        <f>ContinuousStatsTable[[#This Row],[ProjectName]]&amp;ContinuousStatsTable[[#This Row],[Name]]&amp;ContinuousStatsTable[[#This Row],[Type]]&amp;ContinuousStatsTable[[#This Row],[Source]]</f>
        <v>Unnamed ProjectassemblerNumber BusyResource</v>
      </c>
      <c r="N463" s="5">
        <f t="array" ref="N463">MAX(IF((ProjectInfoTable[ProjectName]=ContinuousStatsTable[[#This Row],[ProjectName]]),(ProjectInfoTable[ProjectName]=ContinuousStatsTable[[#This Row],[ProjectName]])*ProjectInfoTable[NumberOfReplications]))</f>
        <v>15</v>
      </c>
      <c r="O463" s="5">
        <f t="array" ref="O463">IFERROR(AVERAGE(IF((ContinuousStatsTable[GroupByKey]=ContinuousStatsTable[[#This Row],[GroupByKey]]),(ContinuousStatsTable[GroupByKey]=ContinuousStatsTable[[#This Row],[GroupByKey]])*ContinuousStatsTable[Average])),0)</f>
        <v>0</v>
      </c>
      <c r="P463" s="5">
        <f t="array" ref="P463">IFERROR(_xlfn.STDEV.S(IF((ContinuousStatsTable[GroupByKey]=ContinuousStatsTable[[#This Row],[GroupByKey]]),(ContinuousStatsTable[GroupByKey]=ContinuousStatsTable[[#This Row],[GroupByKey]])*ContinuousStatsTable[Average])),0)</f>
        <v>0</v>
      </c>
      <c r="Q463" s="5">
        <f t="array" ref="Q463">MAX(IF((ProjectInfoTable[ProjectName]=ContinuousStatsTable[[#This Row],[ProjectName]]),(ProjectInfoTable[ProjectName]=ContinuousStatsTable[[#This Row],[ProjectName]])*ProjectInfoTable[ConfidenceInterval]))</f>
        <v>0.95</v>
      </c>
      <c r="R4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3" s="5">
        <f t="array" ref="S463">MIN(IF((ContinuousStatsTable[GroupByKey]=ContinuousStatsTable[[#This Row],[GroupByKey]]),(ContinuousStatsTable[GroupByKey]=ContinuousStatsTable[[#This Row],[GroupByKey]])*ContinuousStatsTable[Average]))</f>
        <v>0</v>
      </c>
      <c r="T463" s="5">
        <f t="array" ref="T463">MAX(IF((ContinuousStatsTable[GroupByKey]=ContinuousStatsTable[[#This Row],[GroupByKey]]),(ContinuousStatsTable[GroupByKey]=ContinuousStatsTable[[#This Row],[GroupByKey]])*ContinuousStatsTable[Average]))</f>
        <v>0</v>
      </c>
      <c r="U463" s="5">
        <f>IF((ContinuousStatsTable[[#This Row],[RepsRequested]]&gt;1),ContinuousStatsTable[[#This Row],[HalfWidth]],ContinuousStatsTable[[#This Row],[BatchMeansHalfWidth]])</f>
        <v>0</v>
      </c>
    </row>
    <row r="464" spans="1:21" x14ac:dyDescent="0.25">
      <c r="A464" t="s">
        <v>67</v>
      </c>
      <c r="B464" t="s">
        <v>70</v>
      </c>
      <c r="C464">
        <v>11</v>
      </c>
      <c r="D464" t="s">
        <v>71</v>
      </c>
      <c r="E464" t="s">
        <v>75</v>
      </c>
      <c r="F464" t="s">
        <v>73</v>
      </c>
      <c r="G464">
        <v>1.5834135420300199</v>
      </c>
      <c r="H464">
        <v>3E+20</v>
      </c>
      <c r="I464">
        <v>1</v>
      </c>
      <c r="J464">
        <v>2</v>
      </c>
      <c r="K464">
        <v>2</v>
      </c>
      <c r="L464">
        <v>0</v>
      </c>
      <c r="M464" s="5" t="str">
        <f>ContinuousStatsTable[[#This Row],[ProjectName]]&amp;ContinuousStatsTable[[#This Row],[Name]]&amp;ContinuousStatsTable[[#This Row],[Type]]&amp;ContinuousStatsTable[[#This Row],[Source]]</f>
        <v>Unnamed ProjectassemblerNumber ScheduledResource</v>
      </c>
      <c r="N464" s="5">
        <f t="array" ref="N464">MAX(IF((ProjectInfoTable[ProjectName]=ContinuousStatsTable[[#This Row],[ProjectName]]),(ProjectInfoTable[ProjectName]=ContinuousStatsTable[[#This Row],[ProjectName]])*ProjectInfoTable[NumberOfReplications]))</f>
        <v>15</v>
      </c>
      <c r="O464" s="5">
        <f t="array" ref="O464">IFERROR(AVERAGE(IF((ContinuousStatsTable[GroupByKey]=ContinuousStatsTable[[#This Row],[GroupByKey]]),(ContinuousStatsTable[GroupByKey]=ContinuousStatsTable[[#This Row],[GroupByKey]])*ContinuousStatsTable[Average])),0)</f>
        <v>1.5333142680768803</v>
      </c>
      <c r="P464" s="5">
        <f t="array" ref="P464">IFERROR(_xlfn.STDEV.S(IF((ContinuousStatsTable[GroupByKey]=ContinuousStatsTable[[#This Row],[GroupByKey]]),(ContinuousStatsTable[GroupByKey]=ContinuousStatsTable[[#This Row],[GroupByKey]])*ContinuousStatsTable[Average])),0)</f>
        <v>0.24151891999367611</v>
      </c>
      <c r="Q464" s="5">
        <f t="array" ref="Q464">MAX(IF((ProjectInfoTable[ProjectName]=ContinuousStatsTable[[#This Row],[ProjectName]]),(ProjectInfoTable[ProjectName]=ContinuousStatsTable[[#This Row],[ProjectName]])*ProjectInfoTable[ConfidenceInterval]))</f>
        <v>0.95</v>
      </c>
      <c r="R4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0.13374871983117992</v>
      </c>
      <c r="S464" s="5">
        <f t="array" ref="S464">MIN(IF((ContinuousStatsTable[GroupByKey]=ContinuousStatsTable[[#This Row],[GroupByKey]]),(ContinuousStatsTable[GroupByKey]=ContinuousStatsTable[[#This Row],[GroupByKey]])*ContinuousStatsTable[Average]))</f>
        <v>1</v>
      </c>
      <c r="T464" s="5">
        <f t="array" ref="T464">MAX(IF((ContinuousStatsTable[GroupByKey]=ContinuousStatsTable[[#This Row],[GroupByKey]]),(ContinuousStatsTable[GroupByKey]=ContinuousStatsTable[[#This Row],[GroupByKey]])*ContinuousStatsTable[Average]))</f>
        <v>2</v>
      </c>
      <c r="U464" s="5">
        <f>IF((ContinuousStatsTable[[#This Row],[RepsRequested]]&gt;1),ContinuousStatsTable[[#This Row],[HalfWidth]],ContinuousStatsTable[[#This Row],[BatchMeansHalfWidth]])</f>
        <v>0.13374871983117992</v>
      </c>
    </row>
    <row r="465" spans="1:21" x14ac:dyDescent="0.25">
      <c r="A465" t="s">
        <v>67</v>
      </c>
      <c r="B465" t="s">
        <v>70</v>
      </c>
      <c r="C465">
        <v>11</v>
      </c>
      <c r="D465" t="s">
        <v>76</v>
      </c>
      <c r="E465" t="s">
        <v>72</v>
      </c>
      <c r="F465" t="s">
        <v>73</v>
      </c>
      <c r="G465">
        <v>0</v>
      </c>
      <c r="H465">
        <v>2E+20</v>
      </c>
      <c r="I465">
        <v>0</v>
      </c>
      <c r="J465">
        <v>0</v>
      </c>
      <c r="K465">
        <v>0</v>
      </c>
      <c r="L465">
        <v>0</v>
      </c>
      <c r="M465" s="5" t="str">
        <f>ContinuousStatsTable[[#This Row],[ProjectName]]&amp;ContinuousStatsTable[[#This Row],[Name]]&amp;ContinuousStatsTable[[#This Row],[Type]]&amp;ContinuousStatsTable[[#This Row],[Source]]</f>
        <v>Unnamed ProjectassemblyqcworkerInstantaneous UtilizationResource</v>
      </c>
      <c r="N465" s="5">
        <f t="array" ref="N465">MAX(IF((ProjectInfoTable[ProjectName]=ContinuousStatsTable[[#This Row],[ProjectName]]),(ProjectInfoTable[ProjectName]=ContinuousStatsTable[[#This Row],[ProjectName]])*ProjectInfoTable[NumberOfReplications]))</f>
        <v>15</v>
      </c>
      <c r="O465" s="5">
        <f t="array" ref="O465">IFERROR(AVERAGE(IF((ContinuousStatsTable[GroupByKey]=ContinuousStatsTable[[#This Row],[GroupByKey]]),(ContinuousStatsTable[GroupByKey]=ContinuousStatsTable[[#This Row],[GroupByKey]])*ContinuousStatsTable[Average])),0)</f>
        <v>0</v>
      </c>
      <c r="P465" s="5">
        <f t="array" ref="P465">IFERROR(_xlfn.STDEV.S(IF((ContinuousStatsTable[GroupByKey]=ContinuousStatsTable[[#This Row],[GroupByKey]]),(ContinuousStatsTable[GroupByKey]=ContinuousStatsTable[[#This Row],[GroupByKey]])*ContinuousStatsTable[Average])),0)</f>
        <v>0</v>
      </c>
      <c r="Q465" s="5">
        <f t="array" ref="Q465">MAX(IF((ProjectInfoTable[ProjectName]=ContinuousStatsTable[[#This Row],[ProjectName]]),(ProjectInfoTable[ProjectName]=ContinuousStatsTable[[#This Row],[ProjectName]])*ProjectInfoTable[ConfidenceInterval]))</f>
        <v>0.95</v>
      </c>
      <c r="R4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5" s="5">
        <f t="array" ref="S465">MIN(IF((ContinuousStatsTable[GroupByKey]=ContinuousStatsTable[[#This Row],[GroupByKey]]),(ContinuousStatsTable[GroupByKey]=ContinuousStatsTable[[#This Row],[GroupByKey]])*ContinuousStatsTable[Average]))</f>
        <v>0</v>
      </c>
      <c r="T465" s="5">
        <f t="array" ref="T465">MAX(IF((ContinuousStatsTable[GroupByKey]=ContinuousStatsTable[[#This Row],[GroupByKey]]),(ContinuousStatsTable[GroupByKey]=ContinuousStatsTable[[#This Row],[GroupByKey]])*ContinuousStatsTable[Average]))</f>
        <v>0</v>
      </c>
      <c r="U465" s="5">
        <f>IF((ContinuousStatsTable[[#This Row],[RepsRequested]]&gt;1),ContinuousStatsTable[[#This Row],[HalfWidth]],ContinuousStatsTable[[#This Row],[BatchMeansHalfWidth]])</f>
        <v>0</v>
      </c>
    </row>
    <row r="466" spans="1:21" x14ac:dyDescent="0.25">
      <c r="A466" t="s">
        <v>67</v>
      </c>
      <c r="B466" t="s">
        <v>70</v>
      </c>
      <c r="C466">
        <v>11</v>
      </c>
      <c r="D466" t="s">
        <v>76</v>
      </c>
      <c r="E466" t="s">
        <v>74</v>
      </c>
      <c r="F466" t="s">
        <v>73</v>
      </c>
      <c r="G466">
        <v>0</v>
      </c>
      <c r="H466">
        <v>2E+20</v>
      </c>
      <c r="I466">
        <v>0</v>
      </c>
      <c r="J466">
        <v>0</v>
      </c>
      <c r="K466">
        <v>0</v>
      </c>
      <c r="L466">
        <v>0</v>
      </c>
      <c r="M466" s="5" t="str">
        <f>ContinuousStatsTable[[#This Row],[ProjectName]]&amp;ContinuousStatsTable[[#This Row],[Name]]&amp;ContinuousStatsTable[[#This Row],[Type]]&amp;ContinuousStatsTable[[#This Row],[Source]]</f>
        <v>Unnamed ProjectassemblyqcworkerNumber BusyResource</v>
      </c>
      <c r="N466" s="5">
        <f t="array" ref="N466">MAX(IF((ProjectInfoTable[ProjectName]=ContinuousStatsTable[[#This Row],[ProjectName]]),(ProjectInfoTable[ProjectName]=ContinuousStatsTable[[#This Row],[ProjectName]])*ProjectInfoTable[NumberOfReplications]))</f>
        <v>15</v>
      </c>
      <c r="O466" s="5">
        <f t="array" ref="O466">IFERROR(AVERAGE(IF((ContinuousStatsTable[GroupByKey]=ContinuousStatsTable[[#This Row],[GroupByKey]]),(ContinuousStatsTable[GroupByKey]=ContinuousStatsTable[[#This Row],[GroupByKey]])*ContinuousStatsTable[Average])),0)</f>
        <v>0</v>
      </c>
      <c r="P466" s="5">
        <f t="array" ref="P466">IFERROR(_xlfn.STDEV.S(IF((ContinuousStatsTable[GroupByKey]=ContinuousStatsTable[[#This Row],[GroupByKey]]),(ContinuousStatsTable[GroupByKey]=ContinuousStatsTable[[#This Row],[GroupByKey]])*ContinuousStatsTable[Average])),0)</f>
        <v>0</v>
      </c>
      <c r="Q466" s="5">
        <f t="array" ref="Q466">MAX(IF((ProjectInfoTable[ProjectName]=ContinuousStatsTable[[#This Row],[ProjectName]]),(ProjectInfoTable[ProjectName]=ContinuousStatsTable[[#This Row],[ProjectName]])*ProjectInfoTable[ConfidenceInterval]))</f>
        <v>0.95</v>
      </c>
      <c r="R4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6" s="5">
        <f t="array" ref="S466">MIN(IF((ContinuousStatsTable[GroupByKey]=ContinuousStatsTable[[#This Row],[GroupByKey]]),(ContinuousStatsTable[GroupByKey]=ContinuousStatsTable[[#This Row],[GroupByKey]])*ContinuousStatsTable[Average]))</f>
        <v>0</v>
      </c>
      <c r="T466" s="5">
        <f t="array" ref="T466">MAX(IF((ContinuousStatsTable[GroupByKey]=ContinuousStatsTable[[#This Row],[GroupByKey]]),(ContinuousStatsTable[GroupByKey]=ContinuousStatsTable[[#This Row],[GroupByKey]])*ContinuousStatsTable[Average]))</f>
        <v>0</v>
      </c>
      <c r="U466" s="5">
        <f>IF((ContinuousStatsTable[[#This Row],[RepsRequested]]&gt;1),ContinuousStatsTable[[#This Row],[HalfWidth]],ContinuousStatsTable[[#This Row],[BatchMeansHalfWidth]])</f>
        <v>0</v>
      </c>
    </row>
    <row r="467" spans="1:21" x14ac:dyDescent="0.25">
      <c r="A467" t="s">
        <v>67</v>
      </c>
      <c r="B467" t="s">
        <v>70</v>
      </c>
      <c r="C467">
        <v>11</v>
      </c>
      <c r="D467" t="s">
        <v>76</v>
      </c>
      <c r="E467" t="s">
        <v>75</v>
      </c>
      <c r="F467" t="s">
        <v>73</v>
      </c>
      <c r="G467">
        <v>1.5834999999999999</v>
      </c>
      <c r="H467">
        <v>3E+20</v>
      </c>
      <c r="I467">
        <v>1</v>
      </c>
      <c r="J467">
        <v>2</v>
      </c>
      <c r="K467">
        <v>2</v>
      </c>
      <c r="L467">
        <v>0</v>
      </c>
      <c r="M467" s="5" t="str">
        <f>ContinuousStatsTable[[#This Row],[ProjectName]]&amp;ContinuousStatsTable[[#This Row],[Name]]&amp;ContinuousStatsTable[[#This Row],[Type]]&amp;ContinuousStatsTable[[#This Row],[Source]]</f>
        <v>Unnamed ProjectassemblyqcworkerNumber ScheduledResource</v>
      </c>
      <c r="N467" s="5">
        <f t="array" ref="N467">MAX(IF((ProjectInfoTable[ProjectName]=ContinuousStatsTable[[#This Row],[ProjectName]]),(ProjectInfoTable[ProjectName]=ContinuousStatsTable[[#This Row],[ProjectName]])*ProjectInfoTable[NumberOfReplications]))</f>
        <v>15</v>
      </c>
      <c r="O467" s="5">
        <f t="array" ref="O467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467" s="5">
        <f t="array" ref="P467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467" s="5">
        <f t="array" ref="Q467">MAX(IF((ProjectInfoTable[ProjectName]=ContinuousStatsTable[[#This Row],[ProjectName]]),(ProjectInfoTable[ProjectName]=ContinuousStatsTable[[#This Row],[ProjectName]])*ProjectInfoTable[ConfidenceInterval]))</f>
        <v>0.95</v>
      </c>
      <c r="R4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467" s="5">
        <f t="array" ref="S467">MIN(IF((ContinuousStatsTable[GroupByKey]=ContinuousStatsTable[[#This Row],[GroupByKey]]),(ContinuousStatsTable[GroupByKey]=ContinuousStatsTable[[#This Row],[GroupByKey]])*ContinuousStatsTable[Average]))</f>
        <v>1</v>
      </c>
      <c r="T467" s="5">
        <f t="array" ref="T467">MAX(IF((ContinuousStatsTable[GroupByKey]=ContinuousStatsTable[[#This Row],[GroupByKey]]),(ContinuousStatsTable[GroupByKey]=ContinuousStatsTable[[#This Row],[GroupByKey]])*ContinuousStatsTable[Average]))</f>
        <v>2</v>
      </c>
      <c r="U467" s="5">
        <f>IF((ContinuousStatsTable[[#This Row],[RepsRequested]]&gt;1),ContinuousStatsTable[[#This Row],[HalfWidth]],ContinuousStatsTable[[#This Row],[BatchMeansHalfWidth]])</f>
        <v>0.13376733135491528</v>
      </c>
    </row>
    <row r="468" spans="1:21" x14ac:dyDescent="0.25">
      <c r="A468" t="s">
        <v>67</v>
      </c>
      <c r="B468" t="s">
        <v>70</v>
      </c>
      <c r="C468">
        <v>11</v>
      </c>
      <c r="D468" t="s">
        <v>77</v>
      </c>
      <c r="E468" t="s">
        <v>78</v>
      </c>
      <c r="F468" t="s">
        <v>79</v>
      </c>
      <c r="G468">
        <v>0</v>
      </c>
      <c r="H468">
        <v>2E+20</v>
      </c>
      <c r="I468">
        <v>0</v>
      </c>
      <c r="J468">
        <v>0</v>
      </c>
      <c r="K468">
        <v>0</v>
      </c>
      <c r="L468">
        <v>0</v>
      </c>
      <c r="M468" s="5" t="str">
        <f>ContinuousStatsTable[[#This Row],[ProjectName]]&amp;ContinuousStatsTable[[#This Row],[Name]]&amp;ContinuousStatsTable[[#This Row],[Type]]&amp;ContinuousStatsTable[[#This Row],[Source]]</f>
        <v>Unnamed Projectbatched_partsWIPEntity</v>
      </c>
      <c r="N468" s="5">
        <f t="array" ref="N468">MAX(IF((ProjectInfoTable[ProjectName]=ContinuousStatsTable[[#This Row],[ProjectName]]),(ProjectInfoTable[ProjectName]=ContinuousStatsTable[[#This Row],[ProjectName]])*ProjectInfoTable[NumberOfReplications]))</f>
        <v>15</v>
      </c>
      <c r="O468" s="5">
        <f t="array" ref="O468">IFERROR(AVERAGE(IF((ContinuousStatsTable[GroupByKey]=ContinuousStatsTable[[#This Row],[GroupByKey]]),(ContinuousStatsTable[GroupByKey]=ContinuousStatsTable[[#This Row],[GroupByKey]])*ContinuousStatsTable[Average])),0)</f>
        <v>0</v>
      </c>
      <c r="P468" s="5">
        <f t="array" ref="P468">IFERROR(_xlfn.STDEV.S(IF((ContinuousStatsTable[GroupByKey]=ContinuousStatsTable[[#This Row],[GroupByKey]]),(ContinuousStatsTable[GroupByKey]=ContinuousStatsTable[[#This Row],[GroupByKey]])*ContinuousStatsTable[Average])),0)</f>
        <v>0</v>
      </c>
      <c r="Q468" s="5">
        <f t="array" ref="Q468">MAX(IF((ProjectInfoTable[ProjectName]=ContinuousStatsTable[[#This Row],[ProjectName]]),(ProjectInfoTable[ProjectName]=ContinuousStatsTable[[#This Row],[ProjectName]])*ProjectInfoTable[ConfidenceInterval]))</f>
        <v>0.95</v>
      </c>
      <c r="R4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8" s="5">
        <f t="array" ref="S468">MIN(IF((ContinuousStatsTable[GroupByKey]=ContinuousStatsTable[[#This Row],[GroupByKey]]),(ContinuousStatsTable[GroupByKey]=ContinuousStatsTable[[#This Row],[GroupByKey]])*ContinuousStatsTable[Average]))</f>
        <v>0</v>
      </c>
      <c r="T468" s="5">
        <f t="array" ref="T468">MAX(IF((ContinuousStatsTable[GroupByKey]=ContinuousStatsTable[[#This Row],[GroupByKey]]),(ContinuousStatsTable[GroupByKey]=ContinuousStatsTable[[#This Row],[GroupByKey]])*ContinuousStatsTable[Average]))</f>
        <v>0</v>
      </c>
      <c r="U468" s="5">
        <f>IF((ContinuousStatsTable[[#This Row],[RepsRequested]]&gt;1),ContinuousStatsTable[[#This Row],[HalfWidth]],ContinuousStatsTable[[#This Row],[BatchMeansHalfWidth]])</f>
        <v>0</v>
      </c>
    </row>
    <row r="469" spans="1:21" x14ac:dyDescent="0.25">
      <c r="A469" t="s">
        <v>67</v>
      </c>
      <c r="B469" t="s">
        <v>70</v>
      </c>
      <c r="C469">
        <v>11</v>
      </c>
      <c r="D469" t="s">
        <v>80</v>
      </c>
      <c r="E469" t="s">
        <v>72</v>
      </c>
      <c r="F469" t="s">
        <v>73</v>
      </c>
      <c r="G469">
        <v>0</v>
      </c>
      <c r="H469">
        <v>2E+20</v>
      </c>
      <c r="I469">
        <v>0</v>
      </c>
      <c r="J469">
        <v>0</v>
      </c>
      <c r="K469">
        <v>0</v>
      </c>
      <c r="L469">
        <v>0</v>
      </c>
      <c r="M469" s="5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469" s="5">
        <f t="array" ref="N469">MAX(IF((ProjectInfoTable[ProjectName]=ContinuousStatsTable[[#This Row],[ProjectName]]),(ProjectInfoTable[ProjectName]=ContinuousStatsTable[[#This Row],[ProjectName]])*ProjectInfoTable[NumberOfReplications]))</f>
        <v>15</v>
      </c>
      <c r="O469" s="5">
        <f t="array" ref="O469">IFERROR(AVERAGE(IF((ContinuousStatsTable[GroupByKey]=ContinuousStatsTable[[#This Row],[GroupByKey]]),(ContinuousStatsTable[GroupByKey]=ContinuousStatsTable[[#This Row],[GroupByKey]])*ContinuousStatsTable[Average])),0)</f>
        <v>0</v>
      </c>
      <c r="P469" s="5">
        <f t="array" ref="P469">IFERROR(_xlfn.STDEV.S(IF((ContinuousStatsTable[GroupByKey]=ContinuousStatsTable[[#This Row],[GroupByKey]]),(ContinuousStatsTable[GroupByKey]=ContinuousStatsTable[[#This Row],[GroupByKey]])*ContinuousStatsTable[Average])),0)</f>
        <v>0</v>
      </c>
      <c r="Q469" s="5">
        <f t="array" ref="Q469">MAX(IF((ProjectInfoTable[ProjectName]=ContinuousStatsTable[[#This Row],[ProjectName]]),(ProjectInfoTable[ProjectName]=ContinuousStatsTable[[#This Row],[ProjectName]])*ProjectInfoTable[ConfidenceInterval]))</f>
        <v>0.95</v>
      </c>
      <c r="R4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9" s="5">
        <f t="array" ref="S469">MIN(IF((ContinuousStatsTable[GroupByKey]=ContinuousStatsTable[[#This Row],[GroupByKey]]),(ContinuousStatsTable[GroupByKey]=ContinuousStatsTable[[#This Row],[GroupByKey]])*ContinuousStatsTable[Average]))</f>
        <v>0</v>
      </c>
      <c r="T469" s="5">
        <f t="array" ref="T469">MAX(IF((ContinuousStatsTable[GroupByKey]=ContinuousStatsTable[[#This Row],[GroupByKey]]),(ContinuousStatsTable[GroupByKey]=ContinuousStatsTable[[#This Row],[GroupByKey]])*ContinuousStatsTable[Average]))</f>
        <v>0</v>
      </c>
      <c r="U469" s="5">
        <f>IF((ContinuousStatsTable[[#This Row],[RepsRequested]]&gt;1),ContinuousStatsTable[[#This Row],[HalfWidth]],ContinuousStatsTable[[#This Row],[BatchMeansHalfWidth]])</f>
        <v>0</v>
      </c>
    </row>
    <row r="470" spans="1:21" x14ac:dyDescent="0.25">
      <c r="A470" t="s">
        <v>67</v>
      </c>
      <c r="B470" t="s">
        <v>70</v>
      </c>
      <c r="C470">
        <v>11</v>
      </c>
      <c r="D470" t="s">
        <v>80</v>
      </c>
      <c r="E470" t="s">
        <v>74</v>
      </c>
      <c r="F470" t="s">
        <v>73</v>
      </c>
      <c r="G470">
        <v>0</v>
      </c>
      <c r="H470">
        <v>2E+20</v>
      </c>
      <c r="I470">
        <v>0</v>
      </c>
      <c r="J470">
        <v>0</v>
      </c>
      <c r="K470">
        <v>0</v>
      </c>
      <c r="L470">
        <v>0</v>
      </c>
      <c r="M470" s="5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470" s="5">
        <f t="array" ref="N470">MAX(IF((ProjectInfoTable[ProjectName]=ContinuousStatsTable[[#This Row],[ProjectName]]),(ProjectInfoTable[ProjectName]=ContinuousStatsTable[[#This Row],[ProjectName]])*ProjectInfoTable[NumberOfReplications]))</f>
        <v>15</v>
      </c>
      <c r="O470" s="5">
        <f t="array" ref="O470">IFERROR(AVERAGE(IF((ContinuousStatsTable[GroupByKey]=ContinuousStatsTable[[#This Row],[GroupByKey]]),(ContinuousStatsTable[GroupByKey]=ContinuousStatsTable[[#This Row],[GroupByKey]])*ContinuousStatsTable[Average])),0)</f>
        <v>0</v>
      </c>
      <c r="P470" s="5">
        <f t="array" ref="P470">IFERROR(_xlfn.STDEV.S(IF((ContinuousStatsTable[GroupByKey]=ContinuousStatsTable[[#This Row],[GroupByKey]]),(ContinuousStatsTable[GroupByKey]=ContinuousStatsTable[[#This Row],[GroupByKey]])*ContinuousStatsTable[Average])),0)</f>
        <v>0</v>
      </c>
      <c r="Q470" s="5">
        <f t="array" ref="Q470">MAX(IF((ProjectInfoTable[ProjectName]=ContinuousStatsTable[[#This Row],[ProjectName]]),(ProjectInfoTable[ProjectName]=ContinuousStatsTable[[#This Row],[ProjectName]])*ProjectInfoTable[ConfidenceInterval]))</f>
        <v>0.95</v>
      </c>
      <c r="R4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0" s="5">
        <f t="array" ref="S470">MIN(IF((ContinuousStatsTable[GroupByKey]=ContinuousStatsTable[[#This Row],[GroupByKey]]),(ContinuousStatsTable[GroupByKey]=ContinuousStatsTable[[#This Row],[GroupByKey]])*ContinuousStatsTable[Average]))</f>
        <v>0</v>
      </c>
      <c r="T470" s="5">
        <f t="array" ref="T470">MAX(IF((ContinuousStatsTable[GroupByKey]=ContinuousStatsTable[[#This Row],[GroupByKey]]),(ContinuousStatsTable[GroupByKey]=ContinuousStatsTable[[#This Row],[GroupByKey]])*ContinuousStatsTable[Average]))</f>
        <v>0</v>
      </c>
      <c r="U470" s="5">
        <f>IF((ContinuousStatsTable[[#This Row],[RepsRequested]]&gt;1),ContinuousStatsTable[[#This Row],[HalfWidth]],ContinuousStatsTable[[#This Row],[BatchMeansHalfWidth]])</f>
        <v>0</v>
      </c>
    </row>
    <row r="471" spans="1:21" x14ac:dyDescent="0.25">
      <c r="A471" t="s">
        <v>67</v>
      </c>
      <c r="B471" t="s">
        <v>70</v>
      </c>
      <c r="C471">
        <v>11</v>
      </c>
      <c r="D471" t="s">
        <v>80</v>
      </c>
      <c r="E471" t="s">
        <v>75</v>
      </c>
      <c r="F471" t="s">
        <v>73</v>
      </c>
      <c r="G471">
        <v>1.5834999999999999</v>
      </c>
      <c r="H471">
        <v>3E+20</v>
      </c>
      <c r="I471">
        <v>1</v>
      </c>
      <c r="J471">
        <v>2</v>
      </c>
      <c r="K471">
        <v>2</v>
      </c>
      <c r="L471">
        <v>0</v>
      </c>
      <c r="M471" s="5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471" s="5">
        <f t="array" ref="N471">MAX(IF((ProjectInfoTable[ProjectName]=ContinuousStatsTable[[#This Row],[ProjectName]]),(ProjectInfoTable[ProjectName]=ContinuousStatsTable[[#This Row],[ProjectName]])*ProjectInfoTable[NumberOfReplications]))</f>
        <v>15</v>
      </c>
      <c r="O471" s="5">
        <f t="array" ref="O471">IFERROR(AVERAGE(IF((ContinuousStatsTable[GroupByKey]=ContinuousStatsTable[[#This Row],[GroupByKey]]),(ContinuousStatsTable[GroupByKey]=ContinuousStatsTable[[#This Row],[GroupByKey]])*ContinuousStatsTable[Average])),0)</f>
        <v>1.5334471868881776</v>
      </c>
      <c r="P471" s="5">
        <f t="array" ref="P471">IFERROR(_xlfn.STDEV.S(IF((ContinuousStatsTable[GroupByKey]=ContinuousStatsTable[[#This Row],[GroupByKey]]),(ContinuousStatsTable[GroupByKey]=ContinuousStatsTable[[#This Row],[GroupByKey]])*ContinuousStatsTable[Average])),0)</f>
        <v>0.24154821158553658</v>
      </c>
      <c r="Q471" s="5">
        <f t="array" ref="Q471">MAX(IF((ProjectInfoTable[ProjectName]=ContinuousStatsTable[[#This Row],[ProjectName]]),(ProjectInfoTable[ProjectName]=ContinuousStatsTable[[#This Row],[ProjectName]])*ProjectInfoTable[ConfidenceInterval]))</f>
        <v>0.95</v>
      </c>
      <c r="R4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0.13376494097407529</v>
      </c>
      <c r="S471" s="5">
        <f t="array" ref="S471">MIN(IF((ContinuousStatsTable[GroupByKey]=ContinuousStatsTable[[#This Row],[GroupByKey]]),(ContinuousStatsTable[GroupByKey]=ContinuousStatsTable[[#This Row],[GroupByKey]])*ContinuousStatsTable[Average]))</f>
        <v>1</v>
      </c>
      <c r="T471" s="5">
        <f t="array" ref="T471">MAX(IF((ContinuousStatsTable[GroupByKey]=ContinuousStatsTable[[#This Row],[GroupByKey]]),(ContinuousStatsTable[GroupByKey]=ContinuousStatsTable[[#This Row],[GroupByKey]])*ContinuousStatsTable[Average]))</f>
        <v>2</v>
      </c>
      <c r="U471" s="5">
        <f>IF((ContinuousStatsTable[[#This Row],[RepsRequested]]&gt;1),ContinuousStatsTable[[#This Row],[HalfWidth]],ContinuousStatsTable[[#This Row],[BatchMeansHalfWidth]])</f>
        <v>0.13376494097407529</v>
      </c>
    </row>
    <row r="472" spans="1:21" x14ac:dyDescent="0.25">
      <c r="A472" t="s">
        <v>67</v>
      </c>
      <c r="B472" t="s">
        <v>70</v>
      </c>
      <c r="C472">
        <v>11</v>
      </c>
      <c r="D472" t="s">
        <v>81</v>
      </c>
      <c r="E472" t="s">
        <v>72</v>
      </c>
      <c r="F472" t="s">
        <v>73</v>
      </c>
      <c r="G472">
        <v>0</v>
      </c>
      <c r="H472">
        <v>2E+20</v>
      </c>
      <c r="I472">
        <v>0</v>
      </c>
      <c r="J472">
        <v>0</v>
      </c>
      <c r="K472">
        <v>0</v>
      </c>
      <c r="L472">
        <v>0</v>
      </c>
      <c r="M472" s="5" t="str">
        <f>ContinuousStatsTable[[#This Row],[ProjectName]]&amp;ContinuousStatsTable[[#This Row],[Name]]&amp;ContinuousStatsTable[[#This Row],[Type]]&amp;ContinuousStatsTable[[#This Row],[Source]]</f>
        <v>Unnamed ProjectcutterInstantaneous UtilizationResource</v>
      </c>
      <c r="N472" s="5">
        <f t="array" ref="N472">MAX(IF((ProjectInfoTable[ProjectName]=ContinuousStatsTable[[#This Row],[ProjectName]]),(ProjectInfoTable[ProjectName]=ContinuousStatsTable[[#This Row],[ProjectName]])*ProjectInfoTable[NumberOfReplications]))</f>
        <v>15</v>
      </c>
      <c r="O472" s="5">
        <f t="array" ref="O472">IFERROR(AVERAGE(IF((ContinuousStatsTable[GroupByKey]=ContinuousStatsTable[[#This Row],[GroupByKey]]),(ContinuousStatsTable[GroupByKey]=ContinuousStatsTable[[#This Row],[GroupByKey]])*ContinuousStatsTable[Average])),0)</f>
        <v>0</v>
      </c>
      <c r="P472" s="5">
        <f t="array" ref="P472">IFERROR(_xlfn.STDEV.S(IF((ContinuousStatsTable[GroupByKey]=ContinuousStatsTable[[#This Row],[GroupByKey]]),(ContinuousStatsTable[GroupByKey]=ContinuousStatsTable[[#This Row],[GroupByKey]])*ContinuousStatsTable[Average])),0)</f>
        <v>0</v>
      </c>
      <c r="Q472" s="5">
        <f t="array" ref="Q472">MAX(IF((ProjectInfoTable[ProjectName]=ContinuousStatsTable[[#This Row],[ProjectName]]),(ProjectInfoTable[ProjectName]=ContinuousStatsTable[[#This Row],[ProjectName]])*ProjectInfoTable[ConfidenceInterval]))</f>
        <v>0.95</v>
      </c>
      <c r="R4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2" s="5">
        <f t="array" ref="S472">MIN(IF((ContinuousStatsTable[GroupByKey]=ContinuousStatsTable[[#This Row],[GroupByKey]]),(ContinuousStatsTable[GroupByKey]=ContinuousStatsTable[[#This Row],[GroupByKey]])*ContinuousStatsTable[Average]))</f>
        <v>0</v>
      </c>
      <c r="T472" s="5">
        <f t="array" ref="T472">MAX(IF((ContinuousStatsTable[GroupByKey]=ContinuousStatsTable[[#This Row],[GroupByKey]]),(ContinuousStatsTable[GroupByKey]=ContinuousStatsTable[[#This Row],[GroupByKey]])*ContinuousStatsTable[Average]))</f>
        <v>0</v>
      </c>
      <c r="U472" s="5">
        <f>IF((ContinuousStatsTable[[#This Row],[RepsRequested]]&gt;1),ContinuousStatsTable[[#This Row],[HalfWidth]],ContinuousStatsTable[[#This Row],[BatchMeansHalfWidth]])</f>
        <v>0</v>
      </c>
    </row>
    <row r="473" spans="1:21" x14ac:dyDescent="0.25">
      <c r="A473" t="s">
        <v>67</v>
      </c>
      <c r="B473" t="s">
        <v>70</v>
      </c>
      <c r="C473">
        <v>11</v>
      </c>
      <c r="D473" t="s">
        <v>81</v>
      </c>
      <c r="E473" t="s">
        <v>74</v>
      </c>
      <c r="F473" t="s">
        <v>73</v>
      </c>
      <c r="G473">
        <v>0</v>
      </c>
      <c r="H473">
        <v>2E+20</v>
      </c>
      <c r="I473">
        <v>0</v>
      </c>
      <c r="J473">
        <v>0</v>
      </c>
      <c r="K473">
        <v>0</v>
      </c>
      <c r="L473">
        <v>0</v>
      </c>
      <c r="M473" s="5" t="str">
        <f>ContinuousStatsTable[[#This Row],[ProjectName]]&amp;ContinuousStatsTable[[#This Row],[Name]]&amp;ContinuousStatsTable[[#This Row],[Type]]&amp;ContinuousStatsTable[[#This Row],[Source]]</f>
        <v>Unnamed ProjectcutterNumber BusyResource</v>
      </c>
      <c r="N473" s="5">
        <f t="array" ref="N473">MAX(IF((ProjectInfoTable[ProjectName]=ContinuousStatsTable[[#This Row],[ProjectName]]),(ProjectInfoTable[ProjectName]=ContinuousStatsTable[[#This Row],[ProjectName]])*ProjectInfoTable[NumberOfReplications]))</f>
        <v>15</v>
      </c>
      <c r="O473" s="5">
        <f t="array" ref="O473">IFERROR(AVERAGE(IF((ContinuousStatsTable[GroupByKey]=ContinuousStatsTable[[#This Row],[GroupByKey]]),(ContinuousStatsTable[GroupByKey]=ContinuousStatsTable[[#This Row],[GroupByKey]])*ContinuousStatsTable[Average])),0)</f>
        <v>0</v>
      </c>
      <c r="P473" s="5">
        <f t="array" ref="P473">IFERROR(_xlfn.STDEV.S(IF((ContinuousStatsTable[GroupByKey]=ContinuousStatsTable[[#This Row],[GroupByKey]]),(ContinuousStatsTable[GroupByKey]=ContinuousStatsTable[[#This Row],[GroupByKey]])*ContinuousStatsTable[Average])),0)</f>
        <v>0</v>
      </c>
      <c r="Q473" s="5">
        <f t="array" ref="Q473">MAX(IF((ProjectInfoTable[ProjectName]=ContinuousStatsTable[[#This Row],[ProjectName]]),(ProjectInfoTable[ProjectName]=ContinuousStatsTable[[#This Row],[ProjectName]])*ProjectInfoTable[ConfidenceInterval]))</f>
        <v>0.95</v>
      </c>
      <c r="R4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3" s="5">
        <f t="array" ref="S473">MIN(IF((ContinuousStatsTable[GroupByKey]=ContinuousStatsTable[[#This Row],[GroupByKey]]),(ContinuousStatsTable[GroupByKey]=ContinuousStatsTable[[#This Row],[GroupByKey]])*ContinuousStatsTable[Average]))</f>
        <v>0</v>
      </c>
      <c r="T473" s="5">
        <f t="array" ref="T473">MAX(IF((ContinuousStatsTable[GroupByKey]=ContinuousStatsTable[[#This Row],[GroupByKey]]),(ContinuousStatsTable[GroupByKey]=ContinuousStatsTable[[#This Row],[GroupByKey]])*ContinuousStatsTable[Average]))</f>
        <v>0</v>
      </c>
      <c r="U473" s="5">
        <f>IF((ContinuousStatsTable[[#This Row],[RepsRequested]]&gt;1),ContinuousStatsTable[[#This Row],[HalfWidth]],ContinuousStatsTable[[#This Row],[BatchMeansHalfWidth]])</f>
        <v>0</v>
      </c>
    </row>
    <row r="474" spans="1:21" x14ac:dyDescent="0.25">
      <c r="A474" t="s">
        <v>67</v>
      </c>
      <c r="B474" t="s">
        <v>70</v>
      </c>
      <c r="C474">
        <v>11</v>
      </c>
      <c r="D474" t="s">
        <v>81</v>
      </c>
      <c r="E474" t="s">
        <v>75</v>
      </c>
      <c r="F474" t="s">
        <v>73</v>
      </c>
      <c r="G474">
        <v>1.583375</v>
      </c>
      <c r="H474">
        <v>3E+20</v>
      </c>
      <c r="I474">
        <v>1</v>
      </c>
      <c r="J474">
        <v>2</v>
      </c>
      <c r="K474">
        <v>2</v>
      </c>
      <c r="L474">
        <v>0</v>
      </c>
      <c r="M474" s="5" t="str">
        <f>ContinuousStatsTable[[#This Row],[ProjectName]]&amp;ContinuousStatsTable[[#This Row],[Name]]&amp;ContinuousStatsTable[[#This Row],[Type]]&amp;ContinuousStatsTable[[#This Row],[Source]]</f>
        <v>Unnamed ProjectcutterNumber ScheduledResource</v>
      </c>
      <c r="N474" s="5">
        <f t="array" ref="N474">MAX(IF((ProjectInfoTable[ProjectName]=ContinuousStatsTable[[#This Row],[ProjectName]]),(ProjectInfoTable[ProjectName]=ContinuousStatsTable[[#This Row],[ProjectName]])*ProjectInfoTable[NumberOfReplications]))</f>
        <v>15</v>
      </c>
      <c r="O474" s="5">
        <f t="array" ref="O474">IFERROR(AVERAGE(IF((ContinuousStatsTable[GroupByKey]=ContinuousStatsTable[[#This Row],[GroupByKey]]),(ContinuousStatsTable[GroupByKey]=ContinuousStatsTable[[#This Row],[GroupByKey]])*ContinuousStatsTable[Average])),0)</f>
        <v>1.5332999999999999</v>
      </c>
      <c r="P474" s="5">
        <f t="array" ref="P474">IFERROR(_xlfn.STDEV.S(IF((ContinuousStatsTable[GroupByKey]=ContinuousStatsTable[[#This Row],[GroupByKey]]),(ContinuousStatsTable[GroupByKey]=ContinuousStatsTable[[#This Row],[GroupByKey]])*ContinuousStatsTable[Average])),0)</f>
        <v>0.24151556349584294</v>
      </c>
      <c r="Q474" s="5">
        <f t="array" ref="Q474">MAX(IF((ProjectInfoTable[ProjectName]=ContinuousStatsTable[[#This Row],[ProjectName]]),(ProjectInfoTable[ProjectName]=ContinuousStatsTable[[#This Row],[ProjectName]])*ProjectInfoTable[ConfidenceInterval]))</f>
        <v>0.95</v>
      </c>
      <c r="R4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0.1337468610646356</v>
      </c>
      <c r="S474" s="5">
        <f t="array" ref="S474">MIN(IF((ContinuousStatsTable[GroupByKey]=ContinuousStatsTable[[#This Row],[GroupByKey]]),(ContinuousStatsTable[GroupByKey]=ContinuousStatsTable[[#This Row],[GroupByKey]])*ContinuousStatsTable[Average]))</f>
        <v>1</v>
      </c>
      <c r="T474" s="5">
        <f t="array" ref="T474">MAX(IF((ContinuousStatsTable[GroupByKey]=ContinuousStatsTable[[#This Row],[GroupByKey]]),(ContinuousStatsTable[GroupByKey]=ContinuousStatsTable[[#This Row],[GroupByKey]])*ContinuousStatsTable[Average]))</f>
        <v>2</v>
      </c>
      <c r="U474" s="5">
        <f>IF((ContinuousStatsTable[[#This Row],[RepsRequested]]&gt;1),ContinuousStatsTable[[#This Row],[HalfWidth]],ContinuousStatsTable[[#This Row],[BatchMeansHalfWidth]])</f>
        <v>0.1337468610646356</v>
      </c>
    </row>
    <row r="475" spans="1:21" x14ac:dyDescent="0.25">
      <c r="A475" t="s">
        <v>67</v>
      </c>
      <c r="B475" t="s">
        <v>70</v>
      </c>
      <c r="C475">
        <v>11</v>
      </c>
      <c r="D475" t="s">
        <v>82</v>
      </c>
      <c r="E475" t="s">
        <v>72</v>
      </c>
      <c r="F475" t="s">
        <v>73</v>
      </c>
      <c r="G475">
        <v>0</v>
      </c>
      <c r="H475">
        <v>2E+20</v>
      </c>
      <c r="I475">
        <v>0</v>
      </c>
      <c r="J475">
        <v>0</v>
      </c>
      <c r="K475">
        <v>0</v>
      </c>
      <c r="L475">
        <v>0</v>
      </c>
      <c r="M475" s="5" t="str">
        <f>ContinuousStatsTable[[#This Row],[ProjectName]]&amp;ContinuousStatsTable[[#This Row],[Name]]&amp;ContinuousStatsTable[[#This Row],[Type]]&amp;ContinuousStatsTable[[#This Row],[Source]]</f>
        <v>Unnamed ProjectfinalqcmanInstantaneous UtilizationResource</v>
      </c>
      <c r="N475" s="5">
        <f t="array" ref="N475">MAX(IF((ProjectInfoTable[ProjectName]=ContinuousStatsTable[[#This Row],[ProjectName]]),(ProjectInfoTable[ProjectName]=ContinuousStatsTable[[#This Row],[ProjectName]])*ProjectInfoTable[NumberOfReplications]))</f>
        <v>15</v>
      </c>
      <c r="O475" s="5">
        <f t="array" ref="O475">IFERROR(AVERAGE(IF((ContinuousStatsTable[GroupByKey]=ContinuousStatsTable[[#This Row],[GroupByKey]]),(ContinuousStatsTable[GroupByKey]=ContinuousStatsTable[[#This Row],[GroupByKey]])*ContinuousStatsTable[Average])),0)</f>
        <v>0</v>
      </c>
      <c r="P475" s="5">
        <f t="array" ref="P475">IFERROR(_xlfn.STDEV.S(IF((ContinuousStatsTable[GroupByKey]=ContinuousStatsTable[[#This Row],[GroupByKey]]),(ContinuousStatsTable[GroupByKey]=ContinuousStatsTable[[#This Row],[GroupByKey]])*ContinuousStatsTable[Average])),0)</f>
        <v>0</v>
      </c>
      <c r="Q475" s="5">
        <f t="array" ref="Q475">MAX(IF((ProjectInfoTable[ProjectName]=ContinuousStatsTable[[#This Row],[ProjectName]]),(ProjectInfoTable[ProjectName]=ContinuousStatsTable[[#This Row],[ProjectName]])*ProjectInfoTable[ConfidenceInterval]))</f>
        <v>0.95</v>
      </c>
      <c r="R4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5" s="5">
        <f t="array" ref="S475">MIN(IF((ContinuousStatsTable[GroupByKey]=ContinuousStatsTable[[#This Row],[GroupByKey]]),(ContinuousStatsTable[GroupByKey]=ContinuousStatsTable[[#This Row],[GroupByKey]])*ContinuousStatsTable[Average]))</f>
        <v>0</v>
      </c>
      <c r="T475" s="5">
        <f t="array" ref="T475">MAX(IF((ContinuousStatsTable[GroupByKey]=ContinuousStatsTable[[#This Row],[GroupByKey]]),(ContinuousStatsTable[GroupByKey]=ContinuousStatsTable[[#This Row],[GroupByKey]])*ContinuousStatsTable[Average]))</f>
        <v>0</v>
      </c>
      <c r="U475" s="5">
        <f>IF((ContinuousStatsTable[[#This Row],[RepsRequested]]&gt;1),ContinuousStatsTable[[#This Row],[HalfWidth]],ContinuousStatsTable[[#This Row],[BatchMeansHalfWidth]])</f>
        <v>0</v>
      </c>
    </row>
    <row r="476" spans="1:21" x14ac:dyDescent="0.25">
      <c r="A476" t="s">
        <v>67</v>
      </c>
      <c r="B476" t="s">
        <v>70</v>
      </c>
      <c r="C476">
        <v>11</v>
      </c>
      <c r="D476" t="s">
        <v>82</v>
      </c>
      <c r="E476" t="s">
        <v>74</v>
      </c>
      <c r="F476" t="s">
        <v>73</v>
      </c>
      <c r="G476">
        <v>0</v>
      </c>
      <c r="H476">
        <v>2E+20</v>
      </c>
      <c r="I476">
        <v>0</v>
      </c>
      <c r="J476">
        <v>0</v>
      </c>
      <c r="K476">
        <v>0</v>
      </c>
      <c r="L476">
        <v>0</v>
      </c>
      <c r="M476" s="5" t="str">
        <f>ContinuousStatsTable[[#This Row],[ProjectName]]&amp;ContinuousStatsTable[[#This Row],[Name]]&amp;ContinuousStatsTable[[#This Row],[Type]]&amp;ContinuousStatsTable[[#This Row],[Source]]</f>
        <v>Unnamed ProjectfinalqcmanNumber BusyResource</v>
      </c>
      <c r="N476" s="5">
        <f t="array" ref="N476">MAX(IF((ProjectInfoTable[ProjectName]=ContinuousStatsTable[[#This Row],[ProjectName]]),(ProjectInfoTable[ProjectName]=ContinuousStatsTable[[#This Row],[ProjectName]])*ProjectInfoTable[NumberOfReplications]))</f>
        <v>15</v>
      </c>
      <c r="O476" s="5">
        <f t="array" ref="O476">IFERROR(AVERAGE(IF((ContinuousStatsTable[GroupByKey]=ContinuousStatsTable[[#This Row],[GroupByKey]]),(ContinuousStatsTable[GroupByKey]=ContinuousStatsTable[[#This Row],[GroupByKey]])*ContinuousStatsTable[Average])),0)</f>
        <v>0</v>
      </c>
      <c r="P476" s="5">
        <f t="array" ref="P476">IFERROR(_xlfn.STDEV.S(IF((ContinuousStatsTable[GroupByKey]=ContinuousStatsTable[[#This Row],[GroupByKey]]),(ContinuousStatsTable[GroupByKey]=ContinuousStatsTable[[#This Row],[GroupByKey]])*ContinuousStatsTable[Average])),0)</f>
        <v>0</v>
      </c>
      <c r="Q476" s="5">
        <f t="array" ref="Q476">MAX(IF((ProjectInfoTable[ProjectName]=ContinuousStatsTable[[#This Row],[ProjectName]]),(ProjectInfoTable[ProjectName]=ContinuousStatsTable[[#This Row],[ProjectName]])*ProjectInfoTable[ConfidenceInterval]))</f>
        <v>0.95</v>
      </c>
      <c r="R4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6" s="5">
        <f t="array" ref="S476">MIN(IF((ContinuousStatsTable[GroupByKey]=ContinuousStatsTable[[#This Row],[GroupByKey]]),(ContinuousStatsTable[GroupByKey]=ContinuousStatsTable[[#This Row],[GroupByKey]])*ContinuousStatsTable[Average]))</f>
        <v>0</v>
      </c>
      <c r="T476" s="5">
        <f t="array" ref="T476">MAX(IF((ContinuousStatsTable[GroupByKey]=ContinuousStatsTable[[#This Row],[GroupByKey]]),(ContinuousStatsTable[GroupByKey]=ContinuousStatsTable[[#This Row],[GroupByKey]])*ContinuousStatsTable[Average]))</f>
        <v>0</v>
      </c>
      <c r="U476" s="5">
        <f>IF((ContinuousStatsTable[[#This Row],[RepsRequested]]&gt;1),ContinuousStatsTable[[#This Row],[HalfWidth]],ContinuousStatsTable[[#This Row],[BatchMeansHalfWidth]])</f>
        <v>0</v>
      </c>
    </row>
    <row r="477" spans="1:21" x14ac:dyDescent="0.25">
      <c r="A477" t="s">
        <v>67</v>
      </c>
      <c r="B477" t="s">
        <v>70</v>
      </c>
      <c r="C477">
        <v>11</v>
      </c>
      <c r="D477" t="s">
        <v>82</v>
      </c>
      <c r="E477" t="s">
        <v>75</v>
      </c>
      <c r="F477" t="s">
        <v>73</v>
      </c>
      <c r="G477">
        <v>1.58343733048925</v>
      </c>
      <c r="H477">
        <v>3E+20</v>
      </c>
      <c r="I477">
        <v>1</v>
      </c>
      <c r="J477">
        <v>2</v>
      </c>
      <c r="K477">
        <v>2</v>
      </c>
      <c r="L477">
        <v>0</v>
      </c>
      <c r="M477" s="5" t="str">
        <f>ContinuousStatsTable[[#This Row],[ProjectName]]&amp;ContinuousStatsTable[[#This Row],[Name]]&amp;ContinuousStatsTable[[#This Row],[Type]]&amp;ContinuousStatsTable[[#This Row],[Source]]</f>
        <v>Unnamed ProjectfinalqcmanNumber ScheduledResource</v>
      </c>
      <c r="N477" s="5">
        <f t="array" ref="N477">MAX(IF((ProjectInfoTable[ProjectName]=ContinuousStatsTable[[#This Row],[ProjectName]]),(ProjectInfoTable[ProjectName]=ContinuousStatsTable[[#This Row],[ProjectName]])*ProjectInfoTable[NumberOfReplications]))</f>
        <v>15</v>
      </c>
      <c r="O477" s="5">
        <f t="array" ref="O477">IFERROR(AVERAGE(IF((ContinuousStatsTable[GroupByKey]=ContinuousStatsTable[[#This Row],[GroupByKey]]),(ContinuousStatsTable[GroupByKey]=ContinuousStatsTable[[#This Row],[GroupByKey]])*ContinuousStatsTable[Average])),0)</f>
        <v>1.5334510661643974</v>
      </c>
      <c r="P477" s="5">
        <f t="array" ref="P477">IFERROR(_xlfn.STDEV.S(IF((ContinuousStatsTable[GroupByKey]=ContinuousStatsTable[[#This Row],[GroupByKey]]),(ContinuousStatsTable[GroupByKey]=ContinuousStatsTable[[#This Row],[GroupByKey]])*ContinuousStatsTable[Average])),0)</f>
        <v>0.24154906725932371</v>
      </c>
      <c r="Q477" s="5">
        <f t="array" ref="Q477">MAX(IF((ProjectInfoTable[ProjectName]=ContinuousStatsTable[[#This Row],[ProjectName]]),(ProjectInfoTable[ProjectName]=ContinuousStatsTable[[#This Row],[ProjectName]])*ProjectInfoTable[ConfidenceInterval]))</f>
        <v>0.95</v>
      </c>
      <c r="R4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0.13376541483042423</v>
      </c>
      <c r="S477" s="5">
        <f t="array" ref="S477">MIN(IF((ContinuousStatsTable[GroupByKey]=ContinuousStatsTable[[#This Row],[GroupByKey]]),(ContinuousStatsTable[GroupByKey]=ContinuousStatsTable[[#This Row],[GroupByKey]])*ContinuousStatsTable[Average]))</f>
        <v>1</v>
      </c>
      <c r="T477" s="5">
        <f t="array" ref="T477">MAX(IF((ContinuousStatsTable[GroupByKey]=ContinuousStatsTable[[#This Row],[GroupByKey]]),(ContinuousStatsTable[GroupByKey]=ContinuousStatsTable[[#This Row],[GroupByKey]])*ContinuousStatsTable[Average]))</f>
        <v>2</v>
      </c>
      <c r="U477" s="5">
        <f>IF((ContinuousStatsTable[[#This Row],[RepsRequested]]&gt;1),ContinuousStatsTable[[#This Row],[HalfWidth]],ContinuousStatsTable[[#This Row],[BatchMeansHalfWidth]])</f>
        <v>0.13376541483042423</v>
      </c>
    </row>
    <row r="478" spans="1:21" x14ac:dyDescent="0.25">
      <c r="A478" t="s">
        <v>67</v>
      </c>
      <c r="B478" t="s">
        <v>70</v>
      </c>
      <c r="C478">
        <v>11</v>
      </c>
      <c r="D478" t="s">
        <v>83</v>
      </c>
      <c r="E478" t="s">
        <v>84</v>
      </c>
      <c r="F478" t="s">
        <v>85</v>
      </c>
      <c r="G478">
        <v>0</v>
      </c>
      <c r="H478">
        <v>2E+20</v>
      </c>
      <c r="I478">
        <v>0</v>
      </c>
      <c r="J478">
        <v>0</v>
      </c>
      <c r="K478">
        <v>0</v>
      </c>
      <c r="L478">
        <v>0</v>
      </c>
      <c r="M478" s="5" t="str">
        <f>ContinuousStatsTable[[#This Row],[ProjectName]]&amp;ContinuousStatsTable[[#This Row],[Name]]&amp;ContinuousStatsTable[[#This Row],[Type]]&amp;ContinuousStatsTable[[#This Row],[Source]]</f>
        <v>Unnamed Projectinspectorseize.QueueNumber WaitingQueue</v>
      </c>
      <c r="N478" s="5">
        <f t="array" ref="N478">MAX(IF((ProjectInfoTable[ProjectName]=ContinuousStatsTable[[#This Row],[ProjectName]]),(ProjectInfoTable[ProjectName]=ContinuousStatsTable[[#This Row],[ProjectName]])*ProjectInfoTable[NumberOfReplications]))</f>
        <v>15</v>
      </c>
      <c r="O478" s="5">
        <f t="array" ref="O478">IFERROR(AVERAGE(IF((ContinuousStatsTable[GroupByKey]=ContinuousStatsTable[[#This Row],[GroupByKey]]),(ContinuousStatsTable[GroupByKey]=ContinuousStatsTable[[#This Row],[GroupByKey]])*ContinuousStatsTable[Average])),0)</f>
        <v>0</v>
      </c>
      <c r="P478" s="5">
        <f t="array" ref="P478">IFERROR(_xlfn.STDEV.S(IF((ContinuousStatsTable[GroupByKey]=ContinuousStatsTable[[#This Row],[GroupByKey]]),(ContinuousStatsTable[GroupByKey]=ContinuousStatsTable[[#This Row],[GroupByKey]])*ContinuousStatsTable[Average])),0)</f>
        <v>0</v>
      </c>
      <c r="Q478" s="5">
        <f t="array" ref="Q478">MAX(IF((ProjectInfoTable[ProjectName]=ContinuousStatsTable[[#This Row],[ProjectName]]),(ProjectInfoTable[ProjectName]=ContinuousStatsTable[[#This Row],[ProjectName]])*ProjectInfoTable[ConfidenceInterval]))</f>
        <v>0.95</v>
      </c>
      <c r="R4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8" s="5">
        <f t="array" ref="S478">MIN(IF((ContinuousStatsTable[GroupByKey]=ContinuousStatsTable[[#This Row],[GroupByKey]]),(ContinuousStatsTable[GroupByKey]=ContinuousStatsTable[[#This Row],[GroupByKey]])*ContinuousStatsTable[Average]))</f>
        <v>0</v>
      </c>
      <c r="T478" s="5">
        <f t="array" ref="T478">MAX(IF((ContinuousStatsTable[GroupByKey]=ContinuousStatsTable[[#This Row],[GroupByKey]]),(ContinuousStatsTable[GroupByKey]=ContinuousStatsTable[[#This Row],[GroupByKey]])*ContinuousStatsTable[Average]))</f>
        <v>0</v>
      </c>
      <c r="U478" s="5">
        <f>IF((ContinuousStatsTable[[#This Row],[RepsRequested]]&gt;1),ContinuousStatsTable[[#This Row],[HalfWidth]],ContinuousStatsTable[[#This Row],[BatchMeansHalfWidth]])</f>
        <v>0</v>
      </c>
    </row>
    <row r="479" spans="1:21" x14ac:dyDescent="0.25">
      <c r="A479" t="s">
        <v>67</v>
      </c>
      <c r="B479" t="s">
        <v>70</v>
      </c>
      <c r="C479">
        <v>11</v>
      </c>
      <c r="D479" t="s">
        <v>86</v>
      </c>
      <c r="E479" t="s">
        <v>84</v>
      </c>
      <c r="F479" t="s">
        <v>85</v>
      </c>
      <c r="G479">
        <v>0</v>
      </c>
      <c r="H479">
        <v>2E+20</v>
      </c>
      <c r="I479">
        <v>0</v>
      </c>
      <c r="J479">
        <v>0</v>
      </c>
      <c r="K479">
        <v>0</v>
      </c>
      <c r="L479">
        <v>0</v>
      </c>
      <c r="M479" s="5" t="str">
        <f>ContinuousStatsTable[[#This Row],[ProjectName]]&amp;ContinuousStatsTable[[#This Row],[Name]]&amp;ContinuousStatsTable[[#This Row],[Type]]&amp;ContinuousStatsTable[[#This Row],[Source]]</f>
        <v>Unnamed Projectmatch_truckcombo.Queue1Number WaitingQueue</v>
      </c>
      <c r="N479" s="5">
        <f t="array" ref="N479">MAX(IF((ProjectInfoTable[ProjectName]=ContinuousStatsTable[[#This Row],[ProjectName]]),(ProjectInfoTable[ProjectName]=ContinuousStatsTable[[#This Row],[ProjectName]])*ProjectInfoTable[NumberOfReplications]))</f>
        <v>15</v>
      </c>
      <c r="O479" s="5">
        <f t="array" ref="O479">IFERROR(AVERAGE(IF((ContinuousStatsTable[GroupByKey]=ContinuousStatsTable[[#This Row],[GroupByKey]]),(ContinuousStatsTable[GroupByKey]=ContinuousStatsTable[[#This Row],[GroupByKey]])*ContinuousStatsTable[Average])),0)</f>
        <v>3.3333333333333335</v>
      </c>
      <c r="P479" s="5">
        <f t="array" ref="P479">IFERROR(_xlfn.STDEV.S(IF((ContinuousStatsTable[GroupByKey]=ContinuousStatsTable[[#This Row],[GroupByKey]]),(ContinuousStatsTable[GroupByKey]=ContinuousStatsTable[[#This Row],[GroupByKey]])*ContinuousStatsTable[Average])),0)</f>
        <v>4.577377082170635</v>
      </c>
      <c r="Q479" s="5">
        <f t="array" ref="Q479">MAX(IF((ProjectInfoTable[ProjectName]=ContinuousStatsTable[[#This Row],[ProjectName]]),(ProjectInfoTable[ProjectName]=ContinuousStatsTable[[#This Row],[ProjectName]])*ProjectInfoTable[ConfidenceInterval]))</f>
        <v>0.95</v>
      </c>
      <c r="R4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2.5348669368881507</v>
      </c>
      <c r="S479" s="5">
        <f t="array" ref="S479">MIN(IF((ContinuousStatsTable[GroupByKey]=ContinuousStatsTable[[#This Row],[GroupByKey]]),(ContinuousStatsTable[GroupByKey]=ContinuousStatsTable[[#This Row],[GroupByKey]])*ContinuousStatsTable[Average]))</f>
        <v>0</v>
      </c>
      <c r="T479" s="5">
        <f t="array" ref="T479">MAX(IF((ContinuousStatsTable[GroupByKey]=ContinuousStatsTable[[#This Row],[GroupByKey]]),(ContinuousStatsTable[GroupByKey]=ContinuousStatsTable[[#This Row],[GroupByKey]])*ContinuousStatsTable[Average]))</f>
        <v>12</v>
      </c>
      <c r="U479" s="5">
        <f>IF((ContinuousStatsTable[[#This Row],[RepsRequested]]&gt;1),ContinuousStatsTable[[#This Row],[HalfWidth]],ContinuousStatsTable[[#This Row],[BatchMeansHalfWidth]])</f>
        <v>2.5348669368881507</v>
      </c>
    </row>
    <row r="480" spans="1:21" x14ac:dyDescent="0.25">
      <c r="A480" t="s">
        <v>67</v>
      </c>
      <c r="B480" t="s">
        <v>70</v>
      </c>
      <c r="C480">
        <v>11</v>
      </c>
      <c r="D480" t="s">
        <v>87</v>
      </c>
      <c r="E480" t="s">
        <v>84</v>
      </c>
      <c r="F480" t="s">
        <v>85</v>
      </c>
      <c r="G480">
        <v>4</v>
      </c>
      <c r="H480">
        <v>2E+20</v>
      </c>
      <c r="I480">
        <v>4</v>
      </c>
      <c r="J480">
        <v>4</v>
      </c>
      <c r="K480">
        <v>4</v>
      </c>
      <c r="L480">
        <v>0</v>
      </c>
      <c r="M480" s="5" t="str">
        <f>ContinuousStatsTable[[#This Row],[ProjectName]]&amp;ContinuousStatsTable[[#This Row],[Name]]&amp;ContinuousStatsTable[[#This Row],[Type]]&amp;ContinuousStatsTable[[#This Row],[Source]]</f>
        <v>Unnamed Projectmatch_truckcombo.Queue2Number WaitingQueue</v>
      </c>
      <c r="N480" s="5">
        <f t="array" ref="N480">MAX(IF((ProjectInfoTable[ProjectName]=ContinuousStatsTable[[#This Row],[ProjectName]]),(ProjectInfoTable[ProjectName]=ContinuousStatsTable[[#This Row],[ProjectName]])*ProjectInfoTable[NumberOfReplications]))</f>
        <v>15</v>
      </c>
      <c r="O480" s="5">
        <f t="array" ref="O480">IFERROR(AVERAGE(IF((ContinuousStatsTable[GroupByKey]=ContinuousStatsTable[[#This Row],[GroupByKey]]),(ContinuousStatsTable[GroupByKey]=ContinuousStatsTable[[#This Row],[GroupByKey]])*ContinuousStatsTable[Average])),0)</f>
        <v>2.8</v>
      </c>
      <c r="P480" s="5">
        <f t="array" ref="P480">IFERROR(_xlfn.STDEV.S(IF((ContinuousStatsTable[GroupByKey]=ContinuousStatsTable[[#This Row],[GroupByKey]]),(ContinuousStatsTable[GroupByKey]=ContinuousStatsTable[[#This Row],[GroupByKey]])*ContinuousStatsTable[Average])),0)</f>
        <v>5.226307081896902</v>
      </c>
      <c r="Q480" s="5">
        <f t="array" ref="Q480">MAX(IF((ProjectInfoTable[ProjectName]=ContinuousStatsTable[[#This Row],[ProjectName]]),(ProjectInfoTable[ProjectName]=ContinuousStatsTable[[#This Row],[ProjectName]])*ProjectInfoTable[ConfidenceInterval]))</f>
        <v>0.95</v>
      </c>
      <c r="R4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2.8942323925042523</v>
      </c>
      <c r="S480" s="5">
        <f t="array" ref="S480">MIN(IF((ContinuousStatsTable[GroupByKey]=ContinuousStatsTable[[#This Row],[GroupByKey]]),(ContinuousStatsTable[GroupByKey]=ContinuousStatsTable[[#This Row],[GroupByKey]])*ContinuousStatsTable[Average]))</f>
        <v>0</v>
      </c>
      <c r="T480" s="5">
        <f t="array" ref="T480">MAX(IF((ContinuousStatsTable[GroupByKey]=ContinuousStatsTable[[#This Row],[GroupByKey]]),(ContinuousStatsTable[GroupByKey]=ContinuousStatsTable[[#This Row],[GroupByKey]])*ContinuousStatsTable[Average]))</f>
        <v>16</v>
      </c>
      <c r="U480" s="5">
        <f>IF((ContinuousStatsTable[[#This Row],[RepsRequested]]&gt;1),ContinuousStatsTable[[#This Row],[HalfWidth]],ContinuousStatsTable[[#This Row],[BatchMeansHalfWidth]])</f>
        <v>2.8942323925042523</v>
      </c>
    </row>
    <row r="481" spans="1:21" x14ac:dyDescent="0.25">
      <c r="A481" t="s">
        <v>67</v>
      </c>
      <c r="B481" t="s">
        <v>70</v>
      </c>
      <c r="C481">
        <v>11</v>
      </c>
      <c r="D481" t="s">
        <v>88</v>
      </c>
      <c r="E481" t="s">
        <v>72</v>
      </c>
      <c r="F481" t="s">
        <v>73</v>
      </c>
      <c r="G481">
        <v>0</v>
      </c>
      <c r="H481">
        <v>2E+20</v>
      </c>
      <c r="I481">
        <v>0</v>
      </c>
      <c r="J481">
        <v>0</v>
      </c>
      <c r="K481">
        <v>0</v>
      </c>
      <c r="L481">
        <v>0</v>
      </c>
      <c r="M481" s="5" t="str">
        <f>ContinuousStatsTable[[#This Row],[ProjectName]]&amp;ContinuousStatsTable[[#This Row],[Name]]&amp;ContinuousStatsTable[[#This Row],[Type]]&amp;ContinuousStatsTable[[#This Row],[Source]]</f>
        <v>Unnamed ProjectpaintingmachineInstantaneous UtilizationResource</v>
      </c>
      <c r="N481" s="5">
        <f t="array" ref="N481">MAX(IF((ProjectInfoTable[ProjectName]=ContinuousStatsTable[[#This Row],[ProjectName]]),(ProjectInfoTable[ProjectName]=ContinuousStatsTable[[#This Row],[ProjectName]])*ProjectInfoTable[NumberOfReplications]))</f>
        <v>15</v>
      </c>
      <c r="O481" s="5">
        <f t="array" ref="O481">IFERROR(AVERAGE(IF((ContinuousStatsTable[GroupByKey]=ContinuousStatsTable[[#This Row],[GroupByKey]]),(ContinuousStatsTable[GroupByKey]=ContinuousStatsTable[[#This Row],[GroupByKey]])*ContinuousStatsTable[Average])),0)</f>
        <v>0</v>
      </c>
      <c r="P481" s="5">
        <f t="array" ref="P481">IFERROR(_xlfn.STDEV.S(IF((ContinuousStatsTable[GroupByKey]=ContinuousStatsTable[[#This Row],[GroupByKey]]),(ContinuousStatsTable[GroupByKey]=ContinuousStatsTable[[#This Row],[GroupByKey]])*ContinuousStatsTable[Average])),0)</f>
        <v>0</v>
      </c>
      <c r="Q481" s="5">
        <f t="array" ref="Q481">MAX(IF((ProjectInfoTable[ProjectName]=ContinuousStatsTable[[#This Row],[ProjectName]]),(ProjectInfoTable[ProjectName]=ContinuousStatsTable[[#This Row],[ProjectName]])*ProjectInfoTable[ConfidenceInterval]))</f>
        <v>0.95</v>
      </c>
      <c r="R4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1" s="5">
        <f t="array" ref="S481">MIN(IF((ContinuousStatsTable[GroupByKey]=ContinuousStatsTable[[#This Row],[GroupByKey]]),(ContinuousStatsTable[GroupByKey]=ContinuousStatsTable[[#This Row],[GroupByKey]])*ContinuousStatsTable[Average]))</f>
        <v>0</v>
      </c>
      <c r="T481" s="5">
        <f t="array" ref="T481">MAX(IF((ContinuousStatsTable[GroupByKey]=ContinuousStatsTable[[#This Row],[GroupByKey]]),(ContinuousStatsTable[GroupByKey]=ContinuousStatsTable[[#This Row],[GroupByKey]])*ContinuousStatsTable[Average]))</f>
        <v>0</v>
      </c>
      <c r="U481" s="5">
        <f>IF((ContinuousStatsTable[[#This Row],[RepsRequested]]&gt;1),ContinuousStatsTable[[#This Row],[HalfWidth]],ContinuousStatsTable[[#This Row],[BatchMeansHalfWidth]])</f>
        <v>0</v>
      </c>
    </row>
    <row r="482" spans="1:21" x14ac:dyDescent="0.25">
      <c r="A482" t="s">
        <v>67</v>
      </c>
      <c r="B482" t="s">
        <v>70</v>
      </c>
      <c r="C482">
        <v>11</v>
      </c>
      <c r="D482" t="s">
        <v>88</v>
      </c>
      <c r="E482" t="s">
        <v>74</v>
      </c>
      <c r="F482" t="s">
        <v>73</v>
      </c>
      <c r="G482">
        <v>0</v>
      </c>
      <c r="H482">
        <v>2E+20</v>
      </c>
      <c r="I482">
        <v>0</v>
      </c>
      <c r="J482">
        <v>0</v>
      </c>
      <c r="K482">
        <v>0</v>
      </c>
      <c r="L482">
        <v>0</v>
      </c>
      <c r="M482" s="5" t="str">
        <f>ContinuousStatsTable[[#This Row],[ProjectName]]&amp;ContinuousStatsTable[[#This Row],[Name]]&amp;ContinuousStatsTable[[#This Row],[Type]]&amp;ContinuousStatsTable[[#This Row],[Source]]</f>
        <v>Unnamed ProjectpaintingmachineNumber BusyResource</v>
      </c>
      <c r="N482" s="5">
        <f t="array" ref="N482">MAX(IF((ProjectInfoTable[ProjectName]=ContinuousStatsTable[[#This Row],[ProjectName]]),(ProjectInfoTable[ProjectName]=ContinuousStatsTable[[#This Row],[ProjectName]])*ProjectInfoTable[NumberOfReplications]))</f>
        <v>15</v>
      </c>
      <c r="O482" s="5">
        <f t="array" ref="O482">IFERROR(AVERAGE(IF((ContinuousStatsTable[GroupByKey]=ContinuousStatsTable[[#This Row],[GroupByKey]]),(ContinuousStatsTable[GroupByKey]=ContinuousStatsTable[[#This Row],[GroupByKey]])*ContinuousStatsTable[Average])),0)</f>
        <v>0</v>
      </c>
      <c r="P482" s="5">
        <f t="array" ref="P482">IFERROR(_xlfn.STDEV.S(IF((ContinuousStatsTable[GroupByKey]=ContinuousStatsTable[[#This Row],[GroupByKey]]),(ContinuousStatsTable[GroupByKey]=ContinuousStatsTable[[#This Row],[GroupByKey]])*ContinuousStatsTable[Average])),0)</f>
        <v>0</v>
      </c>
      <c r="Q482" s="5">
        <f t="array" ref="Q482">MAX(IF((ProjectInfoTable[ProjectName]=ContinuousStatsTable[[#This Row],[ProjectName]]),(ProjectInfoTable[ProjectName]=ContinuousStatsTable[[#This Row],[ProjectName]])*ProjectInfoTable[ConfidenceInterval]))</f>
        <v>0.95</v>
      </c>
      <c r="R4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2" s="5">
        <f t="array" ref="S482">MIN(IF((ContinuousStatsTable[GroupByKey]=ContinuousStatsTable[[#This Row],[GroupByKey]]),(ContinuousStatsTable[GroupByKey]=ContinuousStatsTable[[#This Row],[GroupByKey]])*ContinuousStatsTable[Average]))</f>
        <v>0</v>
      </c>
      <c r="T482" s="5">
        <f t="array" ref="T482">MAX(IF((ContinuousStatsTable[GroupByKey]=ContinuousStatsTable[[#This Row],[GroupByKey]]),(ContinuousStatsTable[GroupByKey]=ContinuousStatsTable[[#This Row],[GroupByKey]])*ContinuousStatsTable[Average]))</f>
        <v>0</v>
      </c>
      <c r="U482" s="5">
        <f>IF((ContinuousStatsTable[[#This Row],[RepsRequested]]&gt;1),ContinuousStatsTable[[#This Row],[HalfWidth]],ContinuousStatsTable[[#This Row],[BatchMeansHalfWidth]])</f>
        <v>0</v>
      </c>
    </row>
    <row r="483" spans="1:21" x14ac:dyDescent="0.25">
      <c r="A483" t="s">
        <v>67</v>
      </c>
      <c r="B483" t="s">
        <v>70</v>
      </c>
      <c r="C483">
        <v>11</v>
      </c>
      <c r="D483" t="s">
        <v>88</v>
      </c>
      <c r="E483" t="s">
        <v>75</v>
      </c>
      <c r="F483" t="s">
        <v>73</v>
      </c>
      <c r="G483">
        <v>1</v>
      </c>
      <c r="H483">
        <v>2E+20</v>
      </c>
      <c r="I483">
        <v>1</v>
      </c>
      <c r="J483">
        <v>1</v>
      </c>
      <c r="K483">
        <v>1</v>
      </c>
      <c r="L483">
        <v>0</v>
      </c>
      <c r="M483" s="5" t="str">
        <f>ContinuousStatsTable[[#This Row],[ProjectName]]&amp;ContinuousStatsTable[[#This Row],[Name]]&amp;ContinuousStatsTable[[#This Row],[Type]]&amp;ContinuousStatsTable[[#This Row],[Source]]</f>
        <v>Unnamed ProjectpaintingmachineNumber ScheduledResource</v>
      </c>
      <c r="N483" s="5">
        <f t="array" ref="N483">MAX(IF((ProjectInfoTable[ProjectName]=ContinuousStatsTable[[#This Row],[ProjectName]]),(ProjectInfoTable[ProjectName]=ContinuousStatsTable[[#This Row],[ProjectName]])*ProjectInfoTable[NumberOfReplications]))</f>
        <v>15</v>
      </c>
      <c r="O483" s="5">
        <f t="array" ref="O483">IFERROR(AVERAGE(IF((ContinuousStatsTable[GroupByKey]=ContinuousStatsTable[[#This Row],[GroupByKey]]),(ContinuousStatsTable[GroupByKey]=ContinuousStatsTable[[#This Row],[GroupByKey]])*ContinuousStatsTable[Average])),0)</f>
        <v>1</v>
      </c>
      <c r="P483" s="5">
        <f t="array" ref="P483">IFERROR(_xlfn.STDEV.S(IF((ContinuousStatsTable[GroupByKey]=ContinuousStatsTable[[#This Row],[GroupByKey]]),(ContinuousStatsTable[GroupByKey]=ContinuousStatsTable[[#This Row],[GroupByKey]])*ContinuousStatsTable[Average])),0)</f>
        <v>0</v>
      </c>
      <c r="Q483" s="5">
        <f t="array" ref="Q483">MAX(IF((ProjectInfoTable[ProjectName]=ContinuousStatsTable[[#This Row],[ProjectName]]),(ProjectInfoTable[ProjectName]=ContinuousStatsTable[[#This Row],[ProjectName]])*ProjectInfoTable[ConfidenceInterval]))</f>
        <v>0.95</v>
      </c>
      <c r="R4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3" s="5">
        <f t="array" ref="S483">MIN(IF((ContinuousStatsTable[GroupByKey]=ContinuousStatsTable[[#This Row],[GroupByKey]]),(ContinuousStatsTable[GroupByKey]=ContinuousStatsTable[[#This Row],[GroupByKey]])*ContinuousStatsTable[Average]))</f>
        <v>1</v>
      </c>
      <c r="T483" s="5">
        <f t="array" ref="T483">MAX(IF((ContinuousStatsTable[GroupByKey]=ContinuousStatsTable[[#This Row],[GroupByKey]]),(ContinuousStatsTable[GroupByKey]=ContinuousStatsTable[[#This Row],[GroupByKey]])*ContinuousStatsTable[Average]))</f>
        <v>1</v>
      </c>
      <c r="U483" s="5">
        <f>IF((ContinuousStatsTable[[#This Row],[RepsRequested]]&gt;1),ContinuousStatsTable[[#This Row],[HalfWidth]],ContinuousStatsTable[[#This Row],[BatchMeansHalfWidth]])</f>
        <v>0</v>
      </c>
    </row>
    <row r="484" spans="1:21" x14ac:dyDescent="0.25">
      <c r="A484" t="s">
        <v>67</v>
      </c>
      <c r="B484" t="s">
        <v>70</v>
      </c>
      <c r="C484">
        <v>11</v>
      </c>
      <c r="D484" t="s">
        <v>89</v>
      </c>
      <c r="E484" t="s">
        <v>72</v>
      </c>
      <c r="F484" t="s">
        <v>73</v>
      </c>
      <c r="G484">
        <v>0</v>
      </c>
      <c r="H484">
        <v>2E+20</v>
      </c>
      <c r="I484">
        <v>0</v>
      </c>
      <c r="J484">
        <v>0</v>
      </c>
      <c r="K484">
        <v>0</v>
      </c>
      <c r="L484">
        <v>0</v>
      </c>
      <c r="M484" s="5" t="str">
        <f>ContinuousStatsTable[[#This Row],[ProjectName]]&amp;ContinuousStatsTable[[#This Row],[Name]]&amp;ContinuousStatsTable[[#This Row],[Type]]&amp;ContinuousStatsTable[[#This Row],[Source]]</f>
        <v>Unnamed ProjectpaintingoperatorInstantaneous UtilizationResource</v>
      </c>
      <c r="N484" s="5">
        <f t="array" ref="N484">MAX(IF((ProjectInfoTable[ProjectName]=ContinuousStatsTable[[#This Row],[ProjectName]]),(ProjectInfoTable[ProjectName]=ContinuousStatsTable[[#This Row],[ProjectName]])*ProjectInfoTable[NumberOfReplications]))</f>
        <v>15</v>
      </c>
      <c r="O484" s="5">
        <f t="array" ref="O484">IFERROR(AVERAGE(IF((ContinuousStatsTable[GroupByKey]=ContinuousStatsTable[[#This Row],[GroupByKey]]),(ContinuousStatsTable[GroupByKey]=ContinuousStatsTable[[#This Row],[GroupByKey]])*ContinuousStatsTable[Average])),0)</f>
        <v>0</v>
      </c>
      <c r="P484" s="5">
        <f t="array" ref="P484">IFERROR(_xlfn.STDEV.S(IF((ContinuousStatsTable[GroupByKey]=ContinuousStatsTable[[#This Row],[GroupByKey]]),(ContinuousStatsTable[GroupByKey]=ContinuousStatsTable[[#This Row],[GroupByKey]])*ContinuousStatsTable[Average])),0)</f>
        <v>0</v>
      </c>
      <c r="Q484" s="5">
        <f t="array" ref="Q484">MAX(IF((ProjectInfoTable[ProjectName]=ContinuousStatsTable[[#This Row],[ProjectName]]),(ProjectInfoTable[ProjectName]=ContinuousStatsTable[[#This Row],[ProjectName]])*ProjectInfoTable[ConfidenceInterval]))</f>
        <v>0.95</v>
      </c>
      <c r="R4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4" s="5">
        <f t="array" ref="S484">MIN(IF((ContinuousStatsTable[GroupByKey]=ContinuousStatsTable[[#This Row],[GroupByKey]]),(ContinuousStatsTable[GroupByKey]=ContinuousStatsTable[[#This Row],[GroupByKey]])*ContinuousStatsTable[Average]))</f>
        <v>0</v>
      </c>
      <c r="T484" s="5">
        <f t="array" ref="T484">MAX(IF((ContinuousStatsTable[GroupByKey]=ContinuousStatsTable[[#This Row],[GroupByKey]]),(ContinuousStatsTable[GroupByKey]=ContinuousStatsTable[[#This Row],[GroupByKey]])*ContinuousStatsTable[Average]))</f>
        <v>0</v>
      </c>
      <c r="U484" s="5">
        <f>IF((ContinuousStatsTable[[#This Row],[RepsRequested]]&gt;1),ContinuousStatsTable[[#This Row],[HalfWidth]],ContinuousStatsTable[[#This Row],[BatchMeansHalfWidth]])</f>
        <v>0</v>
      </c>
    </row>
    <row r="485" spans="1:21" x14ac:dyDescent="0.25">
      <c r="A485" t="s">
        <v>67</v>
      </c>
      <c r="B485" t="s">
        <v>70</v>
      </c>
      <c r="C485">
        <v>11</v>
      </c>
      <c r="D485" t="s">
        <v>89</v>
      </c>
      <c r="E485" t="s">
        <v>74</v>
      </c>
      <c r="F485" t="s">
        <v>73</v>
      </c>
      <c r="G485">
        <v>0</v>
      </c>
      <c r="H485">
        <v>2E+20</v>
      </c>
      <c r="I485">
        <v>0</v>
      </c>
      <c r="J485">
        <v>0</v>
      </c>
      <c r="K485">
        <v>0</v>
      </c>
      <c r="L485">
        <v>0</v>
      </c>
      <c r="M485" s="5" t="str">
        <f>ContinuousStatsTable[[#This Row],[ProjectName]]&amp;ContinuousStatsTable[[#This Row],[Name]]&amp;ContinuousStatsTable[[#This Row],[Type]]&amp;ContinuousStatsTable[[#This Row],[Source]]</f>
        <v>Unnamed ProjectpaintingoperatorNumber BusyResource</v>
      </c>
      <c r="N485" s="5">
        <f t="array" ref="N485">MAX(IF((ProjectInfoTable[ProjectName]=ContinuousStatsTable[[#This Row],[ProjectName]]),(ProjectInfoTable[ProjectName]=ContinuousStatsTable[[#This Row],[ProjectName]])*ProjectInfoTable[NumberOfReplications]))</f>
        <v>15</v>
      </c>
      <c r="O485" s="5">
        <f t="array" ref="O485">IFERROR(AVERAGE(IF((ContinuousStatsTable[GroupByKey]=ContinuousStatsTable[[#This Row],[GroupByKey]]),(ContinuousStatsTable[GroupByKey]=ContinuousStatsTable[[#This Row],[GroupByKey]])*ContinuousStatsTable[Average])),0)</f>
        <v>0</v>
      </c>
      <c r="P485" s="5">
        <f t="array" ref="P485">IFERROR(_xlfn.STDEV.S(IF((ContinuousStatsTable[GroupByKey]=ContinuousStatsTable[[#This Row],[GroupByKey]]),(ContinuousStatsTable[GroupByKey]=ContinuousStatsTable[[#This Row],[GroupByKey]])*ContinuousStatsTable[Average])),0)</f>
        <v>0</v>
      </c>
      <c r="Q485" s="5">
        <f t="array" ref="Q485">MAX(IF((ProjectInfoTable[ProjectName]=ContinuousStatsTable[[#This Row],[ProjectName]]),(ProjectInfoTable[ProjectName]=ContinuousStatsTable[[#This Row],[ProjectName]])*ProjectInfoTable[ConfidenceInterval]))</f>
        <v>0.95</v>
      </c>
      <c r="R4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5" s="5">
        <f t="array" ref="S485">MIN(IF((ContinuousStatsTable[GroupByKey]=ContinuousStatsTable[[#This Row],[GroupByKey]]),(ContinuousStatsTable[GroupByKey]=ContinuousStatsTable[[#This Row],[GroupByKey]])*ContinuousStatsTable[Average]))</f>
        <v>0</v>
      </c>
      <c r="T485" s="5">
        <f t="array" ref="T485">MAX(IF((ContinuousStatsTable[GroupByKey]=ContinuousStatsTable[[#This Row],[GroupByKey]]),(ContinuousStatsTable[GroupByKey]=ContinuousStatsTable[[#This Row],[GroupByKey]])*ContinuousStatsTable[Average]))</f>
        <v>0</v>
      </c>
      <c r="U485" s="5">
        <f>IF((ContinuousStatsTable[[#This Row],[RepsRequested]]&gt;1),ContinuousStatsTable[[#This Row],[HalfWidth]],ContinuousStatsTable[[#This Row],[BatchMeansHalfWidth]])</f>
        <v>0</v>
      </c>
    </row>
    <row r="486" spans="1:21" x14ac:dyDescent="0.25">
      <c r="A486" t="s">
        <v>67</v>
      </c>
      <c r="B486" t="s">
        <v>70</v>
      </c>
      <c r="C486">
        <v>11</v>
      </c>
      <c r="D486" t="s">
        <v>89</v>
      </c>
      <c r="E486" t="s">
        <v>75</v>
      </c>
      <c r="F486" t="s">
        <v>73</v>
      </c>
      <c r="G486">
        <v>1.5834999999999999</v>
      </c>
      <c r="H486">
        <v>3E+20</v>
      </c>
      <c r="I486">
        <v>1</v>
      </c>
      <c r="J486">
        <v>2</v>
      </c>
      <c r="K486">
        <v>2</v>
      </c>
      <c r="L486">
        <v>0</v>
      </c>
      <c r="M486" s="5" t="str">
        <f>ContinuousStatsTable[[#This Row],[ProjectName]]&amp;ContinuousStatsTable[[#This Row],[Name]]&amp;ContinuousStatsTable[[#This Row],[Type]]&amp;ContinuousStatsTable[[#This Row],[Source]]</f>
        <v>Unnamed ProjectpaintingoperatorNumber ScheduledResource</v>
      </c>
      <c r="N486" s="5">
        <f t="array" ref="N486">MAX(IF((ProjectInfoTable[ProjectName]=ContinuousStatsTable[[#This Row],[ProjectName]]),(ProjectInfoTable[ProjectName]=ContinuousStatsTable[[#This Row],[ProjectName]])*ProjectInfoTable[NumberOfReplications]))</f>
        <v>15</v>
      </c>
      <c r="O486" s="5">
        <f t="array" ref="O486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486" s="5">
        <f t="array" ref="P486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486" s="5">
        <f t="array" ref="Q486">MAX(IF((ProjectInfoTable[ProjectName]=ContinuousStatsTable[[#This Row],[ProjectName]]),(ProjectInfoTable[ProjectName]=ContinuousStatsTable[[#This Row],[ProjectName]])*ProjectInfoTable[ConfidenceInterval]))</f>
        <v>0.95</v>
      </c>
      <c r="R4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486" s="5">
        <f t="array" ref="S486">MIN(IF((ContinuousStatsTable[GroupByKey]=ContinuousStatsTable[[#This Row],[GroupByKey]]),(ContinuousStatsTable[GroupByKey]=ContinuousStatsTable[[#This Row],[GroupByKey]])*ContinuousStatsTable[Average]))</f>
        <v>1</v>
      </c>
      <c r="T486" s="5">
        <f t="array" ref="T486">MAX(IF((ContinuousStatsTable[GroupByKey]=ContinuousStatsTable[[#This Row],[GroupByKey]]),(ContinuousStatsTable[GroupByKey]=ContinuousStatsTable[[#This Row],[GroupByKey]])*ContinuousStatsTable[Average]))</f>
        <v>2</v>
      </c>
      <c r="U486" s="5">
        <f>IF((ContinuousStatsTable[[#This Row],[RepsRequested]]&gt;1),ContinuousStatsTable[[#This Row],[HalfWidth]],ContinuousStatsTable[[#This Row],[BatchMeansHalfWidth]])</f>
        <v>0.13376733135491528</v>
      </c>
    </row>
    <row r="487" spans="1:21" x14ac:dyDescent="0.25">
      <c r="A487" t="s">
        <v>67</v>
      </c>
      <c r="B487" t="s">
        <v>70</v>
      </c>
      <c r="C487">
        <v>11</v>
      </c>
      <c r="D487" t="s">
        <v>90</v>
      </c>
      <c r="E487" t="s">
        <v>72</v>
      </c>
      <c r="F487" t="s">
        <v>73</v>
      </c>
      <c r="G487">
        <v>0</v>
      </c>
      <c r="H487">
        <v>2E+20</v>
      </c>
      <c r="I487">
        <v>0</v>
      </c>
      <c r="J487">
        <v>0</v>
      </c>
      <c r="K487">
        <v>0</v>
      </c>
      <c r="L487">
        <v>0</v>
      </c>
      <c r="M487" s="5" t="str">
        <f>ContinuousStatsTable[[#This Row],[ProjectName]]&amp;ContinuousStatsTable[[#This Row],[Name]]&amp;ContinuousStatsTable[[#This Row],[Type]]&amp;ContinuousStatsTable[[#This Row],[Source]]</f>
        <v>Unnamed ProjectsandblastmachineInstantaneous UtilizationResource</v>
      </c>
      <c r="N487" s="5">
        <f t="array" ref="N487">MAX(IF((ProjectInfoTable[ProjectName]=ContinuousStatsTable[[#This Row],[ProjectName]]),(ProjectInfoTable[ProjectName]=ContinuousStatsTable[[#This Row],[ProjectName]])*ProjectInfoTable[NumberOfReplications]))</f>
        <v>15</v>
      </c>
      <c r="O487" s="5">
        <f t="array" ref="O487">IFERROR(AVERAGE(IF((ContinuousStatsTable[GroupByKey]=ContinuousStatsTable[[#This Row],[GroupByKey]]),(ContinuousStatsTable[GroupByKey]=ContinuousStatsTable[[#This Row],[GroupByKey]])*ContinuousStatsTable[Average])),0)</f>
        <v>0</v>
      </c>
      <c r="P487" s="5">
        <f t="array" ref="P487">IFERROR(_xlfn.STDEV.S(IF((ContinuousStatsTable[GroupByKey]=ContinuousStatsTable[[#This Row],[GroupByKey]]),(ContinuousStatsTable[GroupByKey]=ContinuousStatsTable[[#This Row],[GroupByKey]])*ContinuousStatsTable[Average])),0)</f>
        <v>0</v>
      </c>
      <c r="Q487" s="5">
        <f t="array" ref="Q487">MAX(IF((ProjectInfoTable[ProjectName]=ContinuousStatsTable[[#This Row],[ProjectName]]),(ProjectInfoTable[ProjectName]=ContinuousStatsTable[[#This Row],[ProjectName]])*ProjectInfoTable[ConfidenceInterval]))</f>
        <v>0.95</v>
      </c>
      <c r="R4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7" s="5">
        <f t="array" ref="S487">MIN(IF((ContinuousStatsTable[GroupByKey]=ContinuousStatsTable[[#This Row],[GroupByKey]]),(ContinuousStatsTable[GroupByKey]=ContinuousStatsTable[[#This Row],[GroupByKey]])*ContinuousStatsTable[Average]))</f>
        <v>0</v>
      </c>
      <c r="T487" s="5">
        <f t="array" ref="T487">MAX(IF((ContinuousStatsTable[GroupByKey]=ContinuousStatsTable[[#This Row],[GroupByKey]]),(ContinuousStatsTable[GroupByKey]=ContinuousStatsTable[[#This Row],[GroupByKey]])*ContinuousStatsTable[Average]))</f>
        <v>0</v>
      </c>
      <c r="U487" s="5">
        <f>IF((ContinuousStatsTable[[#This Row],[RepsRequested]]&gt;1),ContinuousStatsTable[[#This Row],[HalfWidth]],ContinuousStatsTable[[#This Row],[BatchMeansHalfWidth]])</f>
        <v>0</v>
      </c>
    </row>
    <row r="488" spans="1:21" x14ac:dyDescent="0.25">
      <c r="A488" t="s">
        <v>67</v>
      </c>
      <c r="B488" t="s">
        <v>70</v>
      </c>
      <c r="C488">
        <v>11</v>
      </c>
      <c r="D488" t="s">
        <v>90</v>
      </c>
      <c r="E488" t="s">
        <v>74</v>
      </c>
      <c r="F488" t="s">
        <v>73</v>
      </c>
      <c r="G488">
        <v>0</v>
      </c>
      <c r="H488">
        <v>2E+20</v>
      </c>
      <c r="I488">
        <v>0</v>
      </c>
      <c r="J488">
        <v>0</v>
      </c>
      <c r="K488">
        <v>0</v>
      </c>
      <c r="L488">
        <v>0</v>
      </c>
      <c r="M488" s="5" t="str">
        <f>ContinuousStatsTable[[#This Row],[ProjectName]]&amp;ContinuousStatsTable[[#This Row],[Name]]&amp;ContinuousStatsTable[[#This Row],[Type]]&amp;ContinuousStatsTable[[#This Row],[Source]]</f>
        <v>Unnamed ProjectsandblastmachineNumber BusyResource</v>
      </c>
      <c r="N488" s="5">
        <f t="array" ref="N488">MAX(IF((ProjectInfoTable[ProjectName]=ContinuousStatsTable[[#This Row],[ProjectName]]),(ProjectInfoTable[ProjectName]=ContinuousStatsTable[[#This Row],[ProjectName]])*ProjectInfoTable[NumberOfReplications]))</f>
        <v>15</v>
      </c>
      <c r="O488" s="5">
        <f t="array" ref="O488">IFERROR(AVERAGE(IF((ContinuousStatsTable[GroupByKey]=ContinuousStatsTable[[#This Row],[GroupByKey]]),(ContinuousStatsTable[GroupByKey]=ContinuousStatsTable[[#This Row],[GroupByKey]])*ContinuousStatsTable[Average])),0)</f>
        <v>0</v>
      </c>
      <c r="P488" s="5">
        <f t="array" ref="P488">IFERROR(_xlfn.STDEV.S(IF((ContinuousStatsTable[GroupByKey]=ContinuousStatsTable[[#This Row],[GroupByKey]]),(ContinuousStatsTable[GroupByKey]=ContinuousStatsTable[[#This Row],[GroupByKey]])*ContinuousStatsTable[Average])),0)</f>
        <v>0</v>
      </c>
      <c r="Q488" s="5">
        <f t="array" ref="Q488">MAX(IF((ProjectInfoTable[ProjectName]=ContinuousStatsTable[[#This Row],[ProjectName]]),(ProjectInfoTable[ProjectName]=ContinuousStatsTable[[#This Row],[ProjectName]])*ProjectInfoTable[ConfidenceInterval]))</f>
        <v>0.95</v>
      </c>
      <c r="R4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8" s="5">
        <f t="array" ref="S488">MIN(IF((ContinuousStatsTable[GroupByKey]=ContinuousStatsTable[[#This Row],[GroupByKey]]),(ContinuousStatsTable[GroupByKey]=ContinuousStatsTable[[#This Row],[GroupByKey]])*ContinuousStatsTable[Average]))</f>
        <v>0</v>
      </c>
      <c r="T488" s="5">
        <f t="array" ref="T488">MAX(IF((ContinuousStatsTable[GroupByKey]=ContinuousStatsTable[[#This Row],[GroupByKey]]),(ContinuousStatsTable[GroupByKey]=ContinuousStatsTable[[#This Row],[GroupByKey]])*ContinuousStatsTable[Average]))</f>
        <v>0</v>
      </c>
      <c r="U488" s="5">
        <f>IF((ContinuousStatsTable[[#This Row],[RepsRequested]]&gt;1),ContinuousStatsTable[[#This Row],[HalfWidth]],ContinuousStatsTable[[#This Row],[BatchMeansHalfWidth]])</f>
        <v>0</v>
      </c>
    </row>
    <row r="489" spans="1:21" x14ac:dyDescent="0.25">
      <c r="A489" t="s">
        <v>67</v>
      </c>
      <c r="B489" t="s">
        <v>70</v>
      </c>
      <c r="C489">
        <v>11</v>
      </c>
      <c r="D489" t="s">
        <v>90</v>
      </c>
      <c r="E489" t="s">
        <v>75</v>
      </c>
      <c r="F489" t="s">
        <v>73</v>
      </c>
      <c r="G489">
        <v>1</v>
      </c>
      <c r="H489">
        <v>2E+20</v>
      </c>
      <c r="I489">
        <v>1</v>
      </c>
      <c r="J489">
        <v>1</v>
      </c>
      <c r="K489">
        <v>1</v>
      </c>
      <c r="L489">
        <v>0</v>
      </c>
      <c r="M489" s="5" t="str">
        <f>ContinuousStatsTable[[#This Row],[ProjectName]]&amp;ContinuousStatsTable[[#This Row],[Name]]&amp;ContinuousStatsTable[[#This Row],[Type]]&amp;ContinuousStatsTable[[#This Row],[Source]]</f>
        <v>Unnamed ProjectsandblastmachineNumber ScheduledResource</v>
      </c>
      <c r="N489" s="5">
        <f t="array" ref="N489">MAX(IF((ProjectInfoTable[ProjectName]=ContinuousStatsTable[[#This Row],[ProjectName]]),(ProjectInfoTable[ProjectName]=ContinuousStatsTable[[#This Row],[ProjectName]])*ProjectInfoTable[NumberOfReplications]))</f>
        <v>15</v>
      </c>
      <c r="O489" s="5">
        <f t="array" ref="O489">IFERROR(AVERAGE(IF((ContinuousStatsTable[GroupByKey]=ContinuousStatsTable[[#This Row],[GroupByKey]]),(ContinuousStatsTable[GroupByKey]=ContinuousStatsTable[[#This Row],[GroupByKey]])*ContinuousStatsTable[Average])),0)</f>
        <v>1</v>
      </c>
      <c r="P489" s="5">
        <f t="array" ref="P489">IFERROR(_xlfn.STDEV.S(IF((ContinuousStatsTable[GroupByKey]=ContinuousStatsTable[[#This Row],[GroupByKey]]),(ContinuousStatsTable[GroupByKey]=ContinuousStatsTable[[#This Row],[GroupByKey]])*ContinuousStatsTable[Average])),0)</f>
        <v>0</v>
      </c>
      <c r="Q489" s="5">
        <f t="array" ref="Q489">MAX(IF((ProjectInfoTable[ProjectName]=ContinuousStatsTable[[#This Row],[ProjectName]]),(ProjectInfoTable[ProjectName]=ContinuousStatsTable[[#This Row],[ProjectName]])*ProjectInfoTable[ConfidenceInterval]))</f>
        <v>0.95</v>
      </c>
      <c r="R4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9" s="5">
        <f t="array" ref="S489">MIN(IF((ContinuousStatsTable[GroupByKey]=ContinuousStatsTable[[#This Row],[GroupByKey]]),(ContinuousStatsTable[GroupByKey]=ContinuousStatsTable[[#This Row],[GroupByKey]])*ContinuousStatsTable[Average]))</f>
        <v>1</v>
      </c>
      <c r="T489" s="5">
        <f t="array" ref="T489">MAX(IF((ContinuousStatsTable[GroupByKey]=ContinuousStatsTable[[#This Row],[GroupByKey]]),(ContinuousStatsTable[GroupByKey]=ContinuousStatsTable[[#This Row],[GroupByKey]])*ContinuousStatsTable[Average]))</f>
        <v>1</v>
      </c>
      <c r="U489" s="5">
        <f>IF((ContinuousStatsTable[[#This Row],[RepsRequested]]&gt;1),ContinuousStatsTable[[#This Row],[HalfWidth]],ContinuousStatsTable[[#This Row],[BatchMeansHalfWidth]])</f>
        <v>0</v>
      </c>
    </row>
    <row r="490" spans="1:21" x14ac:dyDescent="0.25">
      <c r="A490" t="s">
        <v>67</v>
      </c>
      <c r="B490" t="s">
        <v>70</v>
      </c>
      <c r="C490">
        <v>11</v>
      </c>
      <c r="D490" t="s">
        <v>91</v>
      </c>
      <c r="E490" t="s">
        <v>72</v>
      </c>
      <c r="F490" t="s">
        <v>73</v>
      </c>
      <c r="G490">
        <v>0</v>
      </c>
      <c r="H490">
        <v>2E+20</v>
      </c>
      <c r="I490">
        <v>0</v>
      </c>
      <c r="J490">
        <v>0</v>
      </c>
      <c r="K490">
        <v>0</v>
      </c>
      <c r="L490">
        <v>0</v>
      </c>
      <c r="M490" s="5" t="str">
        <f>ContinuousStatsTable[[#This Row],[ProjectName]]&amp;ContinuousStatsTable[[#This Row],[Name]]&amp;ContinuousStatsTable[[#This Row],[Type]]&amp;ContinuousStatsTable[[#This Row],[Source]]</f>
        <v>Unnamed ProjectsandblastoperatorInstantaneous UtilizationResource</v>
      </c>
      <c r="N490" s="5">
        <f t="array" ref="N490">MAX(IF((ProjectInfoTable[ProjectName]=ContinuousStatsTable[[#This Row],[ProjectName]]),(ProjectInfoTable[ProjectName]=ContinuousStatsTable[[#This Row],[ProjectName]])*ProjectInfoTable[NumberOfReplications]))</f>
        <v>15</v>
      </c>
      <c r="O490" s="5">
        <f t="array" ref="O490">IFERROR(AVERAGE(IF((ContinuousStatsTable[GroupByKey]=ContinuousStatsTable[[#This Row],[GroupByKey]]),(ContinuousStatsTable[GroupByKey]=ContinuousStatsTable[[#This Row],[GroupByKey]])*ContinuousStatsTable[Average])),0)</f>
        <v>0</v>
      </c>
      <c r="P490" s="5">
        <f t="array" ref="P490">IFERROR(_xlfn.STDEV.S(IF((ContinuousStatsTable[GroupByKey]=ContinuousStatsTable[[#This Row],[GroupByKey]]),(ContinuousStatsTable[GroupByKey]=ContinuousStatsTable[[#This Row],[GroupByKey]])*ContinuousStatsTable[Average])),0)</f>
        <v>0</v>
      </c>
      <c r="Q490" s="5">
        <f t="array" ref="Q490">MAX(IF((ProjectInfoTable[ProjectName]=ContinuousStatsTable[[#This Row],[ProjectName]]),(ProjectInfoTable[ProjectName]=ContinuousStatsTable[[#This Row],[ProjectName]])*ProjectInfoTable[ConfidenceInterval]))</f>
        <v>0.95</v>
      </c>
      <c r="R4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0" s="5">
        <f t="array" ref="S490">MIN(IF((ContinuousStatsTable[GroupByKey]=ContinuousStatsTable[[#This Row],[GroupByKey]]),(ContinuousStatsTable[GroupByKey]=ContinuousStatsTable[[#This Row],[GroupByKey]])*ContinuousStatsTable[Average]))</f>
        <v>0</v>
      </c>
      <c r="T490" s="5">
        <f t="array" ref="T490">MAX(IF((ContinuousStatsTable[GroupByKey]=ContinuousStatsTable[[#This Row],[GroupByKey]]),(ContinuousStatsTable[GroupByKey]=ContinuousStatsTable[[#This Row],[GroupByKey]])*ContinuousStatsTable[Average]))</f>
        <v>0</v>
      </c>
      <c r="U490" s="5">
        <f>IF((ContinuousStatsTable[[#This Row],[RepsRequested]]&gt;1),ContinuousStatsTable[[#This Row],[HalfWidth]],ContinuousStatsTable[[#This Row],[BatchMeansHalfWidth]])</f>
        <v>0</v>
      </c>
    </row>
    <row r="491" spans="1:21" x14ac:dyDescent="0.25">
      <c r="A491" t="s">
        <v>67</v>
      </c>
      <c r="B491" t="s">
        <v>70</v>
      </c>
      <c r="C491">
        <v>11</v>
      </c>
      <c r="D491" t="s">
        <v>91</v>
      </c>
      <c r="E491" t="s">
        <v>74</v>
      </c>
      <c r="F491" t="s">
        <v>73</v>
      </c>
      <c r="G491">
        <v>0</v>
      </c>
      <c r="H491">
        <v>2E+20</v>
      </c>
      <c r="I491">
        <v>0</v>
      </c>
      <c r="J491">
        <v>0</v>
      </c>
      <c r="K491">
        <v>0</v>
      </c>
      <c r="L491">
        <v>0</v>
      </c>
      <c r="M491" s="5" t="str">
        <f>ContinuousStatsTable[[#This Row],[ProjectName]]&amp;ContinuousStatsTable[[#This Row],[Name]]&amp;ContinuousStatsTable[[#This Row],[Type]]&amp;ContinuousStatsTable[[#This Row],[Source]]</f>
        <v>Unnamed ProjectsandblastoperatorNumber BusyResource</v>
      </c>
      <c r="N491" s="5">
        <f t="array" ref="N491">MAX(IF((ProjectInfoTable[ProjectName]=ContinuousStatsTable[[#This Row],[ProjectName]]),(ProjectInfoTable[ProjectName]=ContinuousStatsTable[[#This Row],[ProjectName]])*ProjectInfoTable[NumberOfReplications]))</f>
        <v>15</v>
      </c>
      <c r="O491" s="5">
        <f t="array" ref="O491">IFERROR(AVERAGE(IF((ContinuousStatsTable[GroupByKey]=ContinuousStatsTable[[#This Row],[GroupByKey]]),(ContinuousStatsTable[GroupByKey]=ContinuousStatsTable[[#This Row],[GroupByKey]])*ContinuousStatsTable[Average])),0)</f>
        <v>0</v>
      </c>
      <c r="P491" s="5">
        <f t="array" ref="P491">IFERROR(_xlfn.STDEV.S(IF((ContinuousStatsTable[GroupByKey]=ContinuousStatsTable[[#This Row],[GroupByKey]]),(ContinuousStatsTable[GroupByKey]=ContinuousStatsTable[[#This Row],[GroupByKey]])*ContinuousStatsTable[Average])),0)</f>
        <v>0</v>
      </c>
      <c r="Q491" s="5">
        <f t="array" ref="Q491">MAX(IF((ProjectInfoTable[ProjectName]=ContinuousStatsTable[[#This Row],[ProjectName]]),(ProjectInfoTable[ProjectName]=ContinuousStatsTable[[#This Row],[ProjectName]])*ProjectInfoTable[ConfidenceInterval]))</f>
        <v>0.95</v>
      </c>
      <c r="R4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1" s="5">
        <f t="array" ref="S491">MIN(IF((ContinuousStatsTable[GroupByKey]=ContinuousStatsTable[[#This Row],[GroupByKey]]),(ContinuousStatsTable[GroupByKey]=ContinuousStatsTable[[#This Row],[GroupByKey]])*ContinuousStatsTable[Average]))</f>
        <v>0</v>
      </c>
      <c r="T491" s="5">
        <f t="array" ref="T491">MAX(IF((ContinuousStatsTable[GroupByKey]=ContinuousStatsTable[[#This Row],[GroupByKey]]),(ContinuousStatsTable[GroupByKey]=ContinuousStatsTable[[#This Row],[GroupByKey]])*ContinuousStatsTable[Average]))</f>
        <v>0</v>
      </c>
      <c r="U491" s="5">
        <f>IF((ContinuousStatsTable[[#This Row],[RepsRequested]]&gt;1),ContinuousStatsTable[[#This Row],[HalfWidth]],ContinuousStatsTable[[#This Row],[BatchMeansHalfWidth]])</f>
        <v>0</v>
      </c>
    </row>
    <row r="492" spans="1:21" x14ac:dyDescent="0.25">
      <c r="A492" t="s">
        <v>67</v>
      </c>
      <c r="B492" t="s">
        <v>70</v>
      </c>
      <c r="C492">
        <v>11</v>
      </c>
      <c r="D492" t="s">
        <v>91</v>
      </c>
      <c r="E492" t="s">
        <v>75</v>
      </c>
      <c r="F492" t="s">
        <v>73</v>
      </c>
      <c r="G492">
        <v>1.5834999999999999</v>
      </c>
      <c r="H492">
        <v>3E+20</v>
      </c>
      <c r="I492">
        <v>1</v>
      </c>
      <c r="J492">
        <v>2</v>
      </c>
      <c r="K492">
        <v>2</v>
      </c>
      <c r="L492">
        <v>0</v>
      </c>
      <c r="M492" s="5" t="str">
        <f>ContinuousStatsTable[[#This Row],[ProjectName]]&amp;ContinuousStatsTable[[#This Row],[Name]]&amp;ContinuousStatsTable[[#This Row],[Type]]&amp;ContinuousStatsTable[[#This Row],[Source]]</f>
        <v>Unnamed ProjectsandblastoperatorNumber ScheduledResource</v>
      </c>
      <c r="N492" s="5">
        <f t="array" ref="N492">MAX(IF((ProjectInfoTable[ProjectName]=ContinuousStatsTable[[#This Row],[ProjectName]]),(ProjectInfoTable[ProjectName]=ContinuousStatsTable[[#This Row],[ProjectName]])*ProjectInfoTable[NumberOfReplications]))</f>
        <v>15</v>
      </c>
      <c r="O492" s="5">
        <f t="array" ref="O492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492" s="5">
        <f t="array" ref="P492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492" s="5">
        <f t="array" ref="Q492">MAX(IF((ProjectInfoTable[ProjectName]=ContinuousStatsTable[[#This Row],[ProjectName]]),(ProjectInfoTable[ProjectName]=ContinuousStatsTable[[#This Row],[ProjectName]])*ProjectInfoTable[ConfidenceInterval]))</f>
        <v>0.95</v>
      </c>
      <c r="R4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492" s="5">
        <f t="array" ref="S492">MIN(IF((ContinuousStatsTable[GroupByKey]=ContinuousStatsTable[[#This Row],[GroupByKey]]),(ContinuousStatsTable[GroupByKey]=ContinuousStatsTable[[#This Row],[GroupByKey]])*ContinuousStatsTable[Average]))</f>
        <v>1</v>
      </c>
      <c r="T492" s="5">
        <f t="array" ref="T492">MAX(IF((ContinuousStatsTable[GroupByKey]=ContinuousStatsTable[[#This Row],[GroupByKey]]),(ContinuousStatsTable[GroupByKey]=ContinuousStatsTable[[#This Row],[GroupByKey]])*ContinuousStatsTable[Average]))</f>
        <v>2</v>
      </c>
      <c r="U492" s="5">
        <f>IF((ContinuousStatsTable[[#This Row],[RepsRequested]]&gt;1),ContinuousStatsTable[[#This Row],[HalfWidth]],ContinuousStatsTable[[#This Row],[BatchMeansHalfWidth]])</f>
        <v>0.13376733135491528</v>
      </c>
    </row>
    <row r="493" spans="1:21" x14ac:dyDescent="0.25">
      <c r="A493" t="s">
        <v>67</v>
      </c>
      <c r="B493" t="s">
        <v>70</v>
      </c>
      <c r="C493">
        <v>11</v>
      </c>
      <c r="D493" t="s">
        <v>92</v>
      </c>
      <c r="E493" t="s">
        <v>84</v>
      </c>
      <c r="F493" t="s">
        <v>85</v>
      </c>
      <c r="G493">
        <v>0</v>
      </c>
      <c r="H493">
        <v>2E+20</v>
      </c>
      <c r="I493">
        <v>0</v>
      </c>
      <c r="J493">
        <v>0</v>
      </c>
      <c r="K493">
        <v>0</v>
      </c>
      <c r="L493">
        <v>0</v>
      </c>
      <c r="M493" s="5" t="str">
        <f>ContinuousStatsTable[[#This Row],[ProjectName]]&amp;ContinuousStatsTable[[#This Row],[Name]]&amp;ContinuousStatsTable[[#This Row],[Type]]&amp;ContinuousStatsTable[[#This Row],[Source]]</f>
        <v>Unnamed Projectseize_assembler.QueueNumber WaitingQueue</v>
      </c>
      <c r="N493" s="5">
        <f t="array" ref="N493">MAX(IF((ProjectInfoTable[ProjectName]=ContinuousStatsTable[[#This Row],[ProjectName]]),(ProjectInfoTable[ProjectName]=ContinuousStatsTable[[#This Row],[ProjectName]])*ProjectInfoTable[NumberOfReplications]))</f>
        <v>15</v>
      </c>
      <c r="O493" s="5">
        <f t="array" ref="O493">IFERROR(AVERAGE(IF((ContinuousStatsTable[GroupByKey]=ContinuousStatsTable[[#This Row],[GroupByKey]]),(ContinuousStatsTable[GroupByKey]=ContinuousStatsTable[[#This Row],[GroupByKey]])*ContinuousStatsTable[Average])),0)</f>
        <v>0</v>
      </c>
      <c r="P493" s="5">
        <f t="array" ref="P493">IFERROR(_xlfn.STDEV.S(IF((ContinuousStatsTable[GroupByKey]=ContinuousStatsTable[[#This Row],[GroupByKey]]),(ContinuousStatsTable[GroupByKey]=ContinuousStatsTable[[#This Row],[GroupByKey]])*ContinuousStatsTable[Average])),0)</f>
        <v>0</v>
      </c>
      <c r="Q493" s="5">
        <f t="array" ref="Q493">MAX(IF((ProjectInfoTable[ProjectName]=ContinuousStatsTable[[#This Row],[ProjectName]]),(ProjectInfoTable[ProjectName]=ContinuousStatsTable[[#This Row],[ProjectName]])*ProjectInfoTable[ConfidenceInterval]))</f>
        <v>0.95</v>
      </c>
      <c r="R4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3" s="5">
        <f t="array" ref="S493">MIN(IF((ContinuousStatsTable[GroupByKey]=ContinuousStatsTable[[#This Row],[GroupByKey]]),(ContinuousStatsTable[GroupByKey]=ContinuousStatsTable[[#This Row],[GroupByKey]])*ContinuousStatsTable[Average]))</f>
        <v>0</v>
      </c>
      <c r="T493" s="5">
        <f t="array" ref="T493">MAX(IF((ContinuousStatsTable[GroupByKey]=ContinuousStatsTable[[#This Row],[GroupByKey]]),(ContinuousStatsTable[GroupByKey]=ContinuousStatsTable[[#This Row],[GroupByKey]])*ContinuousStatsTable[Average]))</f>
        <v>0</v>
      </c>
      <c r="U493" s="5">
        <f>IF((ContinuousStatsTable[[#This Row],[RepsRequested]]&gt;1),ContinuousStatsTable[[#This Row],[HalfWidth]],ContinuousStatsTable[[#This Row],[BatchMeansHalfWidth]])</f>
        <v>0</v>
      </c>
    </row>
    <row r="494" spans="1:21" x14ac:dyDescent="0.25">
      <c r="A494" t="s">
        <v>67</v>
      </c>
      <c r="B494" t="s">
        <v>70</v>
      </c>
      <c r="C494">
        <v>11</v>
      </c>
      <c r="D494" t="s">
        <v>93</v>
      </c>
      <c r="E494" t="s">
        <v>84</v>
      </c>
      <c r="F494" t="s">
        <v>85</v>
      </c>
      <c r="G494">
        <v>0</v>
      </c>
      <c r="H494">
        <v>2E+20</v>
      </c>
      <c r="I494">
        <v>0</v>
      </c>
      <c r="J494">
        <v>0</v>
      </c>
      <c r="K494">
        <v>0</v>
      </c>
      <c r="L494">
        <v>0</v>
      </c>
      <c r="M494" s="5" t="str">
        <f>ContinuousStatsTable[[#This Row],[ProjectName]]&amp;ContinuousStatsTable[[#This Row],[Name]]&amp;ContinuousStatsTable[[#This Row],[Type]]&amp;ContinuousStatsTable[[#This Row],[Source]]</f>
        <v>Unnamed Projectseize_cutter.QueueNumber WaitingQueue</v>
      </c>
      <c r="N494" s="5">
        <f t="array" ref="N494">MAX(IF((ProjectInfoTable[ProjectName]=ContinuousStatsTable[[#This Row],[ProjectName]]),(ProjectInfoTable[ProjectName]=ContinuousStatsTable[[#This Row],[ProjectName]])*ProjectInfoTable[NumberOfReplications]))</f>
        <v>15</v>
      </c>
      <c r="O494" s="5">
        <f t="array" ref="O494">IFERROR(AVERAGE(IF((ContinuousStatsTable[GroupByKey]=ContinuousStatsTable[[#This Row],[GroupByKey]]),(ContinuousStatsTable[GroupByKey]=ContinuousStatsTable[[#This Row],[GroupByKey]])*ContinuousStatsTable[Average])),0)</f>
        <v>0</v>
      </c>
      <c r="P494" s="5">
        <f t="array" ref="P494">IFERROR(_xlfn.STDEV.S(IF((ContinuousStatsTable[GroupByKey]=ContinuousStatsTable[[#This Row],[GroupByKey]]),(ContinuousStatsTable[GroupByKey]=ContinuousStatsTable[[#This Row],[GroupByKey]])*ContinuousStatsTable[Average])),0)</f>
        <v>0</v>
      </c>
      <c r="Q494" s="5">
        <f t="array" ref="Q494">MAX(IF((ProjectInfoTable[ProjectName]=ContinuousStatsTable[[#This Row],[ProjectName]]),(ProjectInfoTable[ProjectName]=ContinuousStatsTable[[#This Row],[ProjectName]])*ProjectInfoTable[ConfidenceInterval]))</f>
        <v>0.95</v>
      </c>
      <c r="R4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4" s="5">
        <f t="array" ref="S494">MIN(IF((ContinuousStatsTable[GroupByKey]=ContinuousStatsTable[[#This Row],[GroupByKey]]),(ContinuousStatsTable[GroupByKey]=ContinuousStatsTable[[#This Row],[GroupByKey]])*ContinuousStatsTable[Average]))</f>
        <v>0</v>
      </c>
      <c r="T494" s="5">
        <f t="array" ref="T494">MAX(IF((ContinuousStatsTable[GroupByKey]=ContinuousStatsTable[[#This Row],[GroupByKey]]),(ContinuousStatsTable[GroupByKey]=ContinuousStatsTable[[#This Row],[GroupByKey]])*ContinuousStatsTable[Average]))</f>
        <v>0</v>
      </c>
      <c r="U494" s="5">
        <f>IF((ContinuousStatsTable[[#This Row],[RepsRequested]]&gt;1),ContinuousStatsTable[[#This Row],[HalfWidth]],ContinuousStatsTable[[#This Row],[BatchMeansHalfWidth]])</f>
        <v>0</v>
      </c>
    </row>
    <row r="495" spans="1:21" x14ac:dyDescent="0.25">
      <c r="A495" t="s">
        <v>67</v>
      </c>
      <c r="B495" t="s">
        <v>70</v>
      </c>
      <c r="C495">
        <v>11</v>
      </c>
      <c r="D495" t="s">
        <v>94</v>
      </c>
      <c r="E495" t="s">
        <v>84</v>
      </c>
      <c r="F495" t="s">
        <v>85</v>
      </c>
      <c r="G495">
        <v>0</v>
      </c>
      <c r="H495">
        <v>2E+20</v>
      </c>
      <c r="I495">
        <v>0</v>
      </c>
      <c r="J495">
        <v>0</v>
      </c>
      <c r="K495">
        <v>0</v>
      </c>
      <c r="L495">
        <v>0</v>
      </c>
      <c r="M495" s="5" t="str">
        <f>ContinuousStatsTable[[#This Row],[ProjectName]]&amp;ContinuousStatsTable[[#This Row],[Name]]&amp;ContinuousStatsTable[[#This Row],[Type]]&amp;ContinuousStatsTable[[#This Row],[Source]]</f>
        <v>Unnamed Projectseizeassemblyqcman.QueueNumber WaitingQueue</v>
      </c>
      <c r="N495" s="5">
        <f t="array" ref="N495">MAX(IF((ProjectInfoTable[ProjectName]=ContinuousStatsTable[[#This Row],[ProjectName]]),(ProjectInfoTable[ProjectName]=ContinuousStatsTable[[#This Row],[ProjectName]])*ProjectInfoTable[NumberOfReplications]))</f>
        <v>15</v>
      </c>
      <c r="O495" s="5">
        <f t="array" ref="O495">IFERROR(AVERAGE(IF((ContinuousStatsTable[GroupByKey]=ContinuousStatsTable[[#This Row],[GroupByKey]]),(ContinuousStatsTable[GroupByKey]=ContinuousStatsTable[[#This Row],[GroupByKey]])*ContinuousStatsTable[Average])),0)</f>
        <v>0</v>
      </c>
      <c r="P495" s="5">
        <f t="array" ref="P495">IFERROR(_xlfn.STDEV.S(IF((ContinuousStatsTable[GroupByKey]=ContinuousStatsTable[[#This Row],[GroupByKey]]),(ContinuousStatsTable[GroupByKey]=ContinuousStatsTable[[#This Row],[GroupByKey]])*ContinuousStatsTable[Average])),0)</f>
        <v>0</v>
      </c>
      <c r="Q495" s="5">
        <f t="array" ref="Q495">MAX(IF((ProjectInfoTable[ProjectName]=ContinuousStatsTable[[#This Row],[ProjectName]]),(ProjectInfoTable[ProjectName]=ContinuousStatsTable[[#This Row],[ProjectName]])*ProjectInfoTable[ConfidenceInterval]))</f>
        <v>0.95</v>
      </c>
      <c r="R4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5" s="5">
        <f t="array" ref="S495">MIN(IF((ContinuousStatsTable[GroupByKey]=ContinuousStatsTable[[#This Row],[GroupByKey]]),(ContinuousStatsTable[GroupByKey]=ContinuousStatsTable[[#This Row],[GroupByKey]])*ContinuousStatsTable[Average]))</f>
        <v>0</v>
      </c>
      <c r="T495" s="5">
        <f t="array" ref="T495">MAX(IF((ContinuousStatsTable[GroupByKey]=ContinuousStatsTable[[#This Row],[GroupByKey]]),(ContinuousStatsTable[GroupByKey]=ContinuousStatsTable[[#This Row],[GroupByKey]])*ContinuousStatsTable[Average]))</f>
        <v>0</v>
      </c>
      <c r="U495" s="5">
        <f>IF((ContinuousStatsTable[[#This Row],[RepsRequested]]&gt;1),ContinuousStatsTable[[#This Row],[HalfWidth]],ContinuousStatsTable[[#This Row],[BatchMeansHalfWidth]])</f>
        <v>0</v>
      </c>
    </row>
    <row r="496" spans="1:21" x14ac:dyDescent="0.25">
      <c r="A496" t="s">
        <v>67</v>
      </c>
      <c r="B496" t="s">
        <v>70</v>
      </c>
      <c r="C496">
        <v>11</v>
      </c>
      <c r="D496" t="s">
        <v>95</v>
      </c>
      <c r="E496" t="s">
        <v>84</v>
      </c>
      <c r="F496" t="s">
        <v>85</v>
      </c>
      <c r="G496">
        <v>0</v>
      </c>
      <c r="H496">
        <v>2E+20</v>
      </c>
      <c r="I496">
        <v>0</v>
      </c>
      <c r="J496">
        <v>0</v>
      </c>
      <c r="K496">
        <v>0</v>
      </c>
      <c r="L496">
        <v>0</v>
      </c>
      <c r="M496" s="5" t="str">
        <f>ContinuousStatsTable[[#This Row],[ProjectName]]&amp;ContinuousStatsTable[[#This Row],[Name]]&amp;ContinuousStatsTable[[#This Row],[Type]]&amp;ContinuousStatsTable[[#This Row],[Source]]</f>
        <v>Unnamed Projectseizecleaner.QueueNumber WaitingQueue</v>
      </c>
      <c r="N496" s="5">
        <f t="array" ref="N496">MAX(IF((ProjectInfoTable[ProjectName]=ContinuousStatsTable[[#This Row],[ProjectName]]),(ProjectInfoTable[ProjectName]=ContinuousStatsTable[[#This Row],[ProjectName]])*ProjectInfoTable[NumberOfReplications]))</f>
        <v>15</v>
      </c>
      <c r="O496" s="5">
        <f t="array" ref="O496">IFERROR(AVERAGE(IF((ContinuousStatsTable[GroupByKey]=ContinuousStatsTable[[#This Row],[GroupByKey]]),(ContinuousStatsTable[GroupByKey]=ContinuousStatsTable[[#This Row],[GroupByKey]])*ContinuousStatsTable[Average])),0)</f>
        <v>0</v>
      </c>
      <c r="P496" s="5">
        <f t="array" ref="P496">IFERROR(_xlfn.STDEV.S(IF((ContinuousStatsTable[GroupByKey]=ContinuousStatsTable[[#This Row],[GroupByKey]]),(ContinuousStatsTable[GroupByKey]=ContinuousStatsTable[[#This Row],[GroupByKey]])*ContinuousStatsTable[Average])),0)</f>
        <v>0</v>
      </c>
      <c r="Q496" s="5">
        <f t="array" ref="Q496">MAX(IF((ProjectInfoTable[ProjectName]=ContinuousStatsTable[[#This Row],[ProjectName]]),(ProjectInfoTable[ProjectName]=ContinuousStatsTable[[#This Row],[ProjectName]])*ProjectInfoTable[ConfidenceInterval]))</f>
        <v>0.95</v>
      </c>
      <c r="R4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6" s="5">
        <f t="array" ref="S496">MIN(IF((ContinuousStatsTable[GroupByKey]=ContinuousStatsTable[[#This Row],[GroupByKey]]),(ContinuousStatsTable[GroupByKey]=ContinuousStatsTable[[#This Row],[GroupByKey]])*ContinuousStatsTable[Average]))</f>
        <v>0</v>
      </c>
      <c r="T496" s="5">
        <f t="array" ref="T496">MAX(IF((ContinuousStatsTable[GroupByKey]=ContinuousStatsTable[[#This Row],[GroupByKey]]),(ContinuousStatsTable[GroupByKey]=ContinuousStatsTable[[#This Row],[GroupByKey]])*ContinuousStatsTable[Average]))</f>
        <v>0</v>
      </c>
      <c r="U496" s="5">
        <f>IF((ContinuousStatsTable[[#This Row],[RepsRequested]]&gt;1),ContinuousStatsTable[[#This Row],[HalfWidth]],ContinuousStatsTable[[#This Row],[BatchMeansHalfWidth]])</f>
        <v>0</v>
      </c>
    </row>
    <row r="497" spans="1:21" x14ac:dyDescent="0.25">
      <c r="A497" t="s">
        <v>67</v>
      </c>
      <c r="B497" t="s">
        <v>70</v>
      </c>
      <c r="C497">
        <v>11</v>
      </c>
      <c r="D497" t="s">
        <v>96</v>
      </c>
      <c r="E497" t="s">
        <v>84</v>
      </c>
      <c r="F497" t="s">
        <v>85</v>
      </c>
      <c r="G497">
        <v>0</v>
      </c>
      <c r="H497">
        <v>2E+20</v>
      </c>
      <c r="I497">
        <v>0</v>
      </c>
      <c r="J497">
        <v>0</v>
      </c>
      <c r="K497">
        <v>0</v>
      </c>
      <c r="L497">
        <v>0</v>
      </c>
      <c r="M497" s="5" t="str">
        <f>ContinuousStatsTable[[#This Row],[ProjectName]]&amp;ContinuousStatsTable[[#This Row],[Name]]&amp;ContinuousStatsTable[[#This Row],[Type]]&amp;ContinuousStatsTable[[#This Row],[Source]]</f>
        <v>Unnamed Projectseizepainter.QueueNumber WaitingQueue</v>
      </c>
      <c r="N497" s="5">
        <f t="array" ref="N497">MAX(IF((ProjectInfoTable[ProjectName]=ContinuousStatsTable[[#This Row],[ProjectName]]),(ProjectInfoTable[ProjectName]=ContinuousStatsTable[[#This Row],[ProjectName]])*ProjectInfoTable[NumberOfReplications]))</f>
        <v>15</v>
      </c>
      <c r="O497" s="5">
        <f t="array" ref="O497">IFERROR(AVERAGE(IF((ContinuousStatsTable[GroupByKey]=ContinuousStatsTable[[#This Row],[GroupByKey]]),(ContinuousStatsTable[GroupByKey]=ContinuousStatsTable[[#This Row],[GroupByKey]])*ContinuousStatsTable[Average])),0)</f>
        <v>0</v>
      </c>
      <c r="P497" s="5">
        <f t="array" ref="P497">IFERROR(_xlfn.STDEV.S(IF((ContinuousStatsTable[GroupByKey]=ContinuousStatsTable[[#This Row],[GroupByKey]]),(ContinuousStatsTable[GroupByKey]=ContinuousStatsTable[[#This Row],[GroupByKey]])*ContinuousStatsTable[Average])),0)</f>
        <v>0</v>
      </c>
      <c r="Q497" s="5">
        <f t="array" ref="Q497">MAX(IF((ProjectInfoTable[ProjectName]=ContinuousStatsTable[[#This Row],[ProjectName]]),(ProjectInfoTable[ProjectName]=ContinuousStatsTable[[#This Row],[ProjectName]])*ProjectInfoTable[ConfidenceInterval]))</f>
        <v>0.95</v>
      </c>
      <c r="R4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7" s="5">
        <f t="array" ref="S497">MIN(IF((ContinuousStatsTable[GroupByKey]=ContinuousStatsTable[[#This Row],[GroupByKey]]),(ContinuousStatsTable[GroupByKey]=ContinuousStatsTable[[#This Row],[GroupByKey]])*ContinuousStatsTable[Average]))</f>
        <v>0</v>
      </c>
      <c r="T497" s="5">
        <f t="array" ref="T497">MAX(IF((ContinuousStatsTable[GroupByKey]=ContinuousStatsTable[[#This Row],[GroupByKey]]),(ContinuousStatsTable[GroupByKey]=ContinuousStatsTable[[#This Row],[GroupByKey]])*ContinuousStatsTable[Average]))</f>
        <v>0</v>
      </c>
      <c r="U497" s="5">
        <f>IF((ContinuousStatsTable[[#This Row],[RepsRequested]]&gt;1),ContinuousStatsTable[[#This Row],[HalfWidth]],ContinuousStatsTable[[#This Row],[BatchMeansHalfWidth]])</f>
        <v>0</v>
      </c>
    </row>
    <row r="498" spans="1:21" x14ac:dyDescent="0.25">
      <c r="A498" t="s">
        <v>67</v>
      </c>
      <c r="B498" t="s">
        <v>70</v>
      </c>
      <c r="C498">
        <v>11</v>
      </c>
      <c r="D498" t="s">
        <v>97</v>
      </c>
      <c r="E498" t="s">
        <v>84</v>
      </c>
      <c r="F498" t="s">
        <v>85</v>
      </c>
      <c r="G498">
        <v>0</v>
      </c>
      <c r="H498">
        <v>2E+20</v>
      </c>
      <c r="I498">
        <v>0</v>
      </c>
      <c r="J498">
        <v>0</v>
      </c>
      <c r="K498">
        <v>0</v>
      </c>
      <c r="L498">
        <v>0</v>
      </c>
      <c r="M498" s="5" t="str">
        <f>ContinuousStatsTable[[#This Row],[ProjectName]]&amp;ContinuousStatsTable[[#This Row],[Name]]&amp;ContinuousStatsTable[[#This Row],[Type]]&amp;ContinuousStatsTable[[#This Row],[Source]]</f>
        <v>Unnamed Projectseizeqcman.QueueNumber WaitingQueue</v>
      </c>
      <c r="N498" s="5">
        <f t="array" ref="N498">MAX(IF((ProjectInfoTable[ProjectName]=ContinuousStatsTable[[#This Row],[ProjectName]]),(ProjectInfoTable[ProjectName]=ContinuousStatsTable[[#This Row],[ProjectName]])*ProjectInfoTable[NumberOfReplications]))</f>
        <v>15</v>
      </c>
      <c r="O498" s="5">
        <f t="array" ref="O498">IFERROR(AVERAGE(IF((ContinuousStatsTable[GroupByKey]=ContinuousStatsTable[[#This Row],[GroupByKey]]),(ContinuousStatsTable[GroupByKey]=ContinuousStatsTable[[#This Row],[GroupByKey]])*ContinuousStatsTable[Average])),0)</f>
        <v>0</v>
      </c>
      <c r="P498" s="5">
        <f t="array" ref="P498">IFERROR(_xlfn.STDEV.S(IF((ContinuousStatsTable[GroupByKey]=ContinuousStatsTable[[#This Row],[GroupByKey]]),(ContinuousStatsTable[GroupByKey]=ContinuousStatsTable[[#This Row],[GroupByKey]])*ContinuousStatsTable[Average])),0)</f>
        <v>0</v>
      </c>
      <c r="Q498" s="5">
        <f t="array" ref="Q498">MAX(IF((ProjectInfoTable[ProjectName]=ContinuousStatsTable[[#This Row],[ProjectName]]),(ProjectInfoTable[ProjectName]=ContinuousStatsTable[[#This Row],[ProjectName]])*ProjectInfoTable[ConfidenceInterval]))</f>
        <v>0.95</v>
      </c>
      <c r="R4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8" s="5">
        <f t="array" ref="S498">MIN(IF((ContinuousStatsTable[GroupByKey]=ContinuousStatsTable[[#This Row],[GroupByKey]]),(ContinuousStatsTable[GroupByKey]=ContinuousStatsTable[[#This Row],[GroupByKey]])*ContinuousStatsTable[Average]))</f>
        <v>0</v>
      </c>
      <c r="T498" s="5">
        <f t="array" ref="T498">MAX(IF((ContinuousStatsTable[GroupByKey]=ContinuousStatsTable[[#This Row],[GroupByKey]]),(ContinuousStatsTable[GroupByKey]=ContinuousStatsTable[[#This Row],[GroupByKey]])*ContinuousStatsTable[Average]))</f>
        <v>0</v>
      </c>
      <c r="U498" s="5">
        <f>IF((ContinuousStatsTable[[#This Row],[RepsRequested]]&gt;1),ContinuousStatsTable[[#This Row],[HalfWidth]],ContinuousStatsTable[[#This Row],[BatchMeansHalfWidth]])</f>
        <v>0</v>
      </c>
    </row>
    <row r="499" spans="1:21" x14ac:dyDescent="0.25">
      <c r="A499" t="s">
        <v>67</v>
      </c>
      <c r="B499" t="s">
        <v>70</v>
      </c>
      <c r="C499">
        <v>11</v>
      </c>
      <c r="D499" t="s">
        <v>98</v>
      </c>
      <c r="E499" t="s">
        <v>84</v>
      </c>
      <c r="F499" t="s">
        <v>85</v>
      </c>
      <c r="G499">
        <v>0</v>
      </c>
      <c r="H499">
        <v>2E+20</v>
      </c>
      <c r="I499">
        <v>0</v>
      </c>
      <c r="J499">
        <v>0</v>
      </c>
      <c r="K499">
        <v>0</v>
      </c>
      <c r="L499">
        <v>0</v>
      </c>
      <c r="M499" s="5" t="str">
        <f>ContinuousStatsTable[[#This Row],[ProjectName]]&amp;ContinuousStatsTable[[#This Row],[Name]]&amp;ContinuousStatsTable[[#This Row],[Type]]&amp;ContinuousStatsTable[[#This Row],[Source]]</f>
        <v>Unnamed Projectseizesandblaster.QueueNumber WaitingQueue</v>
      </c>
      <c r="N499" s="5">
        <f t="array" ref="N499">MAX(IF((ProjectInfoTable[ProjectName]=ContinuousStatsTable[[#This Row],[ProjectName]]),(ProjectInfoTable[ProjectName]=ContinuousStatsTable[[#This Row],[ProjectName]])*ProjectInfoTable[NumberOfReplications]))</f>
        <v>15</v>
      </c>
      <c r="O499" s="5">
        <f t="array" ref="O499">IFERROR(AVERAGE(IF((ContinuousStatsTable[GroupByKey]=ContinuousStatsTable[[#This Row],[GroupByKey]]),(ContinuousStatsTable[GroupByKey]=ContinuousStatsTable[[#This Row],[GroupByKey]])*ContinuousStatsTable[Average])),0)</f>
        <v>0</v>
      </c>
      <c r="P499" s="5">
        <f t="array" ref="P499">IFERROR(_xlfn.STDEV.S(IF((ContinuousStatsTable[GroupByKey]=ContinuousStatsTable[[#This Row],[GroupByKey]]),(ContinuousStatsTable[GroupByKey]=ContinuousStatsTable[[#This Row],[GroupByKey]])*ContinuousStatsTable[Average])),0)</f>
        <v>0</v>
      </c>
      <c r="Q499" s="5">
        <f t="array" ref="Q499">MAX(IF((ProjectInfoTable[ProjectName]=ContinuousStatsTable[[#This Row],[ProjectName]]),(ProjectInfoTable[ProjectName]=ContinuousStatsTable[[#This Row],[ProjectName]])*ProjectInfoTable[ConfidenceInterval]))</f>
        <v>0.95</v>
      </c>
      <c r="R4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9" s="5">
        <f t="array" ref="S499">MIN(IF((ContinuousStatsTable[GroupByKey]=ContinuousStatsTable[[#This Row],[GroupByKey]]),(ContinuousStatsTable[GroupByKey]=ContinuousStatsTable[[#This Row],[GroupByKey]])*ContinuousStatsTable[Average]))</f>
        <v>0</v>
      </c>
      <c r="T499" s="5">
        <f t="array" ref="T499">MAX(IF((ContinuousStatsTable[GroupByKey]=ContinuousStatsTable[[#This Row],[GroupByKey]]),(ContinuousStatsTable[GroupByKey]=ContinuousStatsTable[[#This Row],[GroupByKey]])*ContinuousStatsTable[Average]))</f>
        <v>0</v>
      </c>
      <c r="U499" s="5">
        <f>IF((ContinuousStatsTable[[#This Row],[RepsRequested]]&gt;1),ContinuousStatsTable[[#This Row],[HalfWidth]],ContinuousStatsTable[[#This Row],[BatchMeansHalfWidth]])</f>
        <v>0</v>
      </c>
    </row>
    <row r="500" spans="1:21" x14ac:dyDescent="0.25">
      <c r="A500" t="s">
        <v>67</v>
      </c>
      <c r="B500" t="s">
        <v>70</v>
      </c>
      <c r="C500">
        <v>11</v>
      </c>
      <c r="D500" t="s">
        <v>99</v>
      </c>
      <c r="E500" t="s">
        <v>84</v>
      </c>
      <c r="F500" t="s">
        <v>85</v>
      </c>
      <c r="G500">
        <v>0</v>
      </c>
      <c r="H500">
        <v>2E+20</v>
      </c>
      <c r="I500">
        <v>0</v>
      </c>
      <c r="J500">
        <v>0</v>
      </c>
      <c r="K500">
        <v>0</v>
      </c>
      <c r="L500">
        <v>0</v>
      </c>
      <c r="M500" s="5" t="str">
        <f>ContinuousStatsTable[[#This Row],[ProjectName]]&amp;ContinuousStatsTable[[#This Row],[Name]]&amp;ContinuousStatsTable[[#This Row],[Type]]&amp;ContinuousStatsTable[[#This Row],[Source]]</f>
        <v>Unnamed Projectseizewelder.QueueNumber WaitingQueue</v>
      </c>
      <c r="N500" s="5">
        <f t="array" ref="N500">MAX(IF((ProjectInfoTable[ProjectName]=ContinuousStatsTable[[#This Row],[ProjectName]]),(ProjectInfoTable[ProjectName]=ContinuousStatsTable[[#This Row],[ProjectName]])*ProjectInfoTable[NumberOfReplications]))</f>
        <v>15</v>
      </c>
      <c r="O500" s="5">
        <f t="array" ref="O500">IFERROR(AVERAGE(IF((ContinuousStatsTable[GroupByKey]=ContinuousStatsTable[[#This Row],[GroupByKey]]),(ContinuousStatsTable[GroupByKey]=ContinuousStatsTable[[#This Row],[GroupByKey]])*ContinuousStatsTable[Average])),0)</f>
        <v>0</v>
      </c>
      <c r="P500" s="5">
        <f t="array" ref="P500">IFERROR(_xlfn.STDEV.S(IF((ContinuousStatsTable[GroupByKey]=ContinuousStatsTable[[#This Row],[GroupByKey]]),(ContinuousStatsTable[GroupByKey]=ContinuousStatsTable[[#This Row],[GroupByKey]])*ContinuousStatsTable[Average])),0)</f>
        <v>0</v>
      </c>
      <c r="Q500" s="5">
        <f t="array" ref="Q500">MAX(IF((ProjectInfoTable[ProjectName]=ContinuousStatsTable[[#This Row],[ProjectName]]),(ProjectInfoTable[ProjectName]=ContinuousStatsTable[[#This Row],[ProjectName]])*ProjectInfoTable[ConfidenceInterval]))</f>
        <v>0.95</v>
      </c>
      <c r="R5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0" s="5">
        <f t="array" ref="S500">MIN(IF((ContinuousStatsTable[GroupByKey]=ContinuousStatsTable[[#This Row],[GroupByKey]]),(ContinuousStatsTable[GroupByKey]=ContinuousStatsTable[[#This Row],[GroupByKey]])*ContinuousStatsTable[Average]))</f>
        <v>0</v>
      </c>
      <c r="T500" s="5">
        <f t="array" ref="T500">MAX(IF((ContinuousStatsTable[GroupByKey]=ContinuousStatsTable[[#This Row],[GroupByKey]]),(ContinuousStatsTable[GroupByKey]=ContinuousStatsTable[[#This Row],[GroupByKey]])*ContinuousStatsTable[Average]))</f>
        <v>0</v>
      </c>
      <c r="U500" s="5">
        <f>IF((ContinuousStatsTable[[#This Row],[RepsRequested]]&gt;1),ContinuousStatsTable[[#This Row],[HalfWidth]],ContinuousStatsTable[[#This Row],[BatchMeansHalfWidth]])</f>
        <v>0</v>
      </c>
    </row>
    <row r="501" spans="1:21" x14ac:dyDescent="0.25">
      <c r="A501" t="s">
        <v>67</v>
      </c>
      <c r="B501" t="s">
        <v>70</v>
      </c>
      <c r="C501">
        <v>11</v>
      </c>
      <c r="D501" t="s">
        <v>100</v>
      </c>
      <c r="E501" t="s">
        <v>78</v>
      </c>
      <c r="F501" t="s">
        <v>79</v>
      </c>
      <c r="G501">
        <v>4</v>
      </c>
      <c r="H501">
        <v>2E+20</v>
      </c>
      <c r="I501">
        <v>4</v>
      </c>
      <c r="J501">
        <v>4</v>
      </c>
      <c r="K501">
        <v>4</v>
      </c>
      <c r="L501">
        <v>0</v>
      </c>
      <c r="M501" s="5" t="str">
        <f>ContinuousStatsTable[[#This Row],[ProjectName]]&amp;ContinuousStatsTable[[#This Row],[Name]]&amp;ContinuousStatsTable[[#This Row],[Type]]&amp;ContinuousStatsTable[[#This Row],[Source]]</f>
        <v>Unnamed ProjectsteelsheetWIPEntity</v>
      </c>
      <c r="N501" s="5">
        <f t="array" ref="N501">MAX(IF((ProjectInfoTable[ProjectName]=ContinuousStatsTable[[#This Row],[ProjectName]]),(ProjectInfoTable[ProjectName]=ContinuousStatsTable[[#This Row],[ProjectName]])*ProjectInfoTable[NumberOfReplications]))</f>
        <v>15</v>
      </c>
      <c r="O501" s="5">
        <f t="array" ref="O501">IFERROR(AVERAGE(IF((ContinuousStatsTable[GroupByKey]=ContinuousStatsTable[[#This Row],[GroupByKey]]),(ContinuousStatsTable[GroupByKey]=ContinuousStatsTable[[#This Row],[GroupByKey]])*ContinuousStatsTable[Average])),0)</f>
        <v>6.1333333333333337</v>
      </c>
      <c r="P501" s="5">
        <f t="array" ref="P501">IFERROR(_xlfn.STDEV.S(IF((ContinuousStatsTable[GroupByKey]=ContinuousStatsTable[[#This Row],[GroupByKey]]),(ContinuousStatsTable[GroupByKey]=ContinuousStatsTable[[#This Row],[GroupByKey]])*ContinuousStatsTable[Average])),0)</f>
        <v>5.3166405433005028</v>
      </c>
      <c r="Q501" s="5">
        <f t="array" ref="Q501">MAX(IF((ProjectInfoTable[ProjectName]=ContinuousStatsTable[[#This Row],[ProjectName]]),(ProjectInfoTable[ProjectName]=ContinuousStatsTable[[#This Row],[ProjectName]])*ProjectInfoTable[ConfidenceInterval]))</f>
        <v>0.95</v>
      </c>
      <c r="R5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2.944257396015229</v>
      </c>
      <c r="S501" s="5">
        <f t="array" ref="S501">MIN(IF((ContinuousStatsTable[GroupByKey]=ContinuousStatsTable[[#This Row],[GroupByKey]]),(ContinuousStatsTable[GroupByKey]=ContinuousStatsTable[[#This Row],[GroupByKey]])*ContinuousStatsTable[Average]))</f>
        <v>0</v>
      </c>
      <c r="T501" s="5">
        <f t="array" ref="T501">MAX(IF((ContinuousStatsTable[GroupByKey]=ContinuousStatsTable[[#This Row],[GroupByKey]]),(ContinuousStatsTable[GroupByKey]=ContinuousStatsTable[[#This Row],[GroupByKey]])*ContinuousStatsTable[Average]))</f>
        <v>16</v>
      </c>
      <c r="U501" s="5">
        <f>IF((ContinuousStatsTable[[#This Row],[RepsRequested]]&gt;1),ContinuousStatsTable[[#This Row],[HalfWidth]],ContinuousStatsTable[[#This Row],[BatchMeansHalfWidth]])</f>
        <v>2.944257396015229</v>
      </c>
    </row>
    <row r="502" spans="1:21" x14ac:dyDescent="0.25">
      <c r="A502" t="s">
        <v>67</v>
      </c>
      <c r="B502" t="s">
        <v>70</v>
      </c>
      <c r="C502">
        <v>11</v>
      </c>
      <c r="D502" t="s">
        <v>101</v>
      </c>
      <c r="E502" t="s">
        <v>72</v>
      </c>
      <c r="F502" t="s">
        <v>73</v>
      </c>
      <c r="G502">
        <v>0</v>
      </c>
      <c r="H502">
        <v>2E+20</v>
      </c>
      <c r="I502">
        <v>0</v>
      </c>
      <c r="J502">
        <v>0</v>
      </c>
      <c r="K502">
        <v>0</v>
      </c>
      <c r="L502">
        <v>0</v>
      </c>
      <c r="M502" s="5" t="str">
        <f>ContinuousStatsTable[[#This Row],[ProjectName]]&amp;ContinuousStatsTable[[#This Row],[Name]]&amp;ContinuousStatsTable[[#This Row],[Type]]&amp;ContinuousStatsTable[[#This Row],[Source]]</f>
        <v>Unnamed ProjectwelderInstantaneous UtilizationResource</v>
      </c>
      <c r="N502" s="5">
        <f t="array" ref="N502">MAX(IF((ProjectInfoTable[ProjectName]=ContinuousStatsTable[[#This Row],[ProjectName]]),(ProjectInfoTable[ProjectName]=ContinuousStatsTable[[#This Row],[ProjectName]])*ProjectInfoTable[NumberOfReplications]))</f>
        <v>15</v>
      </c>
      <c r="O502" s="5">
        <f t="array" ref="O502">IFERROR(AVERAGE(IF((ContinuousStatsTable[GroupByKey]=ContinuousStatsTable[[#This Row],[GroupByKey]]),(ContinuousStatsTable[GroupByKey]=ContinuousStatsTable[[#This Row],[GroupByKey]])*ContinuousStatsTable[Average])),0)</f>
        <v>0</v>
      </c>
      <c r="P502" s="5">
        <f t="array" ref="P502">IFERROR(_xlfn.STDEV.S(IF((ContinuousStatsTable[GroupByKey]=ContinuousStatsTable[[#This Row],[GroupByKey]]),(ContinuousStatsTable[GroupByKey]=ContinuousStatsTable[[#This Row],[GroupByKey]])*ContinuousStatsTable[Average])),0)</f>
        <v>0</v>
      </c>
      <c r="Q502" s="5">
        <f t="array" ref="Q502">MAX(IF((ProjectInfoTable[ProjectName]=ContinuousStatsTable[[#This Row],[ProjectName]]),(ProjectInfoTable[ProjectName]=ContinuousStatsTable[[#This Row],[ProjectName]])*ProjectInfoTable[ConfidenceInterval]))</f>
        <v>0.95</v>
      </c>
      <c r="R5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2" s="5">
        <f t="array" ref="S502">MIN(IF((ContinuousStatsTable[GroupByKey]=ContinuousStatsTable[[#This Row],[GroupByKey]]),(ContinuousStatsTable[GroupByKey]=ContinuousStatsTable[[#This Row],[GroupByKey]])*ContinuousStatsTable[Average]))</f>
        <v>0</v>
      </c>
      <c r="T502" s="5">
        <f t="array" ref="T502">MAX(IF((ContinuousStatsTable[GroupByKey]=ContinuousStatsTable[[#This Row],[GroupByKey]]),(ContinuousStatsTable[GroupByKey]=ContinuousStatsTable[[#This Row],[GroupByKey]])*ContinuousStatsTable[Average]))</f>
        <v>0</v>
      </c>
      <c r="U502" s="5">
        <f>IF((ContinuousStatsTable[[#This Row],[RepsRequested]]&gt;1),ContinuousStatsTable[[#This Row],[HalfWidth]],ContinuousStatsTable[[#This Row],[BatchMeansHalfWidth]])</f>
        <v>0</v>
      </c>
    </row>
    <row r="503" spans="1:21" x14ac:dyDescent="0.25">
      <c r="A503" t="s">
        <v>67</v>
      </c>
      <c r="B503" t="s">
        <v>70</v>
      </c>
      <c r="C503">
        <v>11</v>
      </c>
      <c r="D503" t="s">
        <v>101</v>
      </c>
      <c r="E503" t="s">
        <v>74</v>
      </c>
      <c r="F503" t="s">
        <v>73</v>
      </c>
      <c r="G503">
        <v>0</v>
      </c>
      <c r="H503">
        <v>2E+20</v>
      </c>
      <c r="I503">
        <v>0</v>
      </c>
      <c r="J503">
        <v>0</v>
      </c>
      <c r="K503">
        <v>0</v>
      </c>
      <c r="L503">
        <v>0</v>
      </c>
      <c r="M503" s="5" t="str">
        <f>ContinuousStatsTable[[#This Row],[ProjectName]]&amp;ContinuousStatsTable[[#This Row],[Name]]&amp;ContinuousStatsTable[[#This Row],[Type]]&amp;ContinuousStatsTable[[#This Row],[Source]]</f>
        <v>Unnamed ProjectwelderNumber BusyResource</v>
      </c>
      <c r="N503" s="5">
        <f t="array" ref="N503">MAX(IF((ProjectInfoTable[ProjectName]=ContinuousStatsTable[[#This Row],[ProjectName]]),(ProjectInfoTable[ProjectName]=ContinuousStatsTable[[#This Row],[ProjectName]])*ProjectInfoTable[NumberOfReplications]))</f>
        <v>15</v>
      </c>
      <c r="O503" s="5">
        <f t="array" ref="O503">IFERROR(AVERAGE(IF((ContinuousStatsTable[GroupByKey]=ContinuousStatsTable[[#This Row],[GroupByKey]]),(ContinuousStatsTable[GroupByKey]=ContinuousStatsTable[[#This Row],[GroupByKey]])*ContinuousStatsTable[Average])),0)</f>
        <v>0</v>
      </c>
      <c r="P503" s="5">
        <f t="array" ref="P503">IFERROR(_xlfn.STDEV.S(IF((ContinuousStatsTable[GroupByKey]=ContinuousStatsTable[[#This Row],[GroupByKey]]),(ContinuousStatsTable[GroupByKey]=ContinuousStatsTable[[#This Row],[GroupByKey]])*ContinuousStatsTable[Average])),0)</f>
        <v>0</v>
      </c>
      <c r="Q503" s="5">
        <f t="array" ref="Q503">MAX(IF((ProjectInfoTable[ProjectName]=ContinuousStatsTable[[#This Row],[ProjectName]]),(ProjectInfoTable[ProjectName]=ContinuousStatsTable[[#This Row],[ProjectName]])*ProjectInfoTable[ConfidenceInterval]))</f>
        <v>0.95</v>
      </c>
      <c r="R5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3" s="5">
        <f t="array" ref="S503">MIN(IF((ContinuousStatsTable[GroupByKey]=ContinuousStatsTable[[#This Row],[GroupByKey]]),(ContinuousStatsTable[GroupByKey]=ContinuousStatsTable[[#This Row],[GroupByKey]])*ContinuousStatsTable[Average]))</f>
        <v>0</v>
      </c>
      <c r="T503" s="5">
        <f t="array" ref="T503">MAX(IF((ContinuousStatsTable[GroupByKey]=ContinuousStatsTable[[#This Row],[GroupByKey]]),(ContinuousStatsTable[GroupByKey]=ContinuousStatsTable[[#This Row],[GroupByKey]])*ContinuousStatsTable[Average]))</f>
        <v>0</v>
      </c>
      <c r="U503" s="5">
        <f>IF((ContinuousStatsTable[[#This Row],[RepsRequested]]&gt;1),ContinuousStatsTable[[#This Row],[HalfWidth]],ContinuousStatsTable[[#This Row],[BatchMeansHalfWidth]])</f>
        <v>0</v>
      </c>
    </row>
    <row r="504" spans="1:21" x14ac:dyDescent="0.25">
      <c r="A504" t="s">
        <v>67</v>
      </c>
      <c r="B504" t="s">
        <v>70</v>
      </c>
      <c r="C504">
        <v>11</v>
      </c>
      <c r="D504" t="s">
        <v>101</v>
      </c>
      <c r="E504" t="s">
        <v>75</v>
      </c>
      <c r="F504" t="s">
        <v>73</v>
      </c>
      <c r="G504">
        <v>1.5834999999999999</v>
      </c>
      <c r="H504">
        <v>3E+20</v>
      </c>
      <c r="I504">
        <v>1</v>
      </c>
      <c r="J504">
        <v>2</v>
      </c>
      <c r="K504">
        <v>2</v>
      </c>
      <c r="L504">
        <v>0</v>
      </c>
      <c r="M504" s="5" t="str">
        <f>ContinuousStatsTable[[#This Row],[ProjectName]]&amp;ContinuousStatsTable[[#This Row],[Name]]&amp;ContinuousStatsTable[[#This Row],[Type]]&amp;ContinuousStatsTable[[#This Row],[Source]]</f>
        <v>Unnamed ProjectwelderNumber ScheduledResource</v>
      </c>
      <c r="N504" s="5">
        <f t="array" ref="N504">MAX(IF((ProjectInfoTable[ProjectName]=ContinuousStatsTable[[#This Row],[ProjectName]]),(ProjectInfoTable[ProjectName]=ContinuousStatsTable[[#This Row],[ProjectName]])*ProjectInfoTable[NumberOfReplications]))</f>
        <v>15</v>
      </c>
      <c r="O504" s="5">
        <f t="array" ref="O504">IFERROR(AVERAGE(IF((ContinuousStatsTable[GroupByKey]=ContinuousStatsTable[[#This Row],[GroupByKey]]),(ContinuousStatsTable[GroupByKey]=ContinuousStatsTable[[#This Row],[GroupByKey]])*ContinuousStatsTable[Average])),0)</f>
        <v>1.5334531146777051</v>
      </c>
      <c r="P504" s="5">
        <f t="array" ref="P504">IFERROR(_xlfn.STDEV.S(IF((ContinuousStatsTable[GroupByKey]=ContinuousStatsTable[[#This Row],[GroupByKey]]),(ContinuousStatsTable[GroupByKey]=ContinuousStatsTable[[#This Row],[GroupByKey]])*ContinuousStatsTable[Average])),0)</f>
        <v>0.24154952363702747</v>
      </c>
      <c r="Q504" s="5">
        <f t="array" ref="Q504">MAX(IF((ProjectInfoTable[ProjectName]=ContinuousStatsTable[[#This Row],[ProjectName]]),(ProjectInfoTable[ProjectName]=ContinuousStatsTable[[#This Row],[ProjectName]])*ProjectInfoTable[ConfidenceInterval]))</f>
        <v>0.95</v>
      </c>
      <c r="R5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0.13376566756397254</v>
      </c>
      <c r="S504" s="5">
        <f t="array" ref="S504">MIN(IF((ContinuousStatsTable[GroupByKey]=ContinuousStatsTable[[#This Row],[GroupByKey]]),(ContinuousStatsTable[GroupByKey]=ContinuousStatsTable[[#This Row],[GroupByKey]])*ContinuousStatsTable[Average]))</f>
        <v>1</v>
      </c>
      <c r="T504" s="5">
        <f t="array" ref="T504">MAX(IF((ContinuousStatsTable[GroupByKey]=ContinuousStatsTable[[#This Row],[GroupByKey]]),(ContinuousStatsTable[GroupByKey]=ContinuousStatsTable[[#This Row],[GroupByKey]])*ContinuousStatsTable[Average]))</f>
        <v>2</v>
      </c>
      <c r="U504" s="5">
        <f>IF((ContinuousStatsTable[[#This Row],[RepsRequested]]&gt;1),ContinuousStatsTable[[#This Row],[HalfWidth]],ContinuousStatsTable[[#This Row],[BatchMeansHalfWidth]])</f>
        <v>0.13376566756397254</v>
      </c>
    </row>
    <row r="505" spans="1:21" x14ac:dyDescent="0.25">
      <c r="A505" t="s">
        <v>67</v>
      </c>
      <c r="B505" t="s">
        <v>70</v>
      </c>
      <c r="C505">
        <v>11</v>
      </c>
      <c r="D505" t="s">
        <v>102</v>
      </c>
      <c r="E505" t="s">
        <v>72</v>
      </c>
      <c r="F505" t="s">
        <v>73</v>
      </c>
      <c r="G505">
        <v>0</v>
      </c>
      <c r="H505">
        <v>2E+20</v>
      </c>
      <c r="I505">
        <v>0</v>
      </c>
      <c r="J505">
        <v>0</v>
      </c>
      <c r="K505">
        <v>0</v>
      </c>
      <c r="L505">
        <v>0</v>
      </c>
      <c r="M505" s="5" t="str">
        <f>ContinuousStatsTable[[#This Row],[ProjectName]]&amp;ContinuousStatsTable[[#This Row],[Name]]&amp;ContinuousStatsTable[[#This Row],[Type]]&amp;ContinuousStatsTable[[#This Row],[Source]]</f>
        <v>Unnamed ProjectweldingqcworkerInstantaneous UtilizationResource</v>
      </c>
      <c r="N505" s="5">
        <f t="array" ref="N505">MAX(IF((ProjectInfoTable[ProjectName]=ContinuousStatsTable[[#This Row],[ProjectName]]),(ProjectInfoTable[ProjectName]=ContinuousStatsTable[[#This Row],[ProjectName]])*ProjectInfoTable[NumberOfReplications]))</f>
        <v>15</v>
      </c>
      <c r="O505" s="5">
        <f t="array" ref="O505">IFERROR(AVERAGE(IF((ContinuousStatsTable[GroupByKey]=ContinuousStatsTable[[#This Row],[GroupByKey]]),(ContinuousStatsTable[GroupByKey]=ContinuousStatsTable[[#This Row],[GroupByKey]])*ContinuousStatsTable[Average])),0)</f>
        <v>0</v>
      </c>
      <c r="P505" s="5">
        <f t="array" ref="P505">IFERROR(_xlfn.STDEV.S(IF((ContinuousStatsTable[GroupByKey]=ContinuousStatsTable[[#This Row],[GroupByKey]]),(ContinuousStatsTable[GroupByKey]=ContinuousStatsTable[[#This Row],[GroupByKey]])*ContinuousStatsTable[Average])),0)</f>
        <v>0</v>
      </c>
      <c r="Q505" s="5">
        <f t="array" ref="Q505">MAX(IF((ProjectInfoTable[ProjectName]=ContinuousStatsTable[[#This Row],[ProjectName]]),(ProjectInfoTable[ProjectName]=ContinuousStatsTable[[#This Row],[ProjectName]])*ProjectInfoTable[ConfidenceInterval]))</f>
        <v>0.95</v>
      </c>
      <c r="R5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5" s="5">
        <f t="array" ref="S505">MIN(IF((ContinuousStatsTable[GroupByKey]=ContinuousStatsTable[[#This Row],[GroupByKey]]),(ContinuousStatsTable[GroupByKey]=ContinuousStatsTable[[#This Row],[GroupByKey]])*ContinuousStatsTable[Average]))</f>
        <v>0</v>
      </c>
      <c r="T505" s="5">
        <f t="array" ref="T505">MAX(IF((ContinuousStatsTable[GroupByKey]=ContinuousStatsTable[[#This Row],[GroupByKey]]),(ContinuousStatsTable[GroupByKey]=ContinuousStatsTable[[#This Row],[GroupByKey]])*ContinuousStatsTable[Average]))</f>
        <v>0</v>
      </c>
      <c r="U505" s="5">
        <f>IF((ContinuousStatsTable[[#This Row],[RepsRequested]]&gt;1),ContinuousStatsTable[[#This Row],[HalfWidth]],ContinuousStatsTable[[#This Row],[BatchMeansHalfWidth]])</f>
        <v>0</v>
      </c>
    </row>
    <row r="506" spans="1:21" x14ac:dyDescent="0.25">
      <c r="A506" t="s">
        <v>67</v>
      </c>
      <c r="B506" t="s">
        <v>70</v>
      </c>
      <c r="C506">
        <v>11</v>
      </c>
      <c r="D506" t="s">
        <v>102</v>
      </c>
      <c r="E506" t="s">
        <v>74</v>
      </c>
      <c r="F506" t="s">
        <v>73</v>
      </c>
      <c r="G506">
        <v>0</v>
      </c>
      <c r="H506">
        <v>2E+20</v>
      </c>
      <c r="I506">
        <v>0</v>
      </c>
      <c r="J506">
        <v>0</v>
      </c>
      <c r="K506">
        <v>0</v>
      </c>
      <c r="L506">
        <v>0</v>
      </c>
      <c r="M506" s="5" t="str">
        <f>ContinuousStatsTable[[#This Row],[ProjectName]]&amp;ContinuousStatsTable[[#This Row],[Name]]&amp;ContinuousStatsTable[[#This Row],[Type]]&amp;ContinuousStatsTable[[#This Row],[Source]]</f>
        <v>Unnamed ProjectweldingqcworkerNumber BusyResource</v>
      </c>
      <c r="N506" s="5">
        <f t="array" ref="N506">MAX(IF((ProjectInfoTable[ProjectName]=ContinuousStatsTable[[#This Row],[ProjectName]]),(ProjectInfoTable[ProjectName]=ContinuousStatsTable[[#This Row],[ProjectName]])*ProjectInfoTable[NumberOfReplications]))</f>
        <v>15</v>
      </c>
      <c r="O506" s="5">
        <f t="array" ref="O506">IFERROR(AVERAGE(IF((ContinuousStatsTable[GroupByKey]=ContinuousStatsTable[[#This Row],[GroupByKey]]),(ContinuousStatsTable[GroupByKey]=ContinuousStatsTable[[#This Row],[GroupByKey]])*ContinuousStatsTable[Average])),0)</f>
        <v>0</v>
      </c>
      <c r="P506" s="5">
        <f t="array" ref="P506">IFERROR(_xlfn.STDEV.S(IF((ContinuousStatsTable[GroupByKey]=ContinuousStatsTable[[#This Row],[GroupByKey]]),(ContinuousStatsTable[GroupByKey]=ContinuousStatsTable[[#This Row],[GroupByKey]])*ContinuousStatsTable[Average])),0)</f>
        <v>0</v>
      </c>
      <c r="Q506" s="5">
        <f t="array" ref="Q506">MAX(IF((ProjectInfoTable[ProjectName]=ContinuousStatsTable[[#This Row],[ProjectName]]),(ProjectInfoTable[ProjectName]=ContinuousStatsTable[[#This Row],[ProjectName]])*ProjectInfoTable[ConfidenceInterval]))</f>
        <v>0.95</v>
      </c>
      <c r="R5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6" s="5">
        <f t="array" ref="S506">MIN(IF((ContinuousStatsTable[GroupByKey]=ContinuousStatsTable[[#This Row],[GroupByKey]]),(ContinuousStatsTable[GroupByKey]=ContinuousStatsTable[[#This Row],[GroupByKey]])*ContinuousStatsTable[Average]))</f>
        <v>0</v>
      </c>
      <c r="T506" s="5">
        <f t="array" ref="T506">MAX(IF((ContinuousStatsTable[GroupByKey]=ContinuousStatsTable[[#This Row],[GroupByKey]]),(ContinuousStatsTable[GroupByKey]=ContinuousStatsTable[[#This Row],[GroupByKey]])*ContinuousStatsTable[Average]))</f>
        <v>0</v>
      </c>
      <c r="U506" s="5">
        <f>IF((ContinuousStatsTable[[#This Row],[RepsRequested]]&gt;1),ContinuousStatsTable[[#This Row],[HalfWidth]],ContinuousStatsTable[[#This Row],[BatchMeansHalfWidth]])</f>
        <v>0</v>
      </c>
    </row>
    <row r="507" spans="1:21" x14ac:dyDescent="0.25">
      <c r="A507" t="s">
        <v>67</v>
      </c>
      <c r="B507" t="s">
        <v>70</v>
      </c>
      <c r="C507">
        <v>11</v>
      </c>
      <c r="D507" t="s">
        <v>102</v>
      </c>
      <c r="E507" t="s">
        <v>75</v>
      </c>
      <c r="F507" t="s">
        <v>73</v>
      </c>
      <c r="G507">
        <v>1.5834999999999999</v>
      </c>
      <c r="H507">
        <v>3E+20</v>
      </c>
      <c r="I507">
        <v>1</v>
      </c>
      <c r="J507">
        <v>2</v>
      </c>
      <c r="K507">
        <v>2</v>
      </c>
      <c r="L507">
        <v>0</v>
      </c>
      <c r="M507" s="5" t="str">
        <f>ContinuousStatsTable[[#This Row],[ProjectName]]&amp;ContinuousStatsTable[[#This Row],[Name]]&amp;ContinuousStatsTable[[#This Row],[Type]]&amp;ContinuousStatsTable[[#This Row],[Source]]</f>
        <v>Unnamed ProjectweldingqcworkerNumber ScheduledResource</v>
      </c>
      <c r="N507" s="5">
        <f t="array" ref="N507">MAX(IF((ProjectInfoTable[ProjectName]=ContinuousStatsTable[[#This Row],[ProjectName]]),(ProjectInfoTable[ProjectName]=ContinuousStatsTable[[#This Row],[ProjectName]])*ProjectInfoTable[NumberOfReplications]))</f>
        <v>15</v>
      </c>
      <c r="O507" s="5">
        <f t="array" ref="O507">IFERROR(AVERAGE(IF((ContinuousStatsTable[GroupByKey]=ContinuousStatsTable[[#This Row],[GroupByKey]]),(ContinuousStatsTable[GroupByKey]=ContinuousStatsTable[[#This Row],[GroupByKey]])*ContinuousStatsTable[Average])),0)</f>
        <v>1.5334635492504263</v>
      </c>
      <c r="P507" s="5">
        <f t="array" ref="P507">IFERROR(_xlfn.STDEV.S(IF((ContinuousStatsTable[GroupByKey]=ContinuousStatsTable[[#This Row],[GroupByKey]]),(ContinuousStatsTable[GroupByKey]=ContinuousStatsTable[[#This Row],[GroupByKey]])*ContinuousStatsTable[Average])),0)</f>
        <v>0.24155183649982462</v>
      </c>
      <c r="Q507" s="5">
        <f t="array" ref="Q507">MAX(IF((ProjectInfoTable[ProjectName]=ContinuousStatsTable[[#This Row],[ProjectName]]),(ProjectInfoTable[ProjectName]=ContinuousStatsTable[[#This Row],[ProjectName]])*ProjectInfoTable[ConfidenceInterval]))</f>
        <v>0.95</v>
      </c>
      <c r="R5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0.1337669483846978</v>
      </c>
      <c r="S507" s="5">
        <f t="array" ref="S507">MIN(IF((ContinuousStatsTable[GroupByKey]=ContinuousStatsTable[[#This Row],[GroupByKey]]),(ContinuousStatsTable[GroupByKey]=ContinuousStatsTable[[#This Row],[GroupByKey]])*ContinuousStatsTable[Average]))</f>
        <v>1</v>
      </c>
      <c r="T507" s="5">
        <f t="array" ref="T507">MAX(IF((ContinuousStatsTable[GroupByKey]=ContinuousStatsTable[[#This Row],[GroupByKey]]),(ContinuousStatsTable[GroupByKey]=ContinuousStatsTable[[#This Row],[GroupByKey]])*ContinuousStatsTable[Average]))</f>
        <v>2</v>
      </c>
      <c r="U507" s="5">
        <f>IF((ContinuousStatsTable[[#This Row],[RepsRequested]]&gt;1),ContinuousStatsTable[[#This Row],[HalfWidth]],ContinuousStatsTable[[#This Row],[BatchMeansHalfWidth]])</f>
        <v>0.1337669483846978</v>
      </c>
    </row>
    <row r="508" spans="1:21" x14ac:dyDescent="0.25">
      <c r="A508" t="s">
        <v>67</v>
      </c>
      <c r="B508" t="s">
        <v>70</v>
      </c>
      <c r="C508">
        <v>12</v>
      </c>
      <c r="D508" t="s">
        <v>71</v>
      </c>
      <c r="E508" t="s">
        <v>72</v>
      </c>
      <c r="F508" t="s">
        <v>73</v>
      </c>
      <c r="G508">
        <v>0</v>
      </c>
      <c r="H508">
        <v>2E+20</v>
      </c>
      <c r="I508">
        <v>0</v>
      </c>
      <c r="J508">
        <v>0</v>
      </c>
      <c r="K508">
        <v>0</v>
      </c>
      <c r="L508">
        <v>0</v>
      </c>
      <c r="M508" s="5" t="str">
        <f>ContinuousStatsTable[[#This Row],[ProjectName]]&amp;ContinuousStatsTable[[#This Row],[Name]]&amp;ContinuousStatsTable[[#This Row],[Type]]&amp;ContinuousStatsTable[[#This Row],[Source]]</f>
        <v>Unnamed ProjectassemblerInstantaneous UtilizationResource</v>
      </c>
      <c r="N508" s="5">
        <f t="array" ref="N508">MAX(IF((ProjectInfoTable[ProjectName]=ContinuousStatsTable[[#This Row],[ProjectName]]),(ProjectInfoTable[ProjectName]=ContinuousStatsTable[[#This Row],[ProjectName]])*ProjectInfoTable[NumberOfReplications]))</f>
        <v>15</v>
      </c>
      <c r="O508" s="5">
        <f t="array" ref="O508">IFERROR(AVERAGE(IF((ContinuousStatsTable[GroupByKey]=ContinuousStatsTable[[#This Row],[GroupByKey]]),(ContinuousStatsTable[GroupByKey]=ContinuousStatsTable[[#This Row],[GroupByKey]])*ContinuousStatsTable[Average])),0)</f>
        <v>0</v>
      </c>
      <c r="P508" s="5">
        <f t="array" ref="P508">IFERROR(_xlfn.STDEV.S(IF((ContinuousStatsTable[GroupByKey]=ContinuousStatsTable[[#This Row],[GroupByKey]]),(ContinuousStatsTable[GroupByKey]=ContinuousStatsTable[[#This Row],[GroupByKey]])*ContinuousStatsTable[Average])),0)</f>
        <v>0</v>
      </c>
      <c r="Q508" s="5">
        <f t="array" ref="Q508">MAX(IF((ProjectInfoTable[ProjectName]=ContinuousStatsTable[[#This Row],[ProjectName]]),(ProjectInfoTable[ProjectName]=ContinuousStatsTable[[#This Row],[ProjectName]])*ProjectInfoTable[ConfidenceInterval]))</f>
        <v>0.95</v>
      </c>
      <c r="R5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8" s="5">
        <f t="array" ref="S508">MIN(IF((ContinuousStatsTable[GroupByKey]=ContinuousStatsTable[[#This Row],[GroupByKey]]),(ContinuousStatsTable[GroupByKey]=ContinuousStatsTable[[#This Row],[GroupByKey]])*ContinuousStatsTable[Average]))</f>
        <v>0</v>
      </c>
      <c r="T508" s="5">
        <f t="array" ref="T508">MAX(IF((ContinuousStatsTable[GroupByKey]=ContinuousStatsTable[[#This Row],[GroupByKey]]),(ContinuousStatsTable[GroupByKey]=ContinuousStatsTable[[#This Row],[GroupByKey]])*ContinuousStatsTable[Average]))</f>
        <v>0</v>
      </c>
      <c r="U508" s="5">
        <f>IF((ContinuousStatsTable[[#This Row],[RepsRequested]]&gt;1),ContinuousStatsTable[[#This Row],[HalfWidth]],ContinuousStatsTable[[#This Row],[BatchMeansHalfWidth]])</f>
        <v>0</v>
      </c>
    </row>
    <row r="509" spans="1:21" x14ac:dyDescent="0.25">
      <c r="A509" t="s">
        <v>67</v>
      </c>
      <c r="B509" t="s">
        <v>70</v>
      </c>
      <c r="C509">
        <v>12</v>
      </c>
      <c r="D509" t="s">
        <v>71</v>
      </c>
      <c r="E509" t="s">
        <v>74</v>
      </c>
      <c r="F509" t="s">
        <v>73</v>
      </c>
      <c r="G509">
        <v>0</v>
      </c>
      <c r="H509">
        <v>2E+20</v>
      </c>
      <c r="I509">
        <v>0</v>
      </c>
      <c r="J509">
        <v>0</v>
      </c>
      <c r="K509">
        <v>0</v>
      </c>
      <c r="L509">
        <v>0</v>
      </c>
      <c r="M509" s="5" t="str">
        <f>ContinuousStatsTable[[#This Row],[ProjectName]]&amp;ContinuousStatsTable[[#This Row],[Name]]&amp;ContinuousStatsTable[[#This Row],[Type]]&amp;ContinuousStatsTable[[#This Row],[Source]]</f>
        <v>Unnamed ProjectassemblerNumber BusyResource</v>
      </c>
      <c r="N509" s="5">
        <f t="array" ref="N509">MAX(IF((ProjectInfoTable[ProjectName]=ContinuousStatsTable[[#This Row],[ProjectName]]),(ProjectInfoTable[ProjectName]=ContinuousStatsTable[[#This Row],[ProjectName]])*ProjectInfoTable[NumberOfReplications]))</f>
        <v>15</v>
      </c>
      <c r="O509" s="5">
        <f t="array" ref="O509">IFERROR(AVERAGE(IF((ContinuousStatsTable[GroupByKey]=ContinuousStatsTable[[#This Row],[GroupByKey]]),(ContinuousStatsTable[GroupByKey]=ContinuousStatsTable[[#This Row],[GroupByKey]])*ContinuousStatsTable[Average])),0)</f>
        <v>0</v>
      </c>
      <c r="P509" s="5">
        <f t="array" ref="P509">IFERROR(_xlfn.STDEV.S(IF((ContinuousStatsTable[GroupByKey]=ContinuousStatsTable[[#This Row],[GroupByKey]]),(ContinuousStatsTable[GroupByKey]=ContinuousStatsTable[[#This Row],[GroupByKey]])*ContinuousStatsTable[Average])),0)</f>
        <v>0</v>
      </c>
      <c r="Q509" s="5">
        <f t="array" ref="Q509">MAX(IF((ProjectInfoTable[ProjectName]=ContinuousStatsTable[[#This Row],[ProjectName]]),(ProjectInfoTable[ProjectName]=ContinuousStatsTable[[#This Row],[ProjectName]])*ProjectInfoTable[ConfidenceInterval]))</f>
        <v>0.95</v>
      </c>
      <c r="R5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9" s="5">
        <f t="array" ref="S509">MIN(IF((ContinuousStatsTable[GroupByKey]=ContinuousStatsTable[[#This Row],[GroupByKey]]),(ContinuousStatsTable[GroupByKey]=ContinuousStatsTable[[#This Row],[GroupByKey]])*ContinuousStatsTable[Average]))</f>
        <v>0</v>
      </c>
      <c r="T509" s="5">
        <f t="array" ref="T509">MAX(IF((ContinuousStatsTable[GroupByKey]=ContinuousStatsTable[[#This Row],[GroupByKey]]),(ContinuousStatsTable[GroupByKey]=ContinuousStatsTable[[#This Row],[GroupByKey]])*ContinuousStatsTable[Average]))</f>
        <v>0</v>
      </c>
      <c r="U509" s="5">
        <f>IF((ContinuousStatsTable[[#This Row],[RepsRequested]]&gt;1),ContinuousStatsTable[[#This Row],[HalfWidth]],ContinuousStatsTable[[#This Row],[BatchMeansHalfWidth]])</f>
        <v>0</v>
      </c>
    </row>
    <row r="510" spans="1:21" x14ac:dyDescent="0.25">
      <c r="A510" t="s">
        <v>67</v>
      </c>
      <c r="B510" t="s">
        <v>70</v>
      </c>
      <c r="C510">
        <v>12</v>
      </c>
      <c r="D510" t="s">
        <v>71</v>
      </c>
      <c r="E510" t="s">
        <v>75</v>
      </c>
      <c r="F510" t="s">
        <v>73</v>
      </c>
      <c r="G510">
        <v>1.5835195122237</v>
      </c>
      <c r="H510">
        <v>3E+20</v>
      </c>
      <c r="I510">
        <v>1</v>
      </c>
      <c r="J510">
        <v>2</v>
      </c>
      <c r="K510">
        <v>2</v>
      </c>
      <c r="L510">
        <v>0</v>
      </c>
      <c r="M510" s="5" t="str">
        <f>ContinuousStatsTable[[#This Row],[ProjectName]]&amp;ContinuousStatsTable[[#This Row],[Name]]&amp;ContinuousStatsTable[[#This Row],[Type]]&amp;ContinuousStatsTable[[#This Row],[Source]]</f>
        <v>Unnamed ProjectassemblerNumber ScheduledResource</v>
      </c>
      <c r="N510" s="5">
        <f t="array" ref="N510">MAX(IF((ProjectInfoTable[ProjectName]=ContinuousStatsTable[[#This Row],[ProjectName]]),(ProjectInfoTable[ProjectName]=ContinuousStatsTable[[#This Row],[ProjectName]])*ProjectInfoTable[NumberOfReplications]))</f>
        <v>15</v>
      </c>
      <c r="O510" s="5">
        <f t="array" ref="O510">IFERROR(AVERAGE(IF((ContinuousStatsTable[GroupByKey]=ContinuousStatsTable[[#This Row],[GroupByKey]]),(ContinuousStatsTable[GroupByKey]=ContinuousStatsTable[[#This Row],[GroupByKey]])*ContinuousStatsTable[Average])),0)</f>
        <v>1.5333142680768803</v>
      </c>
      <c r="P510" s="5">
        <f t="array" ref="P510">IFERROR(_xlfn.STDEV.S(IF((ContinuousStatsTable[GroupByKey]=ContinuousStatsTable[[#This Row],[GroupByKey]]),(ContinuousStatsTable[GroupByKey]=ContinuousStatsTable[[#This Row],[GroupByKey]])*ContinuousStatsTable[Average])),0)</f>
        <v>0.24151891999367611</v>
      </c>
      <c r="Q510" s="5">
        <f t="array" ref="Q510">MAX(IF((ProjectInfoTable[ProjectName]=ContinuousStatsTable[[#This Row],[ProjectName]]),(ProjectInfoTable[ProjectName]=ContinuousStatsTable[[#This Row],[ProjectName]])*ProjectInfoTable[ConfidenceInterval]))</f>
        <v>0.95</v>
      </c>
      <c r="R5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0.13374871983117992</v>
      </c>
      <c r="S510" s="5">
        <f t="array" ref="S510">MIN(IF((ContinuousStatsTable[GroupByKey]=ContinuousStatsTable[[#This Row],[GroupByKey]]),(ContinuousStatsTable[GroupByKey]=ContinuousStatsTable[[#This Row],[GroupByKey]])*ContinuousStatsTable[Average]))</f>
        <v>1</v>
      </c>
      <c r="T510" s="5">
        <f t="array" ref="T510">MAX(IF((ContinuousStatsTable[GroupByKey]=ContinuousStatsTable[[#This Row],[GroupByKey]]),(ContinuousStatsTable[GroupByKey]=ContinuousStatsTable[[#This Row],[GroupByKey]])*ContinuousStatsTable[Average]))</f>
        <v>2</v>
      </c>
      <c r="U510" s="5">
        <f>IF((ContinuousStatsTable[[#This Row],[RepsRequested]]&gt;1),ContinuousStatsTable[[#This Row],[HalfWidth]],ContinuousStatsTable[[#This Row],[BatchMeansHalfWidth]])</f>
        <v>0.13374871983117992</v>
      </c>
    </row>
    <row r="511" spans="1:21" x14ac:dyDescent="0.25">
      <c r="A511" t="s">
        <v>67</v>
      </c>
      <c r="B511" t="s">
        <v>70</v>
      </c>
      <c r="C511">
        <v>12</v>
      </c>
      <c r="D511" t="s">
        <v>76</v>
      </c>
      <c r="E511" t="s">
        <v>72</v>
      </c>
      <c r="F511" t="s">
        <v>73</v>
      </c>
      <c r="G511">
        <v>0</v>
      </c>
      <c r="H511">
        <v>2E+20</v>
      </c>
      <c r="I511">
        <v>0</v>
      </c>
      <c r="J511">
        <v>0</v>
      </c>
      <c r="K511">
        <v>0</v>
      </c>
      <c r="L511">
        <v>0</v>
      </c>
      <c r="M511" s="5" t="str">
        <f>ContinuousStatsTable[[#This Row],[ProjectName]]&amp;ContinuousStatsTable[[#This Row],[Name]]&amp;ContinuousStatsTable[[#This Row],[Type]]&amp;ContinuousStatsTable[[#This Row],[Source]]</f>
        <v>Unnamed ProjectassemblyqcworkerInstantaneous UtilizationResource</v>
      </c>
      <c r="N511" s="5">
        <f t="array" ref="N511">MAX(IF((ProjectInfoTable[ProjectName]=ContinuousStatsTable[[#This Row],[ProjectName]]),(ProjectInfoTable[ProjectName]=ContinuousStatsTable[[#This Row],[ProjectName]])*ProjectInfoTable[NumberOfReplications]))</f>
        <v>15</v>
      </c>
      <c r="O511" s="5">
        <f t="array" ref="O511">IFERROR(AVERAGE(IF((ContinuousStatsTable[GroupByKey]=ContinuousStatsTable[[#This Row],[GroupByKey]]),(ContinuousStatsTable[GroupByKey]=ContinuousStatsTable[[#This Row],[GroupByKey]])*ContinuousStatsTable[Average])),0)</f>
        <v>0</v>
      </c>
      <c r="P511" s="5">
        <f t="array" ref="P511">IFERROR(_xlfn.STDEV.S(IF((ContinuousStatsTable[GroupByKey]=ContinuousStatsTable[[#This Row],[GroupByKey]]),(ContinuousStatsTable[GroupByKey]=ContinuousStatsTable[[#This Row],[GroupByKey]])*ContinuousStatsTable[Average])),0)</f>
        <v>0</v>
      </c>
      <c r="Q511" s="5">
        <f t="array" ref="Q511">MAX(IF((ProjectInfoTable[ProjectName]=ContinuousStatsTable[[#This Row],[ProjectName]]),(ProjectInfoTable[ProjectName]=ContinuousStatsTable[[#This Row],[ProjectName]])*ProjectInfoTable[ConfidenceInterval]))</f>
        <v>0.95</v>
      </c>
      <c r="R5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1" s="5">
        <f t="array" ref="S511">MIN(IF((ContinuousStatsTable[GroupByKey]=ContinuousStatsTable[[#This Row],[GroupByKey]]),(ContinuousStatsTable[GroupByKey]=ContinuousStatsTable[[#This Row],[GroupByKey]])*ContinuousStatsTable[Average]))</f>
        <v>0</v>
      </c>
      <c r="T511" s="5">
        <f t="array" ref="T511">MAX(IF((ContinuousStatsTable[GroupByKey]=ContinuousStatsTable[[#This Row],[GroupByKey]]),(ContinuousStatsTable[GroupByKey]=ContinuousStatsTable[[#This Row],[GroupByKey]])*ContinuousStatsTable[Average]))</f>
        <v>0</v>
      </c>
      <c r="U511" s="5">
        <f>IF((ContinuousStatsTable[[#This Row],[RepsRequested]]&gt;1),ContinuousStatsTable[[#This Row],[HalfWidth]],ContinuousStatsTable[[#This Row],[BatchMeansHalfWidth]])</f>
        <v>0</v>
      </c>
    </row>
    <row r="512" spans="1:21" x14ac:dyDescent="0.25">
      <c r="A512" t="s">
        <v>67</v>
      </c>
      <c r="B512" t="s">
        <v>70</v>
      </c>
      <c r="C512">
        <v>12</v>
      </c>
      <c r="D512" t="s">
        <v>76</v>
      </c>
      <c r="E512" t="s">
        <v>74</v>
      </c>
      <c r="F512" t="s">
        <v>73</v>
      </c>
      <c r="G512">
        <v>0</v>
      </c>
      <c r="H512">
        <v>2E+20</v>
      </c>
      <c r="I512">
        <v>0</v>
      </c>
      <c r="J512">
        <v>0</v>
      </c>
      <c r="K512">
        <v>0</v>
      </c>
      <c r="L512">
        <v>0</v>
      </c>
      <c r="M512" s="5" t="str">
        <f>ContinuousStatsTable[[#This Row],[ProjectName]]&amp;ContinuousStatsTable[[#This Row],[Name]]&amp;ContinuousStatsTable[[#This Row],[Type]]&amp;ContinuousStatsTable[[#This Row],[Source]]</f>
        <v>Unnamed ProjectassemblyqcworkerNumber BusyResource</v>
      </c>
      <c r="N512" s="5">
        <f t="array" ref="N512">MAX(IF((ProjectInfoTable[ProjectName]=ContinuousStatsTable[[#This Row],[ProjectName]]),(ProjectInfoTable[ProjectName]=ContinuousStatsTable[[#This Row],[ProjectName]])*ProjectInfoTable[NumberOfReplications]))</f>
        <v>15</v>
      </c>
      <c r="O512" s="5">
        <f t="array" ref="O512">IFERROR(AVERAGE(IF((ContinuousStatsTable[GroupByKey]=ContinuousStatsTable[[#This Row],[GroupByKey]]),(ContinuousStatsTable[GroupByKey]=ContinuousStatsTable[[#This Row],[GroupByKey]])*ContinuousStatsTable[Average])),0)</f>
        <v>0</v>
      </c>
      <c r="P512" s="5">
        <f t="array" ref="P512">IFERROR(_xlfn.STDEV.S(IF((ContinuousStatsTable[GroupByKey]=ContinuousStatsTable[[#This Row],[GroupByKey]]),(ContinuousStatsTable[GroupByKey]=ContinuousStatsTable[[#This Row],[GroupByKey]])*ContinuousStatsTable[Average])),0)</f>
        <v>0</v>
      </c>
      <c r="Q512" s="5">
        <f t="array" ref="Q512">MAX(IF((ProjectInfoTable[ProjectName]=ContinuousStatsTable[[#This Row],[ProjectName]]),(ProjectInfoTable[ProjectName]=ContinuousStatsTable[[#This Row],[ProjectName]])*ProjectInfoTable[ConfidenceInterval]))</f>
        <v>0.95</v>
      </c>
      <c r="R5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2" s="5">
        <f t="array" ref="S512">MIN(IF((ContinuousStatsTable[GroupByKey]=ContinuousStatsTable[[#This Row],[GroupByKey]]),(ContinuousStatsTable[GroupByKey]=ContinuousStatsTable[[#This Row],[GroupByKey]])*ContinuousStatsTable[Average]))</f>
        <v>0</v>
      </c>
      <c r="T512" s="5">
        <f t="array" ref="T512">MAX(IF((ContinuousStatsTable[GroupByKey]=ContinuousStatsTable[[#This Row],[GroupByKey]]),(ContinuousStatsTable[GroupByKey]=ContinuousStatsTable[[#This Row],[GroupByKey]])*ContinuousStatsTable[Average]))</f>
        <v>0</v>
      </c>
      <c r="U512" s="5">
        <f>IF((ContinuousStatsTable[[#This Row],[RepsRequested]]&gt;1),ContinuousStatsTable[[#This Row],[HalfWidth]],ContinuousStatsTable[[#This Row],[BatchMeansHalfWidth]])</f>
        <v>0</v>
      </c>
    </row>
    <row r="513" spans="1:21" x14ac:dyDescent="0.25">
      <c r="A513" t="s">
        <v>67</v>
      </c>
      <c r="B513" t="s">
        <v>70</v>
      </c>
      <c r="C513">
        <v>12</v>
      </c>
      <c r="D513" t="s">
        <v>76</v>
      </c>
      <c r="E513" t="s">
        <v>75</v>
      </c>
      <c r="F513" t="s">
        <v>73</v>
      </c>
      <c r="G513">
        <v>1.5834999999999999</v>
      </c>
      <c r="H513">
        <v>3E+20</v>
      </c>
      <c r="I513">
        <v>1</v>
      </c>
      <c r="J513">
        <v>2</v>
      </c>
      <c r="K513">
        <v>2</v>
      </c>
      <c r="L513">
        <v>0</v>
      </c>
      <c r="M513" s="5" t="str">
        <f>ContinuousStatsTable[[#This Row],[ProjectName]]&amp;ContinuousStatsTable[[#This Row],[Name]]&amp;ContinuousStatsTable[[#This Row],[Type]]&amp;ContinuousStatsTable[[#This Row],[Source]]</f>
        <v>Unnamed ProjectassemblyqcworkerNumber ScheduledResource</v>
      </c>
      <c r="N513" s="5">
        <f t="array" ref="N513">MAX(IF((ProjectInfoTable[ProjectName]=ContinuousStatsTable[[#This Row],[ProjectName]]),(ProjectInfoTable[ProjectName]=ContinuousStatsTable[[#This Row],[ProjectName]])*ProjectInfoTable[NumberOfReplications]))</f>
        <v>15</v>
      </c>
      <c r="O513" s="5">
        <f t="array" ref="O513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513" s="5">
        <f t="array" ref="P513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513" s="5">
        <f t="array" ref="Q513">MAX(IF((ProjectInfoTable[ProjectName]=ContinuousStatsTable[[#This Row],[ProjectName]]),(ProjectInfoTable[ProjectName]=ContinuousStatsTable[[#This Row],[ProjectName]])*ProjectInfoTable[ConfidenceInterval]))</f>
        <v>0.95</v>
      </c>
      <c r="R5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513" s="5">
        <f t="array" ref="S513">MIN(IF((ContinuousStatsTable[GroupByKey]=ContinuousStatsTable[[#This Row],[GroupByKey]]),(ContinuousStatsTable[GroupByKey]=ContinuousStatsTable[[#This Row],[GroupByKey]])*ContinuousStatsTable[Average]))</f>
        <v>1</v>
      </c>
      <c r="T513" s="5">
        <f t="array" ref="T513">MAX(IF((ContinuousStatsTable[GroupByKey]=ContinuousStatsTable[[#This Row],[GroupByKey]]),(ContinuousStatsTable[GroupByKey]=ContinuousStatsTable[[#This Row],[GroupByKey]])*ContinuousStatsTable[Average]))</f>
        <v>2</v>
      </c>
      <c r="U513" s="5">
        <f>IF((ContinuousStatsTable[[#This Row],[RepsRequested]]&gt;1),ContinuousStatsTable[[#This Row],[HalfWidth]],ContinuousStatsTable[[#This Row],[BatchMeansHalfWidth]])</f>
        <v>0.13376733135491528</v>
      </c>
    </row>
    <row r="514" spans="1:21" x14ac:dyDescent="0.25">
      <c r="A514" t="s">
        <v>67</v>
      </c>
      <c r="B514" t="s">
        <v>70</v>
      </c>
      <c r="C514">
        <v>12</v>
      </c>
      <c r="D514" t="s">
        <v>77</v>
      </c>
      <c r="E514" t="s">
        <v>78</v>
      </c>
      <c r="F514" t="s">
        <v>79</v>
      </c>
      <c r="G514">
        <v>0</v>
      </c>
      <c r="H514">
        <v>2E+20</v>
      </c>
      <c r="I514">
        <v>0</v>
      </c>
      <c r="J514">
        <v>0</v>
      </c>
      <c r="K514">
        <v>0</v>
      </c>
      <c r="L514">
        <v>0</v>
      </c>
      <c r="M514" s="5" t="str">
        <f>ContinuousStatsTable[[#This Row],[ProjectName]]&amp;ContinuousStatsTable[[#This Row],[Name]]&amp;ContinuousStatsTable[[#This Row],[Type]]&amp;ContinuousStatsTable[[#This Row],[Source]]</f>
        <v>Unnamed Projectbatched_partsWIPEntity</v>
      </c>
      <c r="N514" s="5">
        <f t="array" ref="N514">MAX(IF((ProjectInfoTable[ProjectName]=ContinuousStatsTable[[#This Row],[ProjectName]]),(ProjectInfoTable[ProjectName]=ContinuousStatsTable[[#This Row],[ProjectName]])*ProjectInfoTable[NumberOfReplications]))</f>
        <v>15</v>
      </c>
      <c r="O514" s="5">
        <f t="array" ref="O514">IFERROR(AVERAGE(IF((ContinuousStatsTable[GroupByKey]=ContinuousStatsTable[[#This Row],[GroupByKey]]),(ContinuousStatsTable[GroupByKey]=ContinuousStatsTable[[#This Row],[GroupByKey]])*ContinuousStatsTable[Average])),0)</f>
        <v>0</v>
      </c>
      <c r="P514" s="5">
        <f t="array" ref="P514">IFERROR(_xlfn.STDEV.S(IF((ContinuousStatsTable[GroupByKey]=ContinuousStatsTable[[#This Row],[GroupByKey]]),(ContinuousStatsTable[GroupByKey]=ContinuousStatsTable[[#This Row],[GroupByKey]])*ContinuousStatsTable[Average])),0)</f>
        <v>0</v>
      </c>
      <c r="Q514" s="5">
        <f t="array" ref="Q514">MAX(IF((ProjectInfoTable[ProjectName]=ContinuousStatsTable[[#This Row],[ProjectName]]),(ProjectInfoTable[ProjectName]=ContinuousStatsTable[[#This Row],[ProjectName]])*ProjectInfoTable[ConfidenceInterval]))</f>
        <v>0.95</v>
      </c>
      <c r="R5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4" s="5">
        <f t="array" ref="S514">MIN(IF((ContinuousStatsTable[GroupByKey]=ContinuousStatsTable[[#This Row],[GroupByKey]]),(ContinuousStatsTable[GroupByKey]=ContinuousStatsTable[[#This Row],[GroupByKey]])*ContinuousStatsTable[Average]))</f>
        <v>0</v>
      </c>
      <c r="T514" s="5">
        <f t="array" ref="T514">MAX(IF((ContinuousStatsTable[GroupByKey]=ContinuousStatsTable[[#This Row],[GroupByKey]]),(ContinuousStatsTable[GroupByKey]=ContinuousStatsTable[[#This Row],[GroupByKey]])*ContinuousStatsTable[Average]))</f>
        <v>0</v>
      </c>
      <c r="U514" s="5">
        <f>IF((ContinuousStatsTable[[#This Row],[RepsRequested]]&gt;1),ContinuousStatsTable[[#This Row],[HalfWidth]],ContinuousStatsTable[[#This Row],[BatchMeansHalfWidth]])</f>
        <v>0</v>
      </c>
    </row>
    <row r="515" spans="1:21" x14ac:dyDescent="0.25">
      <c r="A515" t="s">
        <v>67</v>
      </c>
      <c r="B515" t="s">
        <v>70</v>
      </c>
      <c r="C515">
        <v>12</v>
      </c>
      <c r="D515" t="s">
        <v>80</v>
      </c>
      <c r="E515" t="s">
        <v>72</v>
      </c>
      <c r="F515" t="s">
        <v>73</v>
      </c>
      <c r="G515">
        <v>0</v>
      </c>
      <c r="H515">
        <v>2E+20</v>
      </c>
      <c r="I515">
        <v>0</v>
      </c>
      <c r="J515">
        <v>0</v>
      </c>
      <c r="K515">
        <v>0</v>
      </c>
      <c r="L515">
        <v>0</v>
      </c>
      <c r="M515" s="5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515" s="5">
        <f t="array" ref="N515">MAX(IF((ProjectInfoTable[ProjectName]=ContinuousStatsTable[[#This Row],[ProjectName]]),(ProjectInfoTable[ProjectName]=ContinuousStatsTable[[#This Row],[ProjectName]])*ProjectInfoTable[NumberOfReplications]))</f>
        <v>15</v>
      </c>
      <c r="O515" s="5">
        <f t="array" ref="O515">IFERROR(AVERAGE(IF((ContinuousStatsTable[GroupByKey]=ContinuousStatsTable[[#This Row],[GroupByKey]]),(ContinuousStatsTable[GroupByKey]=ContinuousStatsTable[[#This Row],[GroupByKey]])*ContinuousStatsTable[Average])),0)</f>
        <v>0</v>
      </c>
      <c r="P515" s="5">
        <f t="array" ref="P515">IFERROR(_xlfn.STDEV.S(IF((ContinuousStatsTable[GroupByKey]=ContinuousStatsTable[[#This Row],[GroupByKey]]),(ContinuousStatsTable[GroupByKey]=ContinuousStatsTable[[#This Row],[GroupByKey]])*ContinuousStatsTable[Average])),0)</f>
        <v>0</v>
      </c>
      <c r="Q515" s="5">
        <f t="array" ref="Q515">MAX(IF((ProjectInfoTable[ProjectName]=ContinuousStatsTable[[#This Row],[ProjectName]]),(ProjectInfoTable[ProjectName]=ContinuousStatsTable[[#This Row],[ProjectName]])*ProjectInfoTable[ConfidenceInterval]))</f>
        <v>0.95</v>
      </c>
      <c r="R5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5" s="5">
        <f t="array" ref="S515">MIN(IF((ContinuousStatsTable[GroupByKey]=ContinuousStatsTable[[#This Row],[GroupByKey]]),(ContinuousStatsTable[GroupByKey]=ContinuousStatsTable[[#This Row],[GroupByKey]])*ContinuousStatsTable[Average]))</f>
        <v>0</v>
      </c>
      <c r="T515" s="5">
        <f t="array" ref="T515">MAX(IF((ContinuousStatsTable[GroupByKey]=ContinuousStatsTable[[#This Row],[GroupByKey]]),(ContinuousStatsTable[GroupByKey]=ContinuousStatsTable[[#This Row],[GroupByKey]])*ContinuousStatsTable[Average]))</f>
        <v>0</v>
      </c>
      <c r="U515" s="5">
        <f>IF((ContinuousStatsTable[[#This Row],[RepsRequested]]&gt;1),ContinuousStatsTable[[#This Row],[HalfWidth]],ContinuousStatsTable[[#This Row],[BatchMeansHalfWidth]])</f>
        <v>0</v>
      </c>
    </row>
    <row r="516" spans="1:21" x14ac:dyDescent="0.25">
      <c r="A516" t="s">
        <v>67</v>
      </c>
      <c r="B516" t="s">
        <v>70</v>
      </c>
      <c r="C516">
        <v>12</v>
      </c>
      <c r="D516" t="s">
        <v>80</v>
      </c>
      <c r="E516" t="s">
        <v>74</v>
      </c>
      <c r="F516" t="s">
        <v>73</v>
      </c>
      <c r="G516">
        <v>0</v>
      </c>
      <c r="H516">
        <v>2E+20</v>
      </c>
      <c r="I516">
        <v>0</v>
      </c>
      <c r="J516">
        <v>0</v>
      </c>
      <c r="K516">
        <v>0</v>
      </c>
      <c r="L516">
        <v>0</v>
      </c>
      <c r="M516" s="5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516" s="5">
        <f t="array" ref="N516">MAX(IF((ProjectInfoTable[ProjectName]=ContinuousStatsTable[[#This Row],[ProjectName]]),(ProjectInfoTable[ProjectName]=ContinuousStatsTable[[#This Row],[ProjectName]])*ProjectInfoTable[NumberOfReplications]))</f>
        <v>15</v>
      </c>
      <c r="O516" s="5">
        <f t="array" ref="O516">IFERROR(AVERAGE(IF((ContinuousStatsTable[GroupByKey]=ContinuousStatsTable[[#This Row],[GroupByKey]]),(ContinuousStatsTable[GroupByKey]=ContinuousStatsTable[[#This Row],[GroupByKey]])*ContinuousStatsTable[Average])),0)</f>
        <v>0</v>
      </c>
      <c r="P516" s="5">
        <f t="array" ref="P516">IFERROR(_xlfn.STDEV.S(IF((ContinuousStatsTable[GroupByKey]=ContinuousStatsTable[[#This Row],[GroupByKey]]),(ContinuousStatsTable[GroupByKey]=ContinuousStatsTable[[#This Row],[GroupByKey]])*ContinuousStatsTable[Average])),0)</f>
        <v>0</v>
      </c>
      <c r="Q516" s="5">
        <f t="array" ref="Q516">MAX(IF((ProjectInfoTable[ProjectName]=ContinuousStatsTable[[#This Row],[ProjectName]]),(ProjectInfoTable[ProjectName]=ContinuousStatsTable[[#This Row],[ProjectName]])*ProjectInfoTable[ConfidenceInterval]))</f>
        <v>0.95</v>
      </c>
      <c r="R5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6" s="5">
        <f t="array" ref="S516">MIN(IF((ContinuousStatsTable[GroupByKey]=ContinuousStatsTable[[#This Row],[GroupByKey]]),(ContinuousStatsTable[GroupByKey]=ContinuousStatsTable[[#This Row],[GroupByKey]])*ContinuousStatsTable[Average]))</f>
        <v>0</v>
      </c>
      <c r="T516" s="5">
        <f t="array" ref="T516">MAX(IF((ContinuousStatsTable[GroupByKey]=ContinuousStatsTable[[#This Row],[GroupByKey]]),(ContinuousStatsTable[GroupByKey]=ContinuousStatsTable[[#This Row],[GroupByKey]])*ContinuousStatsTable[Average]))</f>
        <v>0</v>
      </c>
      <c r="U516" s="5">
        <f>IF((ContinuousStatsTable[[#This Row],[RepsRequested]]&gt;1),ContinuousStatsTable[[#This Row],[HalfWidth]],ContinuousStatsTable[[#This Row],[BatchMeansHalfWidth]])</f>
        <v>0</v>
      </c>
    </row>
    <row r="517" spans="1:21" x14ac:dyDescent="0.25">
      <c r="A517" t="s">
        <v>67</v>
      </c>
      <c r="B517" t="s">
        <v>70</v>
      </c>
      <c r="C517">
        <v>12</v>
      </c>
      <c r="D517" t="s">
        <v>80</v>
      </c>
      <c r="E517" t="s">
        <v>75</v>
      </c>
      <c r="F517" t="s">
        <v>73</v>
      </c>
      <c r="G517">
        <v>1.5834999999999999</v>
      </c>
      <c r="H517">
        <v>3E+20</v>
      </c>
      <c r="I517">
        <v>1</v>
      </c>
      <c r="J517">
        <v>2</v>
      </c>
      <c r="K517">
        <v>2</v>
      </c>
      <c r="L517">
        <v>0</v>
      </c>
      <c r="M517" s="5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517" s="5">
        <f t="array" ref="N517">MAX(IF((ProjectInfoTable[ProjectName]=ContinuousStatsTable[[#This Row],[ProjectName]]),(ProjectInfoTable[ProjectName]=ContinuousStatsTable[[#This Row],[ProjectName]])*ProjectInfoTable[NumberOfReplications]))</f>
        <v>15</v>
      </c>
      <c r="O517" s="5">
        <f t="array" ref="O517">IFERROR(AVERAGE(IF((ContinuousStatsTable[GroupByKey]=ContinuousStatsTable[[#This Row],[GroupByKey]]),(ContinuousStatsTable[GroupByKey]=ContinuousStatsTable[[#This Row],[GroupByKey]])*ContinuousStatsTable[Average])),0)</f>
        <v>1.5334471868881776</v>
      </c>
      <c r="P517" s="5">
        <f t="array" ref="P517">IFERROR(_xlfn.STDEV.S(IF((ContinuousStatsTable[GroupByKey]=ContinuousStatsTable[[#This Row],[GroupByKey]]),(ContinuousStatsTable[GroupByKey]=ContinuousStatsTable[[#This Row],[GroupByKey]])*ContinuousStatsTable[Average])),0)</f>
        <v>0.24154821158553658</v>
      </c>
      <c r="Q517" s="5">
        <f t="array" ref="Q517">MAX(IF((ProjectInfoTable[ProjectName]=ContinuousStatsTable[[#This Row],[ProjectName]]),(ProjectInfoTable[ProjectName]=ContinuousStatsTable[[#This Row],[ProjectName]])*ProjectInfoTable[ConfidenceInterval]))</f>
        <v>0.95</v>
      </c>
      <c r="R5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0.13376494097407529</v>
      </c>
      <c r="S517" s="5">
        <f t="array" ref="S517">MIN(IF((ContinuousStatsTable[GroupByKey]=ContinuousStatsTable[[#This Row],[GroupByKey]]),(ContinuousStatsTable[GroupByKey]=ContinuousStatsTable[[#This Row],[GroupByKey]])*ContinuousStatsTable[Average]))</f>
        <v>1</v>
      </c>
      <c r="T517" s="5">
        <f t="array" ref="T517">MAX(IF((ContinuousStatsTable[GroupByKey]=ContinuousStatsTable[[#This Row],[GroupByKey]]),(ContinuousStatsTable[GroupByKey]=ContinuousStatsTable[[#This Row],[GroupByKey]])*ContinuousStatsTable[Average]))</f>
        <v>2</v>
      </c>
      <c r="U517" s="5">
        <f>IF((ContinuousStatsTable[[#This Row],[RepsRequested]]&gt;1),ContinuousStatsTable[[#This Row],[HalfWidth]],ContinuousStatsTable[[#This Row],[BatchMeansHalfWidth]])</f>
        <v>0.13376494097407529</v>
      </c>
    </row>
    <row r="518" spans="1:21" x14ac:dyDescent="0.25">
      <c r="A518" t="s">
        <v>67</v>
      </c>
      <c r="B518" t="s">
        <v>70</v>
      </c>
      <c r="C518">
        <v>12</v>
      </c>
      <c r="D518" t="s">
        <v>81</v>
      </c>
      <c r="E518" t="s">
        <v>72</v>
      </c>
      <c r="F518" t="s">
        <v>73</v>
      </c>
      <c r="G518">
        <v>0</v>
      </c>
      <c r="H518">
        <v>2E+20</v>
      </c>
      <c r="I518">
        <v>0</v>
      </c>
      <c r="J518">
        <v>0</v>
      </c>
      <c r="K518">
        <v>0</v>
      </c>
      <c r="L518">
        <v>0</v>
      </c>
      <c r="M518" s="5" t="str">
        <f>ContinuousStatsTable[[#This Row],[ProjectName]]&amp;ContinuousStatsTable[[#This Row],[Name]]&amp;ContinuousStatsTable[[#This Row],[Type]]&amp;ContinuousStatsTable[[#This Row],[Source]]</f>
        <v>Unnamed ProjectcutterInstantaneous UtilizationResource</v>
      </c>
      <c r="N518" s="5">
        <f t="array" ref="N518">MAX(IF((ProjectInfoTable[ProjectName]=ContinuousStatsTable[[#This Row],[ProjectName]]),(ProjectInfoTable[ProjectName]=ContinuousStatsTable[[#This Row],[ProjectName]])*ProjectInfoTable[NumberOfReplications]))</f>
        <v>15</v>
      </c>
      <c r="O518" s="5">
        <f t="array" ref="O518">IFERROR(AVERAGE(IF((ContinuousStatsTable[GroupByKey]=ContinuousStatsTable[[#This Row],[GroupByKey]]),(ContinuousStatsTable[GroupByKey]=ContinuousStatsTable[[#This Row],[GroupByKey]])*ContinuousStatsTable[Average])),0)</f>
        <v>0</v>
      </c>
      <c r="P518" s="5">
        <f t="array" ref="P518">IFERROR(_xlfn.STDEV.S(IF((ContinuousStatsTable[GroupByKey]=ContinuousStatsTable[[#This Row],[GroupByKey]]),(ContinuousStatsTable[GroupByKey]=ContinuousStatsTable[[#This Row],[GroupByKey]])*ContinuousStatsTable[Average])),0)</f>
        <v>0</v>
      </c>
      <c r="Q518" s="5">
        <f t="array" ref="Q518">MAX(IF((ProjectInfoTable[ProjectName]=ContinuousStatsTable[[#This Row],[ProjectName]]),(ProjectInfoTable[ProjectName]=ContinuousStatsTable[[#This Row],[ProjectName]])*ProjectInfoTable[ConfidenceInterval]))</f>
        <v>0.95</v>
      </c>
      <c r="R5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8" s="5">
        <f t="array" ref="S518">MIN(IF((ContinuousStatsTable[GroupByKey]=ContinuousStatsTable[[#This Row],[GroupByKey]]),(ContinuousStatsTable[GroupByKey]=ContinuousStatsTable[[#This Row],[GroupByKey]])*ContinuousStatsTable[Average]))</f>
        <v>0</v>
      </c>
      <c r="T518" s="5">
        <f t="array" ref="T518">MAX(IF((ContinuousStatsTable[GroupByKey]=ContinuousStatsTable[[#This Row],[GroupByKey]]),(ContinuousStatsTable[GroupByKey]=ContinuousStatsTable[[#This Row],[GroupByKey]])*ContinuousStatsTable[Average]))</f>
        <v>0</v>
      </c>
      <c r="U518" s="5">
        <f>IF((ContinuousStatsTable[[#This Row],[RepsRequested]]&gt;1),ContinuousStatsTable[[#This Row],[HalfWidth]],ContinuousStatsTable[[#This Row],[BatchMeansHalfWidth]])</f>
        <v>0</v>
      </c>
    </row>
    <row r="519" spans="1:21" x14ac:dyDescent="0.25">
      <c r="A519" t="s">
        <v>67</v>
      </c>
      <c r="B519" t="s">
        <v>70</v>
      </c>
      <c r="C519">
        <v>12</v>
      </c>
      <c r="D519" t="s">
        <v>81</v>
      </c>
      <c r="E519" t="s">
        <v>74</v>
      </c>
      <c r="F519" t="s">
        <v>73</v>
      </c>
      <c r="G519">
        <v>0</v>
      </c>
      <c r="H519">
        <v>2E+20</v>
      </c>
      <c r="I519">
        <v>0</v>
      </c>
      <c r="J519">
        <v>0</v>
      </c>
      <c r="K519">
        <v>0</v>
      </c>
      <c r="L519">
        <v>0</v>
      </c>
      <c r="M519" s="5" t="str">
        <f>ContinuousStatsTable[[#This Row],[ProjectName]]&amp;ContinuousStatsTable[[#This Row],[Name]]&amp;ContinuousStatsTable[[#This Row],[Type]]&amp;ContinuousStatsTable[[#This Row],[Source]]</f>
        <v>Unnamed ProjectcutterNumber BusyResource</v>
      </c>
      <c r="N519" s="5">
        <f t="array" ref="N519">MAX(IF((ProjectInfoTable[ProjectName]=ContinuousStatsTable[[#This Row],[ProjectName]]),(ProjectInfoTable[ProjectName]=ContinuousStatsTable[[#This Row],[ProjectName]])*ProjectInfoTable[NumberOfReplications]))</f>
        <v>15</v>
      </c>
      <c r="O519" s="5">
        <f t="array" ref="O519">IFERROR(AVERAGE(IF((ContinuousStatsTable[GroupByKey]=ContinuousStatsTable[[#This Row],[GroupByKey]]),(ContinuousStatsTable[GroupByKey]=ContinuousStatsTable[[#This Row],[GroupByKey]])*ContinuousStatsTable[Average])),0)</f>
        <v>0</v>
      </c>
      <c r="P519" s="5">
        <f t="array" ref="P519">IFERROR(_xlfn.STDEV.S(IF((ContinuousStatsTable[GroupByKey]=ContinuousStatsTable[[#This Row],[GroupByKey]]),(ContinuousStatsTable[GroupByKey]=ContinuousStatsTable[[#This Row],[GroupByKey]])*ContinuousStatsTable[Average])),0)</f>
        <v>0</v>
      </c>
      <c r="Q519" s="5">
        <f t="array" ref="Q519">MAX(IF((ProjectInfoTable[ProjectName]=ContinuousStatsTable[[#This Row],[ProjectName]]),(ProjectInfoTable[ProjectName]=ContinuousStatsTable[[#This Row],[ProjectName]])*ProjectInfoTable[ConfidenceInterval]))</f>
        <v>0.95</v>
      </c>
      <c r="R5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9" s="5">
        <f t="array" ref="S519">MIN(IF((ContinuousStatsTable[GroupByKey]=ContinuousStatsTable[[#This Row],[GroupByKey]]),(ContinuousStatsTable[GroupByKey]=ContinuousStatsTable[[#This Row],[GroupByKey]])*ContinuousStatsTable[Average]))</f>
        <v>0</v>
      </c>
      <c r="T519" s="5">
        <f t="array" ref="T519">MAX(IF((ContinuousStatsTable[GroupByKey]=ContinuousStatsTable[[#This Row],[GroupByKey]]),(ContinuousStatsTable[GroupByKey]=ContinuousStatsTable[[#This Row],[GroupByKey]])*ContinuousStatsTable[Average]))</f>
        <v>0</v>
      </c>
      <c r="U519" s="5">
        <f>IF((ContinuousStatsTable[[#This Row],[RepsRequested]]&gt;1),ContinuousStatsTable[[#This Row],[HalfWidth]],ContinuousStatsTable[[#This Row],[BatchMeansHalfWidth]])</f>
        <v>0</v>
      </c>
    </row>
    <row r="520" spans="1:21" x14ac:dyDescent="0.25">
      <c r="A520" t="s">
        <v>67</v>
      </c>
      <c r="B520" t="s">
        <v>70</v>
      </c>
      <c r="C520">
        <v>12</v>
      </c>
      <c r="D520" t="s">
        <v>81</v>
      </c>
      <c r="E520" t="s">
        <v>75</v>
      </c>
      <c r="F520" t="s">
        <v>73</v>
      </c>
      <c r="G520">
        <v>1.5831249999999999</v>
      </c>
      <c r="H520">
        <v>3E+20</v>
      </c>
      <c r="I520">
        <v>1</v>
      </c>
      <c r="J520">
        <v>2</v>
      </c>
      <c r="K520">
        <v>2</v>
      </c>
      <c r="L520">
        <v>0</v>
      </c>
      <c r="M520" s="5" t="str">
        <f>ContinuousStatsTable[[#This Row],[ProjectName]]&amp;ContinuousStatsTable[[#This Row],[Name]]&amp;ContinuousStatsTable[[#This Row],[Type]]&amp;ContinuousStatsTable[[#This Row],[Source]]</f>
        <v>Unnamed ProjectcutterNumber ScheduledResource</v>
      </c>
      <c r="N520" s="5">
        <f t="array" ref="N520">MAX(IF((ProjectInfoTable[ProjectName]=ContinuousStatsTable[[#This Row],[ProjectName]]),(ProjectInfoTable[ProjectName]=ContinuousStatsTable[[#This Row],[ProjectName]])*ProjectInfoTable[NumberOfReplications]))</f>
        <v>15</v>
      </c>
      <c r="O520" s="5">
        <f t="array" ref="O520">IFERROR(AVERAGE(IF((ContinuousStatsTable[GroupByKey]=ContinuousStatsTable[[#This Row],[GroupByKey]]),(ContinuousStatsTable[GroupByKey]=ContinuousStatsTable[[#This Row],[GroupByKey]])*ContinuousStatsTable[Average])),0)</f>
        <v>1.5332999999999999</v>
      </c>
      <c r="P520" s="5">
        <f t="array" ref="P520">IFERROR(_xlfn.STDEV.S(IF((ContinuousStatsTable[GroupByKey]=ContinuousStatsTable[[#This Row],[GroupByKey]]),(ContinuousStatsTable[GroupByKey]=ContinuousStatsTable[[#This Row],[GroupByKey]])*ContinuousStatsTable[Average])),0)</f>
        <v>0.24151556349584294</v>
      </c>
      <c r="Q520" s="5">
        <f t="array" ref="Q520">MAX(IF((ProjectInfoTable[ProjectName]=ContinuousStatsTable[[#This Row],[ProjectName]]),(ProjectInfoTable[ProjectName]=ContinuousStatsTable[[#This Row],[ProjectName]])*ProjectInfoTable[ConfidenceInterval]))</f>
        <v>0.95</v>
      </c>
      <c r="R5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0.1337468610646356</v>
      </c>
      <c r="S520" s="5">
        <f t="array" ref="S520">MIN(IF((ContinuousStatsTable[GroupByKey]=ContinuousStatsTable[[#This Row],[GroupByKey]]),(ContinuousStatsTable[GroupByKey]=ContinuousStatsTable[[#This Row],[GroupByKey]])*ContinuousStatsTable[Average]))</f>
        <v>1</v>
      </c>
      <c r="T520" s="5">
        <f t="array" ref="T520">MAX(IF((ContinuousStatsTable[GroupByKey]=ContinuousStatsTable[[#This Row],[GroupByKey]]),(ContinuousStatsTable[GroupByKey]=ContinuousStatsTable[[#This Row],[GroupByKey]])*ContinuousStatsTable[Average]))</f>
        <v>2</v>
      </c>
      <c r="U520" s="5">
        <f>IF((ContinuousStatsTable[[#This Row],[RepsRequested]]&gt;1),ContinuousStatsTable[[#This Row],[HalfWidth]],ContinuousStatsTable[[#This Row],[BatchMeansHalfWidth]])</f>
        <v>0.1337468610646356</v>
      </c>
    </row>
    <row r="521" spans="1:21" x14ac:dyDescent="0.25">
      <c r="A521" t="s">
        <v>67</v>
      </c>
      <c r="B521" t="s">
        <v>70</v>
      </c>
      <c r="C521">
        <v>12</v>
      </c>
      <c r="D521" t="s">
        <v>82</v>
      </c>
      <c r="E521" t="s">
        <v>72</v>
      </c>
      <c r="F521" t="s">
        <v>73</v>
      </c>
      <c r="G521">
        <v>0</v>
      </c>
      <c r="H521">
        <v>2E+20</v>
      </c>
      <c r="I521">
        <v>0</v>
      </c>
      <c r="J521">
        <v>0</v>
      </c>
      <c r="K521">
        <v>0</v>
      </c>
      <c r="L521">
        <v>0</v>
      </c>
      <c r="M521" s="5" t="str">
        <f>ContinuousStatsTable[[#This Row],[ProjectName]]&amp;ContinuousStatsTable[[#This Row],[Name]]&amp;ContinuousStatsTable[[#This Row],[Type]]&amp;ContinuousStatsTable[[#This Row],[Source]]</f>
        <v>Unnamed ProjectfinalqcmanInstantaneous UtilizationResource</v>
      </c>
      <c r="N521" s="5">
        <f t="array" ref="N521">MAX(IF((ProjectInfoTable[ProjectName]=ContinuousStatsTable[[#This Row],[ProjectName]]),(ProjectInfoTable[ProjectName]=ContinuousStatsTable[[#This Row],[ProjectName]])*ProjectInfoTable[NumberOfReplications]))</f>
        <v>15</v>
      </c>
      <c r="O521" s="5">
        <f t="array" ref="O521">IFERROR(AVERAGE(IF((ContinuousStatsTable[GroupByKey]=ContinuousStatsTable[[#This Row],[GroupByKey]]),(ContinuousStatsTable[GroupByKey]=ContinuousStatsTable[[#This Row],[GroupByKey]])*ContinuousStatsTable[Average])),0)</f>
        <v>0</v>
      </c>
      <c r="P521" s="5">
        <f t="array" ref="P521">IFERROR(_xlfn.STDEV.S(IF((ContinuousStatsTable[GroupByKey]=ContinuousStatsTable[[#This Row],[GroupByKey]]),(ContinuousStatsTable[GroupByKey]=ContinuousStatsTable[[#This Row],[GroupByKey]])*ContinuousStatsTable[Average])),0)</f>
        <v>0</v>
      </c>
      <c r="Q521" s="5">
        <f t="array" ref="Q521">MAX(IF((ProjectInfoTable[ProjectName]=ContinuousStatsTable[[#This Row],[ProjectName]]),(ProjectInfoTable[ProjectName]=ContinuousStatsTable[[#This Row],[ProjectName]])*ProjectInfoTable[ConfidenceInterval]))</f>
        <v>0.95</v>
      </c>
      <c r="R5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1" s="5">
        <f t="array" ref="S521">MIN(IF((ContinuousStatsTable[GroupByKey]=ContinuousStatsTable[[#This Row],[GroupByKey]]),(ContinuousStatsTable[GroupByKey]=ContinuousStatsTable[[#This Row],[GroupByKey]])*ContinuousStatsTable[Average]))</f>
        <v>0</v>
      </c>
      <c r="T521" s="5">
        <f t="array" ref="T521">MAX(IF((ContinuousStatsTable[GroupByKey]=ContinuousStatsTable[[#This Row],[GroupByKey]]),(ContinuousStatsTable[GroupByKey]=ContinuousStatsTable[[#This Row],[GroupByKey]])*ContinuousStatsTable[Average]))</f>
        <v>0</v>
      </c>
      <c r="U521" s="5">
        <f>IF((ContinuousStatsTable[[#This Row],[RepsRequested]]&gt;1),ContinuousStatsTable[[#This Row],[HalfWidth]],ContinuousStatsTable[[#This Row],[BatchMeansHalfWidth]])</f>
        <v>0</v>
      </c>
    </row>
    <row r="522" spans="1:21" x14ac:dyDescent="0.25">
      <c r="A522" t="s">
        <v>67</v>
      </c>
      <c r="B522" t="s">
        <v>70</v>
      </c>
      <c r="C522">
        <v>12</v>
      </c>
      <c r="D522" t="s">
        <v>82</v>
      </c>
      <c r="E522" t="s">
        <v>74</v>
      </c>
      <c r="F522" t="s">
        <v>73</v>
      </c>
      <c r="G522">
        <v>0</v>
      </c>
      <c r="H522">
        <v>2E+20</v>
      </c>
      <c r="I522">
        <v>0</v>
      </c>
      <c r="J522">
        <v>0</v>
      </c>
      <c r="K522">
        <v>0</v>
      </c>
      <c r="L522">
        <v>0</v>
      </c>
      <c r="M522" s="5" t="str">
        <f>ContinuousStatsTable[[#This Row],[ProjectName]]&amp;ContinuousStatsTable[[#This Row],[Name]]&amp;ContinuousStatsTable[[#This Row],[Type]]&amp;ContinuousStatsTable[[#This Row],[Source]]</f>
        <v>Unnamed ProjectfinalqcmanNumber BusyResource</v>
      </c>
      <c r="N522" s="5">
        <f t="array" ref="N522">MAX(IF((ProjectInfoTable[ProjectName]=ContinuousStatsTable[[#This Row],[ProjectName]]),(ProjectInfoTable[ProjectName]=ContinuousStatsTable[[#This Row],[ProjectName]])*ProjectInfoTable[NumberOfReplications]))</f>
        <v>15</v>
      </c>
      <c r="O522" s="5">
        <f t="array" ref="O522">IFERROR(AVERAGE(IF((ContinuousStatsTable[GroupByKey]=ContinuousStatsTable[[#This Row],[GroupByKey]]),(ContinuousStatsTable[GroupByKey]=ContinuousStatsTable[[#This Row],[GroupByKey]])*ContinuousStatsTable[Average])),0)</f>
        <v>0</v>
      </c>
      <c r="P522" s="5">
        <f t="array" ref="P522">IFERROR(_xlfn.STDEV.S(IF((ContinuousStatsTable[GroupByKey]=ContinuousStatsTable[[#This Row],[GroupByKey]]),(ContinuousStatsTable[GroupByKey]=ContinuousStatsTable[[#This Row],[GroupByKey]])*ContinuousStatsTable[Average])),0)</f>
        <v>0</v>
      </c>
      <c r="Q522" s="5">
        <f t="array" ref="Q522">MAX(IF((ProjectInfoTable[ProjectName]=ContinuousStatsTable[[#This Row],[ProjectName]]),(ProjectInfoTable[ProjectName]=ContinuousStatsTable[[#This Row],[ProjectName]])*ProjectInfoTable[ConfidenceInterval]))</f>
        <v>0.95</v>
      </c>
      <c r="R5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2" s="5">
        <f t="array" ref="S522">MIN(IF((ContinuousStatsTable[GroupByKey]=ContinuousStatsTable[[#This Row],[GroupByKey]]),(ContinuousStatsTable[GroupByKey]=ContinuousStatsTable[[#This Row],[GroupByKey]])*ContinuousStatsTable[Average]))</f>
        <v>0</v>
      </c>
      <c r="T522" s="5">
        <f t="array" ref="T522">MAX(IF((ContinuousStatsTable[GroupByKey]=ContinuousStatsTable[[#This Row],[GroupByKey]]),(ContinuousStatsTable[GroupByKey]=ContinuousStatsTable[[#This Row],[GroupByKey]])*ContinuousStatsTable[Average]))</f>
        <v>0</v>
      </c>
      <c r="U522" s="5">
        <f>IF((ContinuousStatsTable[[#This Row],[RepsRequested]]&gt;1),ContinuousStatsTable[[#This Row],[HalfWidth]],ContinuousStatsTable[[#This Row],[BatchMeansHalfWidth]])</f>
        <v>0</v>
      </c>
    </row>
    <row r="523" spans="1:21" x14ac:dyDescent="0.25">
      <c r="A523" t="s">
        <v>67</v>
      </c>
      <c r="B523" t="s">
        <v>70</v>
      </c>
      <c r="C523">
        <v>12</v>
      </c>
      <c r="D523" t="s">
        <v>82</v>
      </c>
      <c r="E523" t="s">
        <v>75</v>
      </c>
      <c r="F523" t="s">
        <v>73</v>
      </c>
      <c r="G523">
        <v>1.5834695733602</v>
      </c>
      <c r="H523">
        <v>3E+20</v>
      </c>
      <c r="I523">
        <v>1</v>
      </c>
      <c r="J523">
        <v>2</v>
      </c>
      <c r="K523">
        <v>2</v>
      </c>
      <c r="L523">
        <v>0</v>
      </c>
      <c r="M523" s="5" t="str">
        <f>ContinuousStatsTable[[#This Row],[ProjectName]]&amp;ContinuousStatsTable[[#This Row],[Name]]&amp;ContinuousStatsTable[[#This Row],[Type]]&amp;ContinuousStatsTable[[#This Row],[Source]]</f>
        <v>Unnamed ProjectfinalqcmanNumber ScheduledResource</v>
      </c>
      <c r="N523" s="5">
        <f t="array" ref="N523">MAX(IF((ProjectInfoTable[ProjectName]=ContinuousStatsTable[[#This Row],[ProjectName]]),(ProjectInfoTable[ProjectName]=ContinuousStatsTable[[#This Row],[ProjectName]])*ProjectInfoTable[NumberOfReplications]))</f>
        <v>15</v>
      </c>
      <c r="O523" s="5">
        <f t="array" ref="O523">IFERROR(AVERAGE(IF((ContinuousStatsTable[GroupByKey]=ContinuousStatsTable[[#This Row],[GroupByKey]]),(ContinuousStatsTable[GroupByKey]=ContinuousStatsTable[[#This Row],[GroupByKey]])*ContinuousStatsTable[Average])),0)</f>
        <v>1.5334510661643974</v>
      </c>
      <c r="P523" s="5">
        <f t="array" ref="P523">IFERROR(_xlfn.STDEV.S(IF((ContinuousStatsTable[GroupByKey]=ContinuousStatsTable[[#This Row],[GroupByKey]]),(ContinuousStatsTable[GroupByKey]=ContinuousStatsTable[[#This Row],[GroupByKey]])*ContinuousStatsTable[Average])),0)</f>
        <v>0.24154906725932371</v>
      </c>
      <c r="Q523" s="5">
        <f t="array" ref="Q523">MAX(IF((ProjectInfoTable[ProjectName]=ContinuousStatsTable[[#This Row],[ProjectName]]),(ProjectInfoTable[ProjectName]=ContinuousStatsTable[[#This Row],[ProjectName]])*ProjectInfoTable[ConfidenceInterval]))</f>
        <v>0.95</v>
      </c>
      <c r="R5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0.13376541483042423</v>
      </c>
      <c r="S523" s="5">
        <f t="array" ref="S523">MIN(IF((ContinuousStatsTable[GroupByKey]=ContinuousStatsTable[[#This Row],[GroupByKey]]),(ContinuousStatsTable[GroupByKey]=ContinuousStatsTable[[#This Row],[GroupByKey]])*ContinuousStatsTable[Average]))</f>
        <v>1</v>
      </c>
      <c r="T523" s="5">
        <f t="array" ref="T523">MAX(IF((ContinuousStatsTable[GroupByKey]=ContinuousStatsTable[[#This Row],[GroupByKey]]),(ContinuousStatsTable[GroupByKey]=ContinuousStatsTable[[#This Row],[GroupByKey]])*ContinuousStatsTable[Average]))</f>
        <v>2</v>
      </c>
      <c r="U523" s="5">
        <f>IF((ContinuousStatsTable[[#This Row],[RepsRequested]]&gt;1),ContinuousStatsTable[[#This Row],[HalfWidth]],ContinuousStatsTable[[#This Row],[BatchMeansHalfWidth]])</f>
        <v>0.13376541483042423</v>
      </c>
    </row>
    <row r="524" spans="1:21" x14ac:dyDescent="0.25">
      <c r="A524" t="s">
        <v>67</v>
      </c>
      <c r="B524" t="s">
        <v>70</v>
      </c>
      <c r="C524">
        <v>12</v>
      </c>
      <c r="D524" t="s">
        <v>83</v>
      </c>
      <c r="E524" t="s">
        <v>84</v>
      </c>
      <c r="F524" t="s">
        <v>85</v>
      </c>
      <c r="G524">
        <v>0</v>
      </c>
      <c r="H524">
        <v>2E+20</v>
      </c>
      <c r="I524">
        <v>0</v>
      </c>
      <c r="J524">
        <v>0</v>
      </c>
      <c r="K524">
        <v>0</v>
      </c>
      <c r="L524">
        <v>0</v>
      </c>
      <c r="M524" s="5" t="str">
        <f>ContinuousStatsTable[[#This Row],[ProjectName]]&amp;ContinuousStatsTable[[#This Row],[Name]]&amp;ContinuousStatsTable[[#This Row],[Type]]&amp;ContinuousStatsTable[[#This Row],[Source]]</f>
        <v>Unnamed Projectinspectorseize.QueueNumber WaitingQueue</v>
      </c>
      <c r="N524" s="5">
        <f t="array" ref="N524">MAX(IF((ProjectInfoTable[ProjectName]=ContinuousStatsTable[[#This Row],[ProjectName]]),(ProjectInfoTable[ProjectName]=ContinuousStatsTable[[#This Row],[ProjectName]])*ProjectInfoTable[NumberOfReplications]))</f>
        <v>15</v>
      </c>
      <c r="O524" s="5">
        <f t="array" ref="O524">IFERROR(AVERAGE(IF((ContinuousStatsTable[GroupByKey]=ContinuousStatsTable[[#This Row],[GroupByKey]]),(ContinuousStatsTable[GroupByKey]=ContinuousStatsTable[[#This Row],[GroupByKey]])*ContinuousStatsTable[Average])),0)</f>
        <v>0</v>
      </c>
      <c r="P524" s="5">
        <f t="array" ref="P524">IFERROR(_xlfn.STDEV.S(IF((ContinuousStatsTable[GroupByKey]=ContinuousStatsTable[[#This Row],[GroupByKey]]),(ContinuousStatsTable[GroupByKey]=ContinuousStatsTable[[#This Row],[GroupByKey]])*ContinuousStatsTable[Average])),0)</f>
        <v>0</v>
      </c>
      <c r="Q524" s="5">
        <f t="array" ref="Q524">MAX(IF((ProjectInfoTable[ProjectName]=ContinuousStatsTable[[#This Row],[ProjectName]]),(ProjectInfoTable[ProjectName]=ContinuousStatsTable[[#This Row],[ProjectName]])*ProjectInfoTable[ConfidenceInterval]))</f>
        <v>0.95</v>
      </c>
      <c r="R5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4" s="5">
        <f t="array" ref="S524">MIN(IF((ContinuousStatsTable[GroupByKey]=ContinuousStatsTable[[#This Row],[GroupByKey]]),(ContinuousStatsTable[GroupByKey]=ContinuousStatsTable[[#This Row],[GroupByKey]])*ContinuousStatsTable[Average]))</f>
        <v>0</v>
      </c>
      <c r="T524" s="5">
        <f t="array" ref="T524">MAX(IF((ContinuousStatsTable[GroupByKey]=ContinuousStatsTable[[#This Row],[GroupByKey]]),(ContinuousStatsTable[GroupByKey]=ContinuousStatsTable[[#This Row],[GroupByKey]])*ContinuousStatsTable[Average]))</f>
        <v>0</v>
      </c>
      <c r="U524" s="5">
        <f>IF((ContinuousStatsTable[[#This Row],[RepsRequested]]&gt;1),ContinuousStatsTable[[#This Row],[HalfWidth]],ContinuousStatsTable[[#This Row],[BatchMeansHalfWidth]])</f>
        <v>0</v>
      </c>
    </row>
    <row r="525" spans="1:21" x14ac:dyDescent="0.25">
      <c r="A525" t="s">
        <v>67</v>
      </c>
      <c r="B525" t="s">
        <v>70</v>
      </c>
      <c r="C525">
        <v>12</v>
      </c>
      <c r="D525" t="s">
        <v>86</v>
      </c>
      <c r="E525" t="s">
        <v>84</v>
      </c>
      <c r="F525" t="s">
        <v>85</v>
      </c>
      <c r="G525">
        <v>0</v>
      </c>
      <c r="H525">
        <v>2E+20</v>
      </c>
      <c r="I525">
        <v>0</v>
      </c>
      <c r="J525">
        <v>0</v>
      </c>
      <c r="K525">
        <v>0</v>
      </c>
      <c r="L525">
        <v>0</v>
      </c>
      <c r="M525" s="5" t="str">
        <f>ContinuousStatsTable[[#This Row],[ProjectName]]&amp;ContinuousStatsTable[[#This Row],[Name]]&amp;ContinuousStatsTable[[#This Row],[Type]]&amp;ContinuousStatsTable[[#This Row],[Source]]</f>
        <v>Unnamed Projectmatch_truckcombo.Queue1Number WaitingQueue</v>
      </c>
      <c r="N525" s="5">
        <f t="array" ref="N525">MAX(IF((ProjectInfoTable[ProjectName]=ContinuousStatsTable[[#This Row],[ProjectName]]),(ProjectInfoTable[ProjectName]=ContinuousStatsTable[[#This Row],[ProjectName]])*ProjectInfoTable[NumberOfReplications]))</f>
        <v>15</v>
      </c>
      <c r="O525" s="5">
        <f t="array" ref="O525">IFERROR(AVERAGE(IF((ContinuousStatsTable[GroupByKey]=ContinuousStatsTable[[#This Row],[GroupByKey]]),(ContinuousStatsTable[GroupByKey]=ContinuousStatsTable[[#This Row],[GroupByKey]])*ContinuousStatsTable[Average])),0)</f>
        <v>3.3333333333333335</v>
      </c>
      <c r="P525" s="5">
        <f t="array" ref="P525">IFERROR(_xlfn.STDEV.S(IF((ContinuousStatsTable[GroupByKey]=ContinuousStatsTable[[#This Row],[GroupByKey]]),(ContinuousStatsTable[GroupByKey]=ContinuousStatsTable[[#This Row],[GroupByKey]])*ContinuousStatsTable[Average])),0)</f>
        <v>4.577377082170635</v>
      </c>
      <c r="Q525" s="5">
        <f t="array" ref="Q525">MAX(IF((ProjectInfoTable[ProjectName]=ContinuousStatsTable[[#This Row],[ProjectName]]),(ProjectInfoTable[ProjectName]=ContinuousStatsTable[[#This Row],[ProjectName]])*ProjectInfoTable[ConfidenceInterval]))</f>
        <v>0.95</v>
      </c>
      <c r="R5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2.5348669368881507</v>
      </c>
      <c r="S525" s="5">
        <f t="array" ref="S525">MIN(IF((ContinuousStatsTable[GroupByKey]=ContinuousStatsTable[[#This Row],[GroupByKey]]),(ContinuousStatsTable[GroupByKey]=ContinuousStatsTable[[#This Row],[GroupByKey]])*ContinuousStatsTable[Average]))</f>
        <v>0</v>
      </c>
      <c r="T525" s="5">
        <f t="array" ref="T525">MAX(IF((ContinuousStatsTable[GroupByKey]=ContinuousStatsTable[[#This Row],[GroupByKey]]),(ContinuousStatsTable[GroupByKey]=ContinuousStatsTable[[#This Row],[GroupByKey]])*ContinuousStatsTable[Average]))</f>
        <v>12</v>
      </c>
      <c r="U525" s="5">
        <f>IF((ContinuousStatsTable[[#This Row],[RepsRequested]]&gt;1),ContinuousStatsTable[[#This Row],[HalfWidth]],ContinuousStatsTable[[#This Row],[BatchMeansHalfWidth]])</f>
        <v>2.5348669368881507</v>
      </c>
    </row>
    <row r="526" spans="1:21" x14ac:dyDescent="0.25">
      <c r="A526" t="s">
        <v>67</v>
      </c>
      <c r="B526" t="s">
        <v>70</v>
      </c>
      <c r="C526">
        <v>12</v>
      </c>
      <c r="D526" t="s">
        <v>87</v>
      </c>
      <c r="E526" t="s">
        <v>84</v>
      </c>
      <c r="F526" t="s">
        <v>85</v>
      </c>
      <c r="G526">
        <v>4</v>
      </c>
      <c r="H526">
        <v>2E+20</v>
      </c>
      <c r="I526">
        <v>4</v>
      </c>
      <c r="J526">
        <v>4</v>
      </c>
      <c r="K526">
        <v>4</v>
      </c>
      <c r="L526">
        <v>0</v>
      </c>
      <c r="M526" s="5" t="str">
        <f>ContinuousStatsTable[[#This Row],[ProjectName]]&amp;ContinuousStatsTable[[#This Row],[Name]]&amp;ContinuousStatsTable[[#This Row],[Type]]&amp;ContinuousStatsTable[[#This Row],[Source]]</f>
        <v>Unnamed Projectmatch_truckcombo.Queue2Number WaitingQueue</v>
      </c>
      <c r="N526" s="5">
        <f t="array" ref="N526">MAX(IF((ProjectInfoTable[ProjectName]=ContinuousStatsTable[[#This Row],[ProjectName]]),(ProjectInfoTable[ProjectName]=ContinuousStatsTable[[#This Row],[ProjectName]])*ProjectInfoTable[NumberOfReplications]))</f>
        <v>15</v>
      </c>
      <c r="O526" s="5">
        <f t="array" ref="O526">IFERROR(AVERAGE(IF((ContinuousStatsTable[GroupByKey]=ContinuousStatsTable[[#This Row],[GroupByKey]]),(ContinuousStatsTable[GroupByKey]=ContinuousStatsTable[[#This Row],[GroupByKey]])*ContinuousStatsTable[Average])),0)</f>
        <v>2.8</v>
      </c>
      <c r="P526" s="5">
        <f t="array" ref="P526">IFERROR(_xlfn.STDEV.S(IF((ContinuousStatsTable[GroupByKey]=ContinuousStatsTable[[#This Row],[GroupByKey]]),(ContinuousStatsTable[GroupByKey]=ContinuousStatsTable[[#This Row],[GroupByKey]])*ContinuousStatsTable[Average])),0)</f>
        <v>5.226307081896902</v>
      </c>
      <c r="Q526" s="5">
        <f t="array" ref="Q526">MAX(IF((ProjectInfoTable[ProjectName]=ContinuousStatsTable[[#This Row],[ProjectName]]),(ProjectInfoTable[ProjectName]=ContinuousStatsTable[[#This Row],[ProjectName]])*ProjectInfoTable[ConfidenceInterval]))</f>
        <v>0.95</v>
      </c>
      <c r="R5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2.8942323925042523</v>
      </c>
      <c r="S526" s="5">
        <f t="array" ref="S526">MIN(IF((ContinuousStatsTable[GroupByKey]=ContinuousStatsTable[[#This Row],[GroupByKey]]),(ContinuousStatsTable[GroupByKey]=ContinuousStatsTable[[#This Row],[GroupByKey]])*ContinuousStatsTable[Average]))</f>
        <v>0</v>
      </c>
      <c r="T526" s="5">
        <f t="array" ref="T526">MAX(IF((ContinuousStatsTable[GroupByKey]=ContinuousStatsTable[[#This Row],[GroupByKey]]),(ContinuousStatsTable[GroupByKey]=ContinuousStatsTable[[#This Row],[GroupByKey]])*ContinuousStatsTable[Average]))</f>
        <v>16</v>
      </c>
      <c r="U526" s="5">
        <f>IF((ContinuousStatsTable[[#This Row],[RepsRequested]]&gt;1),ContinuousStatsTable[[#This Row],[HalfWidth]],ContinuousStatsTable[[#This Row],[BatchMeansHalfWidth]])</f>
        <v>2.8942323925042523</v>
      </c>
    </row>
    <row r="527" spans="1:21" x14ac:dyDescent="0.25">
      <c r="A527" t="s">
        <v>67</v>
      </c>
      <c r="B527" t="s">
        <v>70</v>
      </c>
      <c r="C527">
        <v>12</v>
      </c>
      <c r="D527" t="s">
        <v>88</v>
      </c>
      <c r="E527" t="s">
        <v>72</v>
      </c>
      <c r="F527" t="s">
        <v>73</v>
      </c>
      <c r="G527">
        <v>0</v>
      </c>
      <c r="H527">
        <v>2E+20</v>
      </c>
      <c r="I527">
        <v>0</v>
      </c>
      <c r="J527">
        <v>0</v>
      </c>
      <c r="K527">
        <v>0</v>
      </c>
      <c r="L527">
        <v>0</v>
      </c>
      <c r="M527" s="5" t="str">
        <f>ContinuousStatsTable[[#This Row],[ProjectName]]&amp;ContinuousStatsTable[[#This Row],[Name]]&amp;ContinuousStatsTable[[#This Row],[Type]]&amp;ContinuousStatsTable[[#This Row],[Source]]</f>
        <v>Unnamed ProjectpaintingmachineInstantaneous UtilizationResource</v>
      </c>
      <c r="N527" s="5">
        <f t="array" ref="N527">MAX(IF((ProjectInfoTable[ProjectName]=ContinuousStatsTable[[#This Row],[ProjectName]]),(ProjectInfoTable[ProjectName]=ContinuousStatsTable[[#This Row],[ProjectName]])*ProjectInfoTable[NumberOfReplications]))</f>
        <v>15</v>
      </c>
      <c r="O527" s="5">
        <f t="array" ref="O527">IFERROR(AVERAGE(IF((ContinuousStatsTable[GroupByKey]=ContinuousStatsTable[[#This Row],[GroupByKey]]),(ContinuousStatsTable[GroupByKey]=ContinuousStatsTable[[#This Row],[GroupByKey]])*ContinuousStatsTable[Average])),0)</f>
        <v>0</v>
      </c>
      <c r="P527" s="5">
        <f t="array" ref="P527">IFERROR(_xlfn.STDEV.S(IF((ContinuousStatsTable[GroupByKey]=ContinuousStatsTable[[#This Row],[GroupByKey]]),(ContinuousStatsTable[GroupByKey]=ContinuousStatsTable[[#This Row],[GroupByKey]])*ContinuousStatsTable[Average])),0)</f>
        <v>0</v>
      </c>
      <c r="Q527" s="5">
        <f t="array" ref="Q527">MAX(IF((ProjectInfoTable[ProjectName]=ContinuousStatsTable[[#This Row],[ProjectName]]),(ProjectInfoTable[ProjectName]=ContinuousStatsTable[[#This Row],[ProjectName]])*ProjectInfoTable[ConfidenceInterval]))</f>
        <v>0.95</v>
      </c>
      <c r="R5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7" s="5">
        <f t="array" ref="S527">MIN(IF((ContinuousStatsTable[GroupByKey]=ContinuousStatsTable[[#This Row],[GroupByKey]]),(ContinuousStatsTable[GroupByKey]=ContinuousStatsTable[[#This Row],[GroupByKey]])*ContinuousStatsTable[Average]))</f>
        <v>0</v>
      </c>
      <c r="T527" s="5">
        <f t="array" ref="T527">MAX(IF((ContinuousStatsTable[GroupByKey]=ContinuousStatsTable[[#This Row],[GroupByKey]]),(ContinuousStatsTable[GroupByKey]=ContinuousStatsTable[[#This Row],[GroupByKey]])*ContinuousStatsTable[Average]))</f>
        <v>0</v>
      </c>
      <c r="U527" s="5">
        <f>IF((ContinuousStatsTable[[#This Row],[RepsRequested]]&gt;1),ContinuousStatsTable[[#This Row],[HalfWidth]],ContinuousStatsTable[[#This Row],[BatchMeansHalfWidth]])</f>
        <v>0</v>
      </c>
    </row>
    <row r="528" spans="1:21" x14ac:dyDescent="0.25">
      <c r="A528" t="s">
        <v>67</v>
      </c>
      <c r="B528" t="s">
        <v>70</v>
      </c>
      <c r="C528">
        <v>12</v>
      </c>
      <c r="D528" t="s">
        <v>88</v>
      </c>
      <c r="E528" t="s">
        <v>74</v>
      </c>
      <c r="F528" t="s">
        <v>73</v>
      </c>
      <c r="G528">
        <v>0</v>
      </c>
      <c r="H528">
        <v>2E+20</v>
      </c>
      <c r="I528">
        <v>0</v>
      </c>
      <c r="J528">
        <v>0</v>
      </c>
      <c r="K528">
        <v>0</v>
      </c>
      <c r="L528">
        <v>0</v>
      </c>
      <c r="M528" s="5" t="str">
        <f>ContinuousStatsTable[[#This Row],[ProjectName]]&amp;ContinuousStatsTable[[#This Row],[Name]]&amp;ContinuousStatsTable[[#This Row],[Type]]&amp;ContinuousStatsTable[[#This Row],[Source]]</f>
        <v>Unnamed ProjectpaintingmachineNumber BusyResource</v>
      </c>
      <c r="N528" s="5">
        <f t="array" ref="N528">MAX(IF((ProjectInfoTable[ProjectName]=ContinuousStatsTable[[#This Row],[ProjectName]]),(ProjectInfoTable[ProjectName]=ContinuousStatsTable[[#This Row],[ProjectName]])*ProjectInfoTable[NumberOfReplications]))</f>
        <v>15</v>
      </c>
      <c r="O528" s="5">
        <f t="array" ref="O528">IFERROR(AVERAGE(IF((ContinuousStatsTable[GroupByKey]=ContinuousStatsTable[[#This Row],[GroupByKey]]),(ContinuousStatsTable[GroupByKey]=ContinuousStatsTable[[#This Row],[GroupByKey]])*ContinuousStatsTable[Average])),0)</f>
        <v>0</v>
      </c>
      <c r="P528" s="5">
        <f t="array" ref="P528">IFERROR(_xlfn.STDEV.S(IF((ContinuousStatsTable[GroupByKey]=ContinuousStatsTable[[#This Row],[GroupByKey]]),(ContinuousStatsTable[GroupByKey]=ContinuousStatsTable[[#This Row],[GroupByKey]])*ContinuousStatsTable[Average])),0)</f>
        <v>0</v>
      </c>
      <c r="Q528" s="5">
        <f t="array" ref="Q528">MAX(IF((ProjectInfoTable[ProjectName]=ContinuousStatsTable[[#This Row],[ProjectName]]),(ProjectInfoTable[ProjectName]=ContinuousStatsTable[[#This Row],[ProjectName]])*ProjectInfoTable[ConfidenceInterval]))</f>
        <v>0.95</v>
      </c>
      <c r="R5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8" s="5">
        <f t="array" ref="S528">MIN(IF((ContinuousStatsTable[GroupByKey]=ContinuousStatsTable[[#This Row],[GroupByKey]]),(ContinuousStatsTable[GroupByKey]=ContinuousStatsTable[[#This Row],[GroupByKey]])*ContinuousStatsTable[Average]))</f>
        <v>0</v>
      </c>
      <c r="T528" s="5">
        <f t="array" ref="T528">MAX(IF((ContinuousStatsTable[GroupByKey]=ContinuousStatsTable[[#This Row],[GroupByKey]]),(ContinuousStatsTable[GroupByKey]=ContinuousStatsTable[[#This Row],[GroupByKey]])*ContinuousStatsTable[Average]))</f>
        <v>0</v>
      </c>
      <c r="U528" s="5">
        <f>IF((ContinuousStatsTable[[#This Row],[RepsRequested]]&gt;1),ContinuousStatsTable[[#This Row],[HalfWidth]],ContinuousStatsTable[[#This Row],[BatchMeansHalfWidth]])</f>
        <v>0</v>
      </c>
    </row>
    <row r="529" spans="1:21" x14ac:dyDescent="0.25">
      <c r="A529" t="s">
        <v>67</v>
      </c>
      <c r="B529" t="s">
        <v>70</v>
      </c>
      <c r="C529">
        <v>12</v>
      </c>
      <c r="D529" t="s">
        <v>88</v>
      </c>
      <c r="E529" t="s">
        <v>75</v>
      </c>
      <c r="F529" t="s">
        <v>73</v>
      </c>
      <c r="G529">
        <v>1</v>
      </c>
      <c r="H529">
        <v>2E+20</v>
      </c>
      <c r="I529">
        <v>1</v>
      </c>
      <c r="J529">
        <v>1</v>
      </c>
      <c r="K529">
        <v>1</v>
      </c>
      <c r="L529">
        <v>0</v>
      </c>
      <c r="M529" s="5" t="str">
        <f>ContinuousStatsTable[[#This Row],[ProjectName]]&amp;ContinuousStatsTable[[#This Row],[Name]]&amp;ContinuousStatsTable[[#This Row],[Type]]&amp;ContinuousStatsTable[[#This Row],[Source]]</f>
        <v>Unnamed ProjectpaintingmachineNumber ScheduledResource</v>
      </c>
      <c r="N529" s="5">
        <f t="array" ref="N529">MAX(IF((ProjectInfoTable[ProjectName]=ContinuousStatsTable[[#This Row],[ProjectName]]),(ProjectInfoTable[ProjectName]=ContinuousStatsTable[[#This Row],[ProjectName]])*ProjectInfoTable[NumberOfReplications]))</f>
        <v>15</v>
      </c>
      <c r="O529" s="5">
        <f t="array" ref="O529">IFERROR(AVERAGE(IF((ContinuousStatsTable[GroupByKey]=ContinuousStatsTable[[#This Row],[GroupByKey]]),(ContinuousStatsTable[GroupByKey]=ContinuousStatsTable[[#This Row],[GroupByKey]])*ContinuousStatsTable[Average])),0)</f>
        <v>1</v>
      </c>
      <c r="P529" s="5">
        <f t="array" ref="P529">IFERROR(_xlfn.STDEV.S(IF((ContinuousStatsTable[GroupByKey]=ContinuousStatsTable[[#This Row],[GroupByKey]]),(ContinuousStatsTable[GroupByKey]=ContinuousStatsTable[[#This Row],[GroupByKey]])*ContinuousStatsTable[Average])),0)</f>
        <v>0</v>
      </c>
      <c r="Q529" s="5">
        <f t="array" ref="Q529">MAX(IF((ProjectInfoTable[ProjectName]=ContinuousStatsTable[[#This Row],[ProjectName]]),(ProjectInfoTable[ProjectName]=ContinuousStatsTable[[#This Row],[ProjectName]])*ProjectInfoTable[ConfidenceInterval]))</f>
        <v>0.95</v>
      </c>
      <c r="R5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9" s="5">
        <f t="array" ref="S529">MIN(IF((ContinuousStatsTable[GroupByKey]=ContinuousStatsTable[[#This Row],[GroupByKey]]),(ContinuousStatsTable[GroupByKey]=ContinuousStatsTable[[#This Row],[GroupByKey]])*ContinuousStatsTable[Average]))</f>
        <v>1</v>
      </c>
      <c r="T529" s="5">
        <f t="array" ref="T529">MAX(IF((ContinuousStatsTable[GroupByKey]=ContinuousStatsTable[[#This Row],[GroupByKey]]),(ContinuousStatsTable[GroupByKey]=ContinuousStatsTable[[#This Row],[GroupByKey]])*ContinuousStatsTable[Average]))</f>
        <v>1</v>
      </c>
      <c r="U529" s="5">
        <f>IF((ContinuousStatsTable[[#This Row],[RepsRequested]]&gt;1),ContinuousStatsTable[[#This Row],[HalfWidth]],ContinuousStatsTable[[#This Row],[BatchMeansHalfWidth]])</f>
        <v>0</v>
      </c>
    </row>
    <row r="530" spans="1:21" x14ac:dyDescent="0.25">
      <c r="A530" t="s">
        <v>67</v>
      </c>
      <c r="B530" t="s">
        <v>70</v>
      </c>
      <c r="C530">
        <v>12</v>
      </c>
      <c r="D530" t="s">
        <v>89</v>
      </c>
      <c r="E530" t="s">
        <v>72</v>
      </c>
      <c r="F530" t="s">
        <v>73</v>
      </c>
      <c r="G530">
        <v>0</v>
      </c>
      <c r="H530">
        <v>2E+20</v>
      </c>
      <c r="I530">
        <v>0</v>
      </c>
      <c r="J530">
        <v>0</v>
      </c>
      <c r="K530">
        <v>0</v>
      </c>
      <c r="L530">
        <v>0</v>
      </c>
      <c r="M530" s="5" t="str">
        <f>ContinuousStatsTable[[#This Row],[ProjectName]]&amp;ContinuousStatsTable[[#This Row],[Name]]&amp;ContinuousStatsTable[[#This Row],[Type]]&amp;ContinuousStatsTable[[#This Row],[Source]]</f>
        <v>Unnamed ProjectpaintingoperatorInstantaneous UtilizationResource</v>
      </c>
      <c r="N530" s="5">
        <f t="array" ref="N530">MAX(IF((ProjectInfoTable[ProjectName]=ContinuousStatsTable[[#This Row],[ProjectName]]),(ProjectInfoTable[ProjectName]=ContinuousStatsTable[[#This Row],[ProjectName]])*ProjectInfoTable[NumberOfReplications]))</f>
        <v>15</v>
      </c>
      <c r="O530" s="5">
        <f t="array" ref="O530">IFERROR(AVERAGE(IF((ContinuousStatsTable[GroupByKey]=ContinuousStatsTable[[#This Row],[GroupByKey]]),(ContinuousStatsTable[GroupByKey]=ContinuousStatsTable[[#This Row],[GroupByKey]])*ContinuousStatsTable[Average])),0)</f>
        <v>0</v>
      </c>
      <c r="P530" s="5">
        <f t="array" ref="P530">IFERROR(_xlfn.STDEV.S(IF((ContinuousStatsTable[GroupByKey]=ContinuousStatsTable[[#This Row],[GroupByKey]]),(ContinuousStatsTable[GroupByKey]=ContinuousStatsTable[[#This Row],[GroupByKey]])*ContinuousStatsTable[Average])),0)</f>
        <v>0</v>
      </c>
      <c r="Q530" s="5">
        <f t="array" ref="Q530">MAX(IF((ProjectInfoTable[ProjectName]=ContinuousStatsTable[[#This Row],[ProjectName]]),(ProjectInfoTable[ProjectName]=ContinuousStatsTable[[#This Row],[ProjectName]])*ProjectInfoTable[ConfidenceInterval]))</f>
        <v>0.95</v>
      </c>
      <c r="R5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0" s="5">
        <f t="array" ref="S530">MIN(IF((ContinuousStatsTable[GroupByKey]=ContinuousStatsTable[[#This Row],[GroupByKey]]),(ContinuousStatsTable[GroupByKey]=ContinuousStatsTable[[#This Row],[GroupByKey]])*ContinuousStatsTable[Average]))</f>
        <v>0</v>
      </c>
      <c r="T530" s="5">
        <f t="array" ref="T530">MAX(IF((ContinuousStatsTable[GroupByKey]=ContinuousStatsTable[[#This Row],[GroupByKey]]),(ContinuousStatsTable[GroupByKey]=ContinuousStatsTable[[#This Row],[GroupByKey]])*ContinuousStatsTable[Average]))</f>
        <v>0</v>
      </c>
      <c r="U530" s="5">
        <f>IF((ContinuousStatsTable[[#This Row],[RepsRequested]]&gt;1),ContinuousStatsTable[[#This Row],[HalfWidth]],ContinuousStatsTable[[#This Row],[BatchMeansHalfWidth]])</f>
        <v>0</v>
      </c>
    </row>
    <row r="531" spans="1:21" x14ac:dyDescent="0.25">
      <c r="A531" t="s">
        <v>67</v>
      </c>
      <c r="B531" t="s">
        <v>70</v>
      </c>
      <c r="C531">
        <v>12</v>
      </c>
      <c r="D531" t="s">
        <v>89</v>
      </c>
      <c r="E531" t="s">
        <v>74</v>
      </c>
      <c r="F531" t="s">
        <v>73</v>
      </c>
      <c r="G531">
        <v>0</v>
      </c>
      <c r="H531">
        <v>2E+20</v>
      </c>
      <c r="I531">
        <v>0</v>
      </c>
      <c r="J531">
        <v>0</v>
      </c>
      <c r="K531">
        <v>0</v>
      </c>
      <c r="L531">
        <v>0</v>
      </c>
      <c r="M531" s="5" t="str">
        <f>ContinuousStatsTable[[#This Row],[ProjectName]]&amp;ContinuousStatsTable[[#This Row],[Name]]&amp;ContinuousStatsTable[[#This Row],[Type]]&amp;ContinuousStatsTable[[#This Row],[Source]]</f>
        <v>Unnamed ProjectpaintingoperatorNumber BusyResource</v>
      </c>
      <c r="N531" s="5">
        <f t="array" ref="N531">MAX(IF((ProjectInfoTable[ProjectName]=ContinuousStatsTable[[#This Row],[ProjectName]]),(ProjectInfoTable[ProjectName]=ContinuousStatsTable[[#This Row],[ProjectName]])*ProjectInfoTable[NumberOfReplications]))</f>
        <v>15</v>
      </c>
      <c r="O531" s="5">
        <f t="array" ref="O531">IFERROR(AVERAGE(IF((ContinuousStatsTable[GroupByKey]=ContinuousStatsTable[[#This Row],[GroupByKey]]),(ContinuousStatsTable[GroupByKey]=ContinuousStatsTable[[#This Row],[GroupByKey]])*ContinuousStatsTable[Average])),0)</f>
        <v>0</v>
      </c>
      <c r="P531" s="5">
        <f t="array" ref="P531">IFERROR(_xlfn.STDEV.S(IF((ContinuousStatsTable[GroupByKey]=ContinuousStatsTable[[#This Row],[GroupByKey]]),(ContinuousStatsTable[GroupByKey]=ContinuousStatsTable[[#This Row],[GroupByKey]])*ContinuousStatsTable[Average])),0)</f>
        <v>0</v>
      </c>
      <c r="Q531" s="5">
        <f t="array" ref="Q531">MAX(IF((ProjectInfoTable[ProjectName]=ContinuousStatsTable[[#This Row],[ProjectName]]),(ProjectInfoTable[ProjectName]=ContinuousStatsTable[[#This Row],[ProjectName]])*ProjectInfoTable[ConfidenceInterval]))</f>
        <v>0.95</v>
      </c>
      <c r="R5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1" s="5">
        <f t="array" ref="S531">MIN(IF((ContinuousStatsTable[GroupByKey]=ContinuousStatsTable[[#This Row],[GroupByKey]]),(ContinuousStatsTable[GroupByKey]=ContinuousStatsTable[[#This Row],[GroupByKey]])*ContinuousStatsTable[Average]))</f>
        <v>0</v>
      </c>
      <c r="T531" s="5">
        <f t="array" ref="T531">MAX(IF((ContinuousStatsTable[GroupByKey]=ContinuousStatsTable[[#This Row],[GroupByKey]]),(ContinuousStatsTable[GroupByKey]=ContinuousStatsTable[[#This Row],[GroupByKey]])*ContinuousStatsTable[Average]))</f>
        <v>0</v>
      </c>
      <c r="U531" s="5">
        <f>IF((ContinuousStatsTable[[#This Row],[RepsRequested]]&gt;1),ContinuousStatsTable[[#This Row],[HalfWidth]],ContinuousStatsTable[[#This Row],[BatchMeansHalfWidth]])</f>
        <v>0</v>
      </c>
    </row>
    <row r="532" spans="1:21" x14ac:dyDescent="0.25">
      <c r="A532" t="s">
        <v>67</v>
      </c>
      <c r="B532" t="s">
        <v>70</v>
      </c>
      <c r="C532">
        <v>12</v>
      </c>
      <c r="D532" t="s">
        <v>89</v>
      </c>
      <c r="E532" t="s">
        <v>75</v>
      </c>
      <c r="F532" t="s">
        <v>73</v>
      </c>
      <c r="G532">
        <v>1.5834999999999999</v>
      </c>
      <c r="H532">
        <v>3E+20</v>
      </c>
      <c r="I532">
        <v>1</v>
      </c>
      <c r="J532">
        <v>2</v>
      </c>
      <c r="K532">
        <v>2</v>
      </c>
      <c r="L532">
        <v>0</v>
      </c>
      <c r="M532" s="5" t="str">
        <f>ContinuousStatsTable[[#This Row],[ProjectName]]&amp;ContinuousStatsTable[[#This Row],[Name]]&amp;ContinuousStatsTable[[#This Row],[Type]]&amp;ContinuousStatsTable[[#This Row],[Source]]</f>
        <v>Unnamed ProjectpaintingoperatorNumber ScheduledResource</v>
      </c>
      <c r="N532" s="5">
        <f t="array" ref="N532">MAX(IF((ProjectInfoTable[ProjectName]=ContinuousStatsTable[[#This Row],[ProjectName]]),(ProjectInfoTable[ProjectName]=ContinuousStatsTable[[#This Row],[ProjectName]])*ProjectInfoTable[NumberOfReplications]))</f>
        <v>15</v>
      </c>
      <c r="O532" s="5">
        <f t="array" ref="O532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532" s="5">
        <f t="array" ref="P532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532" s="5">
        <f t="array" ref="Q532">MAX(IF((ProjectInfoTable[ProjectName]=ContinuousStatsTable[[#This Row],[ProjectName]]),(ProjectInfoTable[ProjectName]=ContinuousStatsTable[[#This Row],[ProjectName]])*ProjectInfoTable[ConfidenceInterval]))</f>
        <v>0.95</v>
      </c>
      <c r="R5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532" s="5">
        <f t="array" ref="S532">MIN(IF((ContinuousStatsTable[GroupByKey]=ContinuousStatsTable[[#This Row],[GroupByKey]]),(ContinuousStatsTable[GroupByKey]=ContinuousStatsTable[[#This Row],[GroupByKey]])*ContinuousStatsTable[Average]))</f>
        <v>1</v>
      </c>
      <c r="T532" s="5">
        <f t="array" ref="T532">MAX(IF((ContinuousStatsTable[GroupByKey]=ContinuousStatsTable[[#This Row],[GroupByKey]]),(ContinuousStatsTable[GroupByKey]=ContinuousStatsTable[[#This Row],[GroupByKey]])*ContinuousStatsTable[Average]))</f>
        <v>2</v>
      </c>
      <c r="U532" s="5">
        <f>IF((ContinuousStatsTable[[#This Row],[RepsRequested]]&gt;1),ContinuousStatsTable[[#This Row],[HalfWidth]],ContinuousStatsTable[[#This Row],[BatchMeansHalfWidth]])</f>
        <v>0.13376733135491528</v>
      </c>
    </row>
    <row r="533" spans="1:21" x14ac:dyDescent="0.25">
      <c r="A533" t="s">
        <v>67</v>
      </c>
      <c r="B533" t="s">
        <v>70</v>
      </c>
      <c r="C533">
        <v>12</v>
      </c>
      <c r="D533" t="s">
        <v>90</v>
      </c>
      <c r="E533" t="s">
        <v>72</v>
      </c>
      <c r="F533" t="s">
        <v>73</v>
      </c>
      <c r="G533">
        <v>0</v>
      </c>
      <c r="H533">
        <v>2E+20</v>
      </c>
      <c r="I533">
        <v>0</v>
      </c>
      <c r="J533">
        <v>0</v>
      </c>
      <c r="K533">
        <v>0</v>
      </c>
      <c r="L533">
        <v>0</v>
      </c>
      <c r="M533" s="5" t="str">
        <f>ContinuousStatsTable[[#This Row],[ProjectName]]&amp;ContinuousStatsTable[[#This Row],[Name]]&amp;ContinuousStatsTable[[#This Row],[Type]]&amp;ContinuousStatsTable[[#This Row],[Source]]</f>
        <v>Unnamed ProjectsandblastmachineInstantaneous UtilizationResource</v>
      </c>
      <c r="N533" s="5">
        <f t="array" ref="N533">MAX(IF((ProjectInfoTable[ProjectName]=ContinuousStatsTable[[#This Row],[ProjectName]]),(ProjectInfoTable[ProjectName]=ContinuousStatsTable[[#This Row],[ProjectName]])*ProjectInfoTable[NumberOfReplications]))</f>
        <v>15</v>
      </c>
      <c r="O533" s="5">
        <f t="array" ref="O533">IFERROR(AVERAGE(IF((ContinuousStatsTable[GroupByKey]=ContinuousStatsTable[[#This Row],[GroupByKey]]),(ContinuousStatsTable[GroupByKey]=ContinuousStatsTable[[#This Row],[GroupByKey]])*ContinuousStatsTable[Average])),0)</f>
        <v>0</v>
      </c>
      <c r="P533" s="5">
        <f t="array" ref="P533">IFERROR(_xlfn.STDEV.S(IF((ContinuousStatsTable[GroupByKey]=ContinuousStatsTable[[#This Row],[GroupByKey]]),(ContinuousStatsTable[GroupByKey]=ContinuousStatsTable[[#This Row],[GroupByKey]])*ContinuousStatsTable[Average])),0)</f>
        <v>0</v>
      </c>
      <c r="Q533" s="5">
        <f t="array" ref="Q533">MAX(IF((ProjectInfoTable[ProjectName]=ContinuousStatsTable[[#This Row],[ProjectName]]),(ProjectInfoTable[ProjectName]=ContinuousStatsTable[[#This Row],[ProjectName]])*ProjectInfoTable[ConfidenceInterval]))</f>
        <v>0.95</v>
      </c>
      <c r="R5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3" s="5">
        <f t="array" ref="S533">MIN(IF((ContinuousStatsTable[GroupByKey]=ContinuousStatsTable[[#This Row],[GroupByKey]]),(ContinuousStatsTable[GroupByKey]=ContinuousStatsTable[[#This Row],[GroupByKey]])*ContinuousStatsTable[Average]))</f>
        <v>0</v>
      </c>
      <c r="T533" s="5">
        <f t="array" ref="T533">MAX(IF((ContinuousStatsTable[GroupByKey]=ContinuousStatsTable[[#This Row],[GroupByKey]]),(ContinuousStatsTable[GroupByKey]=ContinuousStatsTable[[#This Row],[GroupByKey]])*ContinuousStatsTable[Average]))</f>
        <v>0</v>
      </c>
      <c r="U533" s="5">
        <f>IF((ContinuousStatsTable[[#This Row],[RepsRequested]]&gt;1),ContinuousStatsTable[[#This Row],[HalfWidth]],ContinuousStatsTable[[#This Row],[BatchMeansHalfWidth]])</f>
        <v>0</v>
      </c>
    </row>
    <row r="534" spans="1:21" x14ac:dyDescent="0.25">
      <c r="A534" t="s">
        <v>67</v>
      </c>
      <c r="B534" t="s">
        <v>70</v>
      </c>
      <c r="C534">
        <v>12</v>
      </c>
      <c r="D534" t="s">
        <v>90</v>
      </c>
      <c r="E534" t="s">
        <v>74</v>
      </c>
      <c r="F534" t="s">
        <v>73</v>
      </c>
      <c r="G534">
        <v>0</v>
      </c>
      <c r="H534">
        <v>2E+20</v>
      </c>
      <c r="I534">
        <v>0</v>
      </c>
      <c r="J534">
        <v>0</v>
      </c>
      <c r="K534">
        <v>0</v>
      </c>
      <c r="L534">
        <v>0</v>
      </c>
      <c r="M534" s="5" t="str">
        <f>ContinuousStatsTable[[#This Row],[ProjectName]]&amp;ContinuousStatsTable[[#This Row],[Name]]&amp;ContinuousStatsTable[[#This Row],[Type]]&amp;ContinuousStatsTable[[#This Row],[Source]]</f>
        <v>Unnamed ProjectsandblastmachineNumber BusyResource</v>
      </c>
      <c r="N534" s="5">
        <f t="array" ref="N534">MAX(IF((ProjectInfoTable[ProjectName]=ContinuousStatsTable[[#This Row],[ProjectName]]),(ProjectInfoTable[ProjectName]=ContinuousStatsTable[[#This Row],[ProjectName]])*ProjectInfoTable[NumberOfReplications]))</f>
        <v>15</v>
      </c>
      <c r="O534" s="5">
        <f t="array" ref="O534">IFERROR(AVERAGE(IF((ContinuousStatsTable[GroupByKey]=ContinuousStatsTable[[#This Row],[GroupByKey]]),(ContinuousStatsTable[GroupByKey]=ContinuousStatsTable[[#This Row],[GroupByKey]])*ContinuousStatsTable[Average])),0)</f>
        <v>0</v>
      </c>
      <c r="P534" s="5">
        <f t="array" ref="P534">IFERROR(_xlfn.STDEV.S(IF((ContinuousStatsTable[GroupByKey]=ContinuousStatsTable[[#This Row],[GroupByKey]]),(ContinuousStatsTable[GroupByKey]=ContinuousStatsTable[[#This Row],[GroupByKey]])*ContinuousStatsTable[Average])),0)</f>
        <v>0</v>
      </c>
      <c r="Q534" s="5">
        <f t="array" ref="Q534">MAX(IF((ProjectInfoTable[ProjectName]=ContinuousStatsTable[[#This Row],[ProjectName]]),(ProjectInfoTable[ProjectName]=ContinuousStatsTable[[#This Row],[ProjectName]])*ProjectInfoTable[ConfidenceInterval]))</f>
        <v>0.95</v>
      </c>
      <c r="R5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4" s="5">
        <f t="array" ref="S534">MIN(IF((ContinuousStatsTable[GroupByKey]=ContinuousStatsTable[[#This Row],[GroupByKey]]),(ContinuousStatsTable[GroupByKey]=ContinuousStatsTable[[#This Row],[GroupByKey]])*ContinuousStatsTable[Average]))</f>
        <v>0</v>
      </c>
      <c r="T534" s="5">
        <f t="array" ref="T534">MAX(IF((ContinuousStatsTable[GroupByKey]=ContinuousStatsTable[[#This Row],[GroupByKey]]),(ContinuousStatsTable[GroupByKey]=ContinuousStatsTable[[#This Row],[GroupByKey]])*ContinuousStatsTable[Average]))</f>
        <v>0</v>
      </c>
      <c r="U534" s="5">
        <f>IF((ContinuousStatsTable[[#This Row],[RepsRequested]]&gt;1),ContinuousStatsTable[[#This Row],[HalfWidth]],ContinuousStatsTable[[#This Row],[BatchMeansHalfWidth]])</f>
        <v>0</v>
      </c>
    </row>
    <row r="535" spans="1:21" x14ac:dyDescent="0.25">
      <c r="A535" t="s">
        <v>67</v>
      </c>
      <c r="B535" t="s">
        <v>70</v>
      </c>
      <c r="C535">
        <v>12</v>
      </c>
      <c r="D535" t="s">
        <v>90</v>
      </c>
      <c r="E535" t="s">
        <v>75</v>
      </c>
      <c r="F535" t="s">
        <v>73</v>
      </c>
      <c r="G535">
        <v>1</v>
      </c>
      <c r="H535">
        <v>2E+20</v>
      </c>
      <c r="I535">
        <v>1</v>
      </c>
      <c r="J535">
        <v>1</v>
      </c>
      <c r="K535">
        <v>1</v>
      </c>
      <c r="L535">
        <v>0</v>
      </c>
      <c r="M535" s="5" t="str">
        <f>ContinuousStatsTable[[#This Row],[ProjectName]]&amp;ContinuousStatsTable[[#This Row],[Name]]&amp;ContinuousStatsTable[[#This Row],[Type]]&amp;ContinuousStatsTable[[#This Row],[Source]]</f>
        <v>Unnamed ProjectsandblastmachineNumber ScheduledResource</v>
      </c>
      <c r="N535" s="5">
        <f t="array" ref="N535">MAX(IF((ProjectInfoTable[ProjectName]=ContinuousStatsTable[[#This Row],[ProjectName]]),(ProjectInfoTable[ProjectName]=ContinuousStatsTable[[#This Row],[ProjectName]])*ProjectInfoTable[NumberOfReplications]))</f>
        <v>15</v>
      </c>
      <c r="O535" s="5">
        <f t="array" ref="O535">IFERROR(AVERAGE(IF((ContinuousStatsTable[GroupByKey]=ContinuousStatsTable[[#This Row],[GroupByKey]]),(ContinuousStatsTable[GroupByKey]=ContinuousStatsTable[[#This Row],[GroupByKey]])*ContinuousStatsTable[Average])),0)</f>
        <v>1</v>
      </c>
      <c r="P535" s="5">
        <f t="array" ref="P535">IFERROR(_xlfn.STDEV.S(IF((ContinuousStatsTable[GroupByKey]=ContinuousStatsTable[[#This Row],[GroupByKey]]),(ContinuousStatsTable[GroupByKey]=ContinuousStatsTable[[#This Row],[GroupByKey]])*ContinuousStatsTable[Average])),0)</f>
        <v>0</v>
      </c>
      <c r="Q535" s="5">
        <f t="array" ref="Q535">MAX(IF((ProjectInfoTable[ProjectName]=ContinuousStatsTable[[#This Row],[ProjectName]]),(ProjectInfoTable[ProjectName]=ContinuousStatsTable[[#This Row],[ProjectName]])*ProjectInfoTable[ConfidenceInterval]))</f>
        <v>0.95</v>
      </c>
      <c r="R5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5" s="5">
        <f t="array" ref="S535">MIN(IF((ContinuousStatsTable[GroupByKey]=ContinuousStatsTable[[#This Row],[GroupByKey]]),(ContinuousStatsTable[GroupByKey]=ContinuousStatsTable[[#This Row],[GroupByKey]])*ContinuousStatsTable[Average]))</f>
        <v>1</v>
      </c>
      <c r="T535" s="5">
        <f t="array" ref="T535">MAX(IF((ContinuousStatsTable[GroupByKey]=ContinuousStatsTable[[#This Row],[GroupByKey]]),(ContinuousStatsTable[GroupByKey]=ContinuousStatsTable[[#This Row],[GroupByKey]])*ContinuousStatsTable[Average]))</f>
        <v>1</v>
      </c>
      <c r="U535" s="5">
        <f>IF((ContinuousStatsTable[[#This Row],[RepsRequested]]&gt;1),ContinuousStatsTable[[#This Row],[HalfWidth]],ContinuousStatsTable[[#This Row],[BatchMeansHalfWidth]])</f>
        <v>0</v>
      </c>
    </row>
    <row r="536" spans="1:21" x14ac:dyDescent="0.25">
      <c r="A536" t="s">
        <v>67</v>
      </c>
      <c r="B536" t="s">
        <v>70</v>
      </c>
      <c r="C536">
        <v>12</v>
      </c>
      <c r="D536" t="s">
        <v>91</v>
      </c>
      <c r="E536" t="s">
        <v>72</v>
      </c>
      <c r="F536" t="s">
        <v>73</v>
      </c>
      <c r="G536">
        <v>0</v>
      </c>
      <c r="H536">
        <v>2E+20</v>
      </c>
      <c r="I536">
        <v>0</v>
      </c>
      <c r="J536">
        <v>0</v>
      </c>
      <c r="K536">
        <v>0</v>
      </c>
      <c r="L536">
        <v>0</v>
      </c>
      <c r="M536" s="5" t="str">
        <f>ContinuousStatsTable[[#This Row],[ProjectName]]&amp;ContinuousStatsTable[[#This Row],[Name]]&amp;ContinuousStatsTable[[#This Row],[Type]]&amp;ContinuousStatsTable[[#This Row],[Source]]</f>
        <v>Unnamed ProjectsandblastoperatorInstantaneous UtilizationResource</v>
      </c>
      <c r="N536" s="5">
        <f t="array" ref="N536">MAX(IF((ProjectInfoTable[ProjectName]=ContinuousStatsTable[[#This Row],[ProjectName]]),(ProjectInfoTable[ProjectName]=ContinuousStatsTable[[#This Row],[ProjectName]])*ProjectInfoTable[NumberOfReplications]))</f>
        <v>15</v>
      </c>
      <c r="O536" s="5">
        <f t="array" ref="O536">IFERROR(AVERAGE(IF((ContinuousStatsTable[GroupByKey]=ContinuousStatsTable[[#This Row],[GroupByKey]]),(ContinuousStatsTable[GroupByKey]=ContinuousStatsTable[[#This Row],[GroupByKey]])*ContinuousStatsTable[Average])),0)</f>
        <v>0</v>
      </c>
      <c r="P536" s="5">
        <f t="array" ref="P536">IFERROR(_xlfn.STDEV.S(IF((ContinuousStatsTable[GroupByKey]=ContinuousStatsTable[[#This Row],[GroupByKey]]),(ContinuousStatsTable[GroupByKey]=ContinuousStatsTable[[#This Row],[GroupByKey]])*ContinuousStatsTable[Average])),0)</f>
        <v>0</v>
      </c>
      <c r="Q536" s="5">
        <f t="array" ref="Q536">MAX(IF((ProjectInfoTable[ProjectName]=ContinuousStatsTable[[#This Row],[ProjectName]]),(ProjectInfoTable[ProjectName]=ContinuousStatsTable[[#This Row],[ProjectName]])*ProjectInfoTable[ConfidenceInterval]))</f>
        <v>0.95</v>
      </c>
      <c r="R5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6" s="5">
        <f t="array" ref="S536">MIN(IF((ContinuousStatsTable[GroupByKey]=ContinuousStatsTable[[#This Row],[GroupByKey]]),(ContinuousStatsTable[GroupByKey]=ContinuousStatsTable[[#This Row],[GroupByKey]])*ContinuousStatsTable[Average]))</f>
        <v>0</v>
      </c>
      <c r="T536" s="5">
        <f t="array" ref="T536">MAX(IF((ContinuousStatsTable[GroupByKey]=ContinuousStatsTable[[#This Row],[GroupByKey]]),(ContinuousStatsTable[GroupByKey]=ContinuousStatsTable[[#This Row],[GroupByKey]])*ContinuousStatsTable[Average]))</f>
        <v>0</v>
      </c>
      <c r="U536" s="5">
        <f>IF((ContinuousStatsTable[[#This Row],[RepsRequested]]&gt;1),ContinuousStatsTable[[#This Row],[HalfWidth]],ContinuousStatsTable[[#This Row],[BatchMeansHalfWidth]])</f>
        <v>0</v>
      </c>
    </row>
    <row r="537" spans="1:21" x14ac:dyDescent="0.25">
      <c r="A537" t="s">
        <v>67</v>
      </c>
      <c r="B537" t="s">
        <v>70</v>
      </c>
      <c r="C537">
        <v>12</v>
      </c>
      <c r="D537" t="s">
        <v>91</v>
      </c>
      <c r="E537" t="s">
        <v>74</v>
      </c>
      <c r="F537" t="s">
        <v>73</v>
      </c>
      <c r="G537">
        <v>0</v>
      </c>
      <c r="H537">
        <v>2E+20</v>
      </c>
      <c r="I537">
        <v>0</v>
      </c>
      <c r="J537">
        <v>0</v>
      </c>
      <c r="K537">
        <v>0</v>
      </c>
      <c r="L537">
        <v>0</v>
      </c>
      <c r="M537" s="5" t="str">
        <f>ContinuousStatsTable[[#This Row],[ProjectName]]&amp;ContinuousStatsTable[[#This Row],[Name]]&amp;ContinuousStatsTable[[#This Row],[Type]]&amp;ContinuousStatsTable[[#This Row],[Source]]</f>
        <v>Unnamed ProjectsandblastoperatorNumber BusyResource</v>
      </c>
      <c r="N537" s="5">
        <f t="array" ref="N537">MAX(IF((ProjectInfoTable[ProjectName]=ContinuousStatsTable[[#This Row],[ProjectName]]),(ProjectInfoTable[ProjectName]=ContinuousStatsTable[[#This Row],[ProjectName]])*ProjectInfoTable[NumberOfReplications]))</f>
        <v>15</v>
      </c>
      <c r="O537" s="5">
        <f t="array" ref="O537">IFERROR(AVERAGE(IF((ContinuousStatsTable[GroupByKey]=ContinuousStatsTable[[#This Row],[GroupByKey]]),(ContinuousStatsTable[GroupByKey]=ContinuousStatsTable[[#This Row],[GroupByKey]])*ContinuousStatsTable[Average])),0)</f>
        <v>0</v>
      </c>
      <c r="P537" s="5">
        <f t="array" ref="P537">IFERROR(_xlfn.STDEV.S(IF((ContinuousStatsTable[GroupByKey]=ContinuousStatsTable[[#This Row],[GroupByKey]]),(ContinuousStatsTable[GroupByKey]=ContinuousStatsTable[[#This Row],[GroupByKey]])*ContinuousStatsTable[Average])),0)</f>
        <v>0</v>
      </c>
      <c r="Q537" s="5">
        <f t="array" ref="Q537">MAX(IF((ProjectInfoTable[ProjectName]=ContinuousStatsTable[[#This Row],[ProjectName]]),(ProjectInfoTable[ProjectName]=ContinuousStatsTable[[#This Row],[ProjectName]])*ProjectInfoTable[ConfidenceInterval]))</f>
        <v>0.95</v>
      </c>
      <c r="R5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7" s="5">
        <f t="array" ref="S537">MIN(IF((ContinuousStatsTable[GroupByKey]=ContinuousStatsTable[[#This Row],[GroupByKey]]),(ContinuousStatsTable[GroupByKey]=ContinuousStatsTable[[#This Row],[GroupByKey]])*ContinuousStatsTable[Average]))</f>
        <v>0</v>
      </c>
      <c r="T537" s="5">
        <f t="array" ref="T537">MAX(IF((ContinuousStatsTable[GroupByKey]=ContinuousStatsTable[[#This Row],[GroupByKey]]),(ContinuousStatsTable[GroupByKey]=ContinuousStatsTable[[#This Row],[GroupByKey]])*ContinuousStatsTable[Average]))</f>
        <v>0</v>
      </c>
      <c r="U537" s="5">
        <f>IF((ContinuousStatsTable[[#This Row],[RepsRequested]]&gt;1),ContinuousStatsTable[[#This Row],[HalfWidth]],ContinuousStatsTable[[#This Row],[BatchMeansHalfWidth]])</f>
        <v>0</v>
      </c>
    </row>
    <row r="538" spans="1:21" x14ac:dyDescent="0.25">
      <c r="A538" t="s">
        <v>67</v>
      </c>
      <c r="B538" t="s">
        <v>70</v>
      </c>
      <c r="C538">
        <v>12</v>
      </c>
      <c r="D538" t="s">
        <v>91</v>
      </c>
      <c r="E538" t="s">
        <v>75</v>
      </c>
      <c r="F538" t="s">
        <v>73</v>
      </c>
      <c r="G538">
        <v>1.5834999999999999</v>
      </c>
      <c r="H538">
        <v>3E+20</v>
      </c>
      <c r="I538">
        <v>1</v>
      </c>
      <c r="J538">
        <v>2</v>
      </c>
      <c r="K538">
        <v>2</v>
      </c>
      <c r="L538">
        <v>0</v>
      </c>
      <c r="M538" s="5" t="str">
        <f>ContinuousStatsTable[[#This Row],[ProjectName]]&amp;ContinuousStatsTable[[#This Row],[Name]]&amp;ContinuousStatsTable[[#This Row],[Type]]&amp;ContinuousStatsTable[[#This Row],[Source]]</f>
        <v>Unnamed ProjectsandblastoperatorNumber ScheduledResource</v>
      </c>
      <c r="N538" s="5">
        <f t="array" ref="N538">MAX(IF((ProjectInfoTable[ProjectName]=ContinuousStatsTable[[#This Row],[ProjectName]]),(ProjectInfoTable[ProjectName]=ContinuousStatsTable[[#This Row],[ProjectName]])*ProjectInfoTable[NumberOfReplications]))</f>
        <v>15</v>
      </c>
      <c r="O538" s="5">
        <f t="array" ref="O538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538" s="5">
        <f t="array" ref="P538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538" s="5">
        <f t="array" ref="Q538">MAX(IF((ProjectInfoTable[ProjectName]=ContinuousStatsTable[[#This Row],[ProjectName]]),(ProjectInfoTable[ProjectName]=ContinuousStatsTable[[#This Row],[ProjectName]])*ProjectInfoTable[ConfidenceInterval]))</f>
        <v>0.95</v>
      </c>
      <c r="R5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538" s="5">
        <f t="array" ref="S538">MIN(IF((ContinuousStatsTable[GroupByKey]=ContinuousStatsTable[[#This Row],[GroupByKey]]),(ContinuousStatsTable[GroupByKey]=ContinuousStatsTable[[#This Row],[GroupByKey]])*ContinuousStatsTable[Average]))</f>
        <v>1</v>
      </c>
      <c r="T538" s="5">
        <f t="array" ref="T538">MAX(IF((ContinuousStatsTable[GroupByKey]=ContinuousStatsTable[[#This Row],[GroupByKey]]),(ContinuousStatsTable[GroupByKey]=ContinuousStatsTable[[#This Row],[GroupByKey]])*ContinuousStatsTable[Average]))</f>
        <v>2</v>
      </c>
      <c r="U538" s="5">
        <f>IF((ContinuousStatsTable[[#This Row],[RepsRequested]]&gt;1),ContinuousStatsTable[[#This Row],[HalfWidth]],ContinuousStatsTable[[#This Row],[BatchMeansHalfWidth]])</f>
        <v>0.13376733135491528</v>
      </c>
    </row>
    <row r="539" spans="1:21" x14ac:dyDescent="0.25">
      <c r="A539" t="s">
        <v>67</v>
      </c>
      <c r="B539" t="s">
        <v>70</v>
      </c>
      <c r="C539">
        <v>12</v>
      </c>
      <c r="D539" t="s">
        <v>92</v>
      </c>
      <c r="E539" t="s">
        <v>84</v>
      </c>
      <c r="F539" t="s">
        <v>85</v>
      </c>
      <c r="G539">
        <v>0</v>
      </c>
      <c r="H539">
        <v>2E+20</v>
      </c>
      <c r="I539">
        <v>0</v>
      </c>
      <c r="J539">
        <v>0</v>
      </c>
      <c r="K539">
        <v>0</v>
      </c>
      <c r="L539">
        <v>0</v>
      </c>
      <c r="M539" s="5" t="str">
        <f>ContinuousStatsTable[[#This Row],[ProjectName]]&amp;ContinuousStatsTable[[#This Row],[Name]]&amp;ContinuousStatsTable[[#This Row],[Type]]&amp;ContinuousStatsTable[[#This Row],[Source]]</f>
        <v>Unnamed Projectseize_assembler.QueueNumber WaitingQueue</v>
      </c>
      <c r="N539" s="5">
        <f t="array" ref="N539">MAX(IF((ProjectInfoTable[ProjectName]=ContinuousStatsTable[[#This Row],[ProjectName]]),(ProjectInfoTable[ProjectName]=ContinuousStatsTable[[#This Row],[ProjectName]])*ProjectInfoTable[NumberOfReplications]))</f>
        <v>15</v>
      </c>
      <c r="O539" s="5">
        <f t="array" ref="O539">IFERROR(AVERAGE(IF((ContinuousStatsTable[GroupByKey]=ContinuousStatsTable[[#This Row],[GroupByKey]]),(ContinuousStatsTable[GroupByKey]=ContinuousStatsTable[[#This Row],[GroupByKey]])*ContinuousStatsTable[Average])),0)</f>
        <v>0</v>
      </c>
      <c r="P539" s="5">
        <f t="array" ref="P539">IFERROR(_xlfn.STDEV.S(IF((ContinuousStatsTable[GroupByKey]=ContinuousStatsTable[[#This Row],[GroupByKey]]),(ContinuousStatsTable[GroupByKey]=ContinuousStatsTable[[#This Row],[GroupByKey]])*ContinuousStatsTable[Average])),0)</f>
        <v>0</v>
      </c>
      <c r="Q539" s="5">
        <f t="array" ref="Q539">MAX(IF((ProjectInfoTable[ProjectName]=ContinuousStatsTable[[#This Row],[ProjectName]]),(ProjectInfoTable[ProjectName]=ContinuousStatsTable[[#This Row],[ProjectName]])*ProjectInfoTable[ConfidenceInterval]))</f>
        <v>0.95</v>
      </c>
      <c r="R5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9" s="5">
        <f t="array" ref="S539">MIN(IF((ContinuousStatsTable[GroupByKey]=ContinuousStatsTable[[#This Row],[GroupByKey]]),(ContinuousStatsTable[GroupByKey]=ContinuousStatsTable[[#This Row],[GroupByKey]])*ContinuousStatsTable[Average]))</f>
        <v>0</v>
      </c>
      <c r="T539" s="5">
        <f t="array" ref="T539">MAX(IF((ContinuousStatsTable[GroupByKey]=ContinuousStatsTable[[#This Row],[GroupByKey]]),(ContinuousStatsTable[GroupByKey]=ContinuousStatsTable[[#This Row],[GroupByKey]])*ContinuousStatsTable[Average]))</f>
        <v>0</v>
      </c>
      <c r="U539" s="5">
        <f>IF((ContinuousStatsTable[[#This Row],[RepsRequested]]&gt;1),ContinuousStatsTable[[#This Row],[HalfWidth]],ContinuousStatsTable[[#This Row],[BatchMeansHalfWidth]])</f>
        <v>0</v>
      </c>
    </row>
    <row r="540" spans="1:21" x14ac:dyDescent="0.25">
      <c r="A540" t="s">
        <v>67</v>
      </c>
      <c r="B540" t="s">
        <v>70</v>
      </c>
      <c r="C540">
        <v>12</v>
      </c>
      <c r="D540" t="s">
        <v>93</v>
      </c>
      <c r="E540" t="s">
        <v>84</v>
      </c>
      <c r="F540" t="s">
        <v>85</v>
      </c>
      <c r="G540">
        <v>0</v>
      </c>
      <c r="H540">
        <v>2E+20</v>
      </c>
      <c r="I540">
        <v>0</v>
      </c>
      <c r="J540">
        <v>0</v>
      </c>
      <c r="K540">
        <v>0</v>
      </c>
      <c r="L540">
        <v>0</v>
      </c>
      <c r="M540" s="5" t="str">
        <f>ContinuousStatsTable[[#This Row],[ProjectName]]&amp;ContinuousStatsTable[[#This Row],[Name]]&amp;ContinuousStatsTable[[#This Row],[Type]]&amp;ContinuousStatsTable[[#This Row],[Source]]</f>
        <v>Unnamed Projectseize_cutter.QueueNumber WaitingQueue</v>
      </c>
      <c r="N540" s="5">
        <f t="array" ref="N540">MAX(IF((ProjectInfoTable[ProjectName]=ContinuousStatsTable[[#This Row],[ProjectName]]),(ProjectInfoTable[ProjectName]=ContinuousStatsTable[[#This Row],[ProjectName]])*ProjectInfoTable[NumberOfReplications]))</f>
        <v>15</v>
      </c>
      <c r="O540" s="5">
        <f t="array" ref="O540">IFERROR(AVERAGE(IF((ContinuousStatsTable[GroupByKey]=ContinuousStatsTable[[#This Row],[GroupByKey]]),(ContinuousStatsTable[GroupByKey]=ContinuousStatsTable[[#This Row],[GroupByKey]])*ContinuousStatsTable[Average])),0)</f>
        <v>0</v>
      </c>
      <c r="P540" s="5">
        <f t="array" ref="P540">IFERROR(_xlfn.STDEV.S(IF((ContinuousStatsTable[GroupByKey]=ContinuousStatsTable[[#This Row],[GroupByKey]]),(ContinuousStatsTable[GroupByKey]=ContinuousStatsTable[[#This Row],[GroupByKey]])*ContinuousStatsTable[Average])),0)</f>
        <v>0</v>
      </c>
      <c r="Q540" s="5">
        <f t="array" ref="Q540">MAX(IF((ProjectInfoTable[ProjectName]=ContinuousStatsTable[[#This Row],[ProjectName]]),(ProjectInfoTable[ProjectName]=ContinuousStatsTable[[#This Row],[ProjectName]])*ProjectInfoTable[ConfidenceInterval]))</f>
        <v>0.95</v>
      </c>
      <c r="R5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0" s="5">
        <f t="array" ref="S540">MIN(IF((ContinuousStatsTable[GroupByKey]=ContinuousStatsTable[[#This Row],[GroupByKey]]),(ContinuousStatsTable[GroupByKey]=ContinuousStatsTable[[#This Row],[GroupByKey]])*ContinuousStatsTable[Average]))</f>
        <v>0</v>
      </c>
      <c r="T540" s="5">
        <f t="array" ref="T540">MAX(IF((ContinuousStatsTable[GroupByKey]=ContinuousStatsTable[[#This Row],[GroupByKey]]),(ContinuousStatsTable[GroupByKey]=ContinuousStatsTable[[#This Row],[GroupByKey]])*ContinuousStatsTable[Average]))</f>
        <v>0</v>
      </c>
      <c r="U540" s="5">
        <f>IF((ContinuousStatsTable[[#This Row],[RepsRequested]]&gt;1),ContinuousStatsTable[[#This Row],[HalfWidth]],ContinuousStatsTable[[#This Row],[BatchMeansHalfWidth]])</f>
        <v>0</v>
      </c>
    </row>
    <row r="541" spans="1:21" x14ac:dyDescent="0.25">
      <c r="A541" t="s">
        <v>67</v>
      </c>
      <c r="B541" t="s">
        <v>70</v>
      </c>
      <c r="C541">
        <v>12</v>
      </c>
      <c r="D541" t="s">
        <v>94</v>
      </c>
      <c r="E541" t="s">
        <v>84</v>
      </c>
      <c r="F541" t="s">
        <v>85</v>
      </c>
      <c r="G541">
        <v>0</v>
      </c>
      <c r="H541">
        <v>2E+20</v>
      </c>
      <c r="I541">
        <v>0</v>
      </c>
      <c r="J541">
        <v>0</v>
      </c>
      <c r="K541">
        <v>0</v>
      </c>
      <c r="L541">
        <v>0</v>
      </c>
      <c r="M541" s="5" t="str">
        <f>ContinuousStatsTable[[#This Row],[ProjectName]]&amp;ContinuousStatsTable[[#This Row],[Name]]&amp;ContinuousStatsTable[[#This Row],[Type]]&amp;ContinuousStatsTable[[#This Row],[Source]]</f>
        <v>Unnamed Projectseizeassemblyqcman.QueueNumber WaitingQueue</v>
      </c>
      <c r="N541" s="5">
        <f t="array" ref="N541">MAX(IF((ProjectInfoTable[ProjectName]=ContinuousStatsTable[[#This Row],[ProjectName]]),(ProjectInfoTable[ProjectName]=ContinuousStatsTable[[#This Row],[ProjectName]])*ProjectInfoTable[NumberOfReplications]))</f>
        <v>15</v>
      </c>
      <c r="O541" s="5">
        <f t="array" ref="O541">IFERROR(AVERAGE(IF((ContinuousStatsTable[GroupByKey]=ContinuousStatsTable[[#This Row],[GroupByKey]]),(ContinuousStatsTable[GroupByKey]=ContinuousStatsTable[[#This Row],[GroupByKey]])*ContinuousStatsTable[Average])),0)</f>
        <v>0</v>
      </c>
      <c r="P541" s="5">
        <f t="array" ref="P541">IFERROR(_xlfn.STDEV.S(IF((ContinuousStatsTable[GroupByKey]=ContinuousStatsTable[[#This Row],[GroupByKey]]),(ContinuousStatsTable[GroupByKey]=ContinuousStatsTable[[#This Row],[GroupByKey]])*ContinuousStatsTable[Average])),0)</f>
        <v>0</v>
      </c>
      <c r="Q541" s="5">
        <f t="array" ref="Q541">MAX(IF((ProjectInfoTable[ProjectName]=ContinuousStatsTable[[#This Row],[ProjectName]]),(ProjectInfoTable[ProjectName]=ContinuousStatsTable[[#This Row],[ProjectName]])*ProjectInfoTable[ConfidenceInterval]))</f>
        <v>0.95</v>
      </c>
      <c r="R5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1" s="5">
        <f t="array" ref="S541">MIN(IF((ContinuousStatsTable[GroupByKey]=ContinuousStatsTable[[#This Row],[GroupByKey]]),(ContinuousStatsTable[GroupByKey]=ContinuousStatsTable[[#This Row],[GroupByKey]])*ContinuousStatsTable[Average]))</f>
        <v>0</v>
      </c>
      <c r="T541" s="5">
        <f t="array" ref="T541">MAX(IF((ContinuousStatsTable[GroupByKey]=ContinuousStatsTable[[#This Row],[GroupByKey]]),(ContinuousStatsTable[GroupByKey]=ContinuousStatsTable[[#This Row],[GroupByKey]])*ContinuousStatsTable[Average]))</f>
        <v>0</v>
      </c>
      <c r="U541" s="5">
        <f>IF((ContinuousStatsTable[[#This Row],[RepsRequested]]&gt;1),ContinuousStatsTable[[#This Row],[HalfWidth]],ContinuousStatsTable[[#This Row],[BatchMeansHalfWidth]])</f>
        <v>0</v>
      </c>
    </row>
    <row r="542" spans="1:21" x14ac:dyDescent="0.25">
      <c r="A542" t="s">
        <v>67</v>
      </c>
      <c r="B542" t="s">
        <v>70</v>
      </c>
      <c r="C542">
        <v>12</v>
      </c>
      <c r="D542" t="s">
        <v>95</v>
      </c>
      <c r="E542" t="s">
        <v>84</v>
      </c>
      <c r="F542" t="s">
        <v>85</v>
      </c>
      <c r="G542">
        <v>0</v>
      </c>
      <c r="H542">
        <v>2E+20</v>
      </c>
      <c r="I542">
        <v>0</v>
      </c>
      <c r="J542">
        <v>0</v>
      </c>
      <c r="K542">
        <v>0</v>
      </c>
      <c r="L542">
        <v>0</v>
      </c>
      <c r="M542" s="5" t="str">
        <f>ContinuousStatsTable[[#This Row],[ProjectName]]&amp;ContinuousStatsTable[[#This Row],[Name]]&amp;ContinuousStatsTable[[#This Row],[Type]]&amp;ContinuousStatsTable[[#This Row],[Source]]</f>
        <v>Unnamed Projectseizecleaner.QueueNumber WaitingQueue</v>
      </c>
      <c r="N542" s="5">
        <f t="array" ref="N542">MAX(IF((ProjectInfoTable[ProjectName]=ContinuousStatsTable[[#This Row],[ProjectName]]),(ProjectInfoTable[ProjectName]=ContinuousStatsTable[[#This Row],[ProjectName]])*ProjectInfoTable[NumberOfReplications]))</f>
        <v>15</v>
      </c>
      <c r="O542" s="5">
        <f t="array" ref="O542">IFERROR(AVERAGE(IF((ContinuousStatsTable[GroupByKey]=ContinuousStatsTable[[#This Row],[GroupByKey]]),(ContinuousStatsTable[GroupByKey]=ContinuousStatsTable[[#This Row],[GroupByKey]])*ContinuousStatsTable[Average])),0)</f>
        <v>0</v>
      </c>
      <c r="P542" s="5">
        <f t="array" ref="P542">IFERROR(_xlfn.STDEV.S(IF((ContinuousStatsTable[GroupByKey]=ContinuousStatsTable[[#This Row],[GroupByKey]]),(ContinuousStatsTable[GroupByKey]=ContinuousStatsTable[[#This Row],[GroupByKey]])*ContinuousStatsTable[Average])),0)</f>
        <v>0</v>
      </c>
      <c r="Q542" s="5">
        <f t="array" ref="Q542">MAX(IF((ProjectInfoTable[ProjectName]=ContinuousStatsTable[[#This Row],[ProjectName]]),(ProjectInfoTable[ProjectName]=ContinuousStatsTable[[#This Row],[ProjectName]])*ProjectInfoTable[ConfidenceInterval]))</f>
        <v>0.95</v>
      </c>
      <c r="R5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2" s="5">
        <f t="array" ref="S542">MIN(IF((ContinuousStatsTable[GroupByKey]=ContinuousStatsTable[[#This Row],[GroupByKey]]),(ContinuousStatsTable[GroupByKey]=ContinuousStatsTable[[#This Row],[GroupByKey]])*ContinuousStatsTable[Average]))</f>
        <v>0</v>
      </c>
      <c r="T542" s="5">
        <f t="array" ref="T542">MAX(IF((ContinuousStatsTable[GroupByKey]=ContinuousStatsTable[[#This Row],[GroupByKey]]),(ContinuousStatsTable[GroupByKey]=ContinuousStatsTable[[#This Row],[GroupByKey]])*ContinuousStatsTable[Average]))</f>
        <v>0</v>
      </c>
      <c r="U542" s="5">
        <f>IF((ContinuousStatsTable[[#This Row],[RepsRequested]]&gt;1),ContinuousStatsTable[[#This Row],[HalfWidth]],ContinuousStatsTable[[#This Row],[BatchMeansHalfWidth]])</f>
        <v>0</v>
      </c>
    </row>
    <row r="543" spans="1:21" x14ac:dyDescent="0.25">
      <c r="A543" t="s">
        <v>67</v>
      </c>
      <c r="B543" t="s">
        <v>70</v>
      </c>
      <c r="C543">
        <v>12</v>
      </c>
      <c r="D543" t="s">
        <v>96</v>
      </c>
      <c r="E543" t="s">
        <v>84</v>
      </c>
      <c r="F543" t="s">
        <v>85</v>
      </c>
      <c r="G543">
        <v>0</v>
      </c>
      <c r="H543">
        <v>2E+20</v>
      </c>
      <c r="I543">
        <v>0</v>
      </c>
      <c r="J543">
        <v>0</v>
      </c>
      <c r="K543">
        <v>0</v>
      </c>
      <c r="L543">
        <v>0</v>
      </c>
      <c r="M543" s="5" t="str">
        <f>ContinuousStatsTable[[#This Row],[ProjectName]]&amp;ContinuousStatsTable[[#This Row],[Name]]&amp;ContinuousStatsTable[[#This Row],[Type]]&amp;ContinuousStatsTable[[#This Row],[Source]]</f>
        <v>Unnamed Projectseizepainter.QueueNumber WaitingQueue</v>
      </c>
      <c r="N543" s="5">
        <f t="array" ref="N543">MAX(IF((ProjectInfoTable[ProjectName]=ContinuousStatsTable[[#This Row],[ProjectName]]),(ProjectInfoTable[ProjectName]=ContinuousStatsTable[[#This Row],[ProjectName]])*ProjectInfoTable[NumberOfReplications]))</f>
        <v>15</v>
      </c>
      <c r="O543" s="5">
        <f t="array" ref="O543">IFERROR(AVERAGE(IF((ContinuousStatsTable[GroupByKey]=ContinuousStatsTable[[#This Row],[GroupByKey]]),(ContinuousStatsTable[GroupByKey]=ContinuousStatsTable[[#This Row],[GroupByKey]])*ContinuousStatsTable[Average])),0)</f>
        <v>0</v>
      </c>
      <c r="P543" s="5">
        <f t="array" ref="P543">IFERROR(_xlfn.STDEV.S(IF((ContinuousStatsTable[GroupByKey]=ContinuousStatsTable[[#This Row],[GroupByKey]]),(ContinuousStatsTable[GroupByKey]=ContinuousStatsTable[[#This Row],[GroupByKey]])*ContinuousStatsTable[Average])),0)</f>
        <v>0</v>
      </c>
      <c r="Q543" s="5">
        <f t="array" ref="Q543">MAX(IF((ProjectInfoTable[ProjectName]=ContinuousStatsTable[[#This Row],[ProjectName]]),(ProjectInfoTable[ProjectName]=ContinuousStatsTable[[#This Row],[ProjectName]])*ProjectInfoTable[ConfidenceInterval]))</f>
        <v>0.95</v>
      </c>
      <c r="R5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3" s="5">
        <f t="array" ref="S543">MIN(IF((ContinuousStatsTable[GroupByKey]=ContinuousStatsTable[[#This Row],[GroupByKey]]),(ContinuousStatsTable[GroupByKey]=ContinuousStatsTable[[#This Row],[GroupByKey]])*ContinuousStatsTable[Average]))</f>
        <v>0</v>
      </c>
      <c r="T543" s="5">
        <f t="array" ref="T543">MAX(IF((ContinuousStatsTable[GroupByKey]=ContinuousStatsTable[[#This Row],[GroupByKey]]),(ContinuousStatsTable[GroupByKey]=ContinuousStatsTable[[#This Row],[GroupByKey]])*ContinuousStatsTable[Average]))</f>
        <v>0</v>
      </c>
      <c r="U543" s="5">
        <f>IF((ContinuousStatsTable[[#This Row],[RepsRequested]]&gt;1),ContinuousStatsTable[[#This Row],[HalfWidth]],ContinuousStatsTable[[#This Row],[BatchMeansHalfWidth]])</f>
        <v>0</v>
      </c>
    </row>
    <row r="544" spans="1:21" x14ac:dyDescent="0.25">
      <c r="A544" t="s">
        <v>67</v>
      </c>
      <c r="B544" t="s">
        <v>70</v>
      </c>
      <c r="C544">
        <v>12</v>
      </c>
      <c r="D544" t="s">
        <v>97</v>
      </c>
      <c r="E544" t="s">
        <v>84</v>
      </c>
      <c r="F544" t="s">
        <v>85</v>
      </c>
      <c r="G544">
        <v>0</v>
      </c>
      <c r="H544">
        <v>2E+20</v>
      </c>
      <c r="I544">
        <v>0</v>
      </c>
      <c r="J544">
        <v>0</v>
      </c>
      <c r="K544">
        <v>0</v>
      </c>
      <c r="L544">
        <v>0</v>
      </c>
      <c r="M544" s="5" t="str">
        <f>ContinuousStatsTable[[#This Row],[ProjectName]]&amp;ContinuousStatsTable[[#This Row],[Name]]&amp;ContinuousStatsTable[[#This Row],[Type]]&amp;ContinuousStatsTable[[#This Row],[Source]]</f>
        <v>Unnamed Projectseizeqcman.QueueNumber WaitingQueue</v>
      </c>
      <c r="N544" s="5">
        <f t="array" ref="N544">MAX(IF((ProjectInfoTable[ProjectName]=ContinuousStatsTable[[#This Row],[ProjectName]]),(ProjectInfoTable[ProjectName]=ContinuousStatsTable[[#This Row],[ProjectName]])*ProjectInfoTable[NumberOfReplications]))</f>
        <v>15</v>
      </c>
      <c r="O544" s="5">
        <f t="array" ref="O544">IFERROR(AVERAGE(IF((ContinuousStatsTable[GroupByKey]=ContinuousStatsTable[[#This Row],[GroupByKey]]),(ContinuousStatsTable[GroupByKey]=ContinuousStatsTable[[#This Row],[GroupByKey]])*ContinuousStatsTable[Average])),0)</f>
        <v>0</v>
      </c>
      <c r="P544" s="5">
        <f t="array" ref="P544">IFERROR(_xlfn.STDEV.S(IF((ContinuousStatsTable[GroupByKey]=ContinuousStatsTable[[#This Row],[GroupByKey]]),(ContinuousStatsTable[GroupByKey]=ContinuousStatsTable[[#This Row],[GroupByKey]])*ContinuousStatsTable[Average])),0)</f>
        <v>0</v>
      </c>
      <c r="Q544" s="5">
        <f t="array" ref="Q544">MAX(IF((ProjectInfoTable[ProjectName]=ContinuousStatsTable[[#This Row],[ProjectName]]),(ProjectInfoTable[ProjectName]=ContinuousStatsTable[[#This Row],[ProjectName]])*ProjectInfoTable[ConfidenceInterval]))</f>
        <v>0.95</v>
      </c>
      <c r="R5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4" s="5">
        <f t="array" ref="S544">MIN(IF((ContinuousStatsTable[GroupByKey]=ContinuousStatsTable[[#This Row],[GroupByKey]]),(ContinuousStatsTable[GroupByKey]=ContinuousStatsTable[[#This Row],[GroupByKey]])*ContinuousStatsTable[Average]))</f>
        <v>0</v>
      </c>
      <c r="T544" s="5">
        <f t="array" ref="T544">MAX(IF((ContinuousStatsTable[GroupByKey]=ContinuousStatsTable[[#This Row],[GroupByKey]]),(ContinuousStatsTable[GroupByKey]=ContinuousStatsTable[[#This Row],[GroupByKey]])*ContinuousStatsTable[Average]))</f>
        <v>0</v>
      </c>
      <c r="U544" s="5">
        <f>IF((ContinuousStatsTable[[#This Row],[RepsRequested]]&gt;1),ContinuousStatsTable[[#This Row],[HalfWidth]],ContinuousStatsTable[[#This Row],[BatchMeansHalfWidth]])</f>
        <v>0</v>
      </c>
    </row>
    <row r="545" spans="1:21" x14ac:dyDescent="0.25">
      <c r="A545" t="s">
        <v>67</v>
      </c>
      <c r="B545" t="s">
        <v>70</v>
      </c>
      <c r="C545">
        <v>12</v>
      </c>
      <c r="D545" t="s">
        <v>98</v>
      </c>
      <c r="E545" t="s">
        <v>84</v>
      </c>
      <c r="F545" t="s">
        <v>85</v>
      </c>
      <c r="G545">
        <v>0</v>
      </c>
      <c r="H545">
        <v>2E+20</v>
      </c>
      <c r="I545">
        <v>0</v>
      </c>
      <c r="J545">
        <v>0</v>
      </c>
      <c r="K545">
        <v>0</v>
      </c>
      <c r="L545">
        <v>0</v>
      </c>
      <c r="M545" s="5" t="str">
        <f>ContinuousStatsTable[[#This Row],[ProjectName]]&amp;ContinuousStatsTable[[#This Row],[Name]]&amp;ContinuousStatsTable[[#This Row],[Type]]&amp;ContinuousStatsTable[[#This Row],[Source]]</f>
        <v>Unnamed Projectseizesandblaster.QueueNumber WaitingQueue</v>
      </c>
      <c r="N545" s="5">
        <f t="array" ref="N545">MAX(IF((ProjectInfoTable[ProjectName]=ContinuousStatsTable[[#This Row],[ProjectName]]),(ProjectInfoTable[ProjectName]=ContinuousStatsTable[[#This Row],[ProjectName]])*ProjectInfoTable[NumberOfReplications]))</f>
        <v>15</v>
      </c>
      <c r="O545" s="5">
        <f t="array" ref="O545">IFERROR(AVERAGE(IF((ContinuousStatsTable[GroupByKey]=ContinuousStatsTable[[#This Row],[GroupByKey]]),(ContinuousStatsTable[GroupByKey]=ContinuousStatsTable[[#This Row],[GroupByKey]])*ContinuousStatsTable[Average])),0)</f>
        <v>0</v>
      </c>
      <c r="P545" s="5">
        <f t="array" ref="P545">IFERROR(_xlfn.STDEV.S(IF((ContinuousStatsTable[GroupByKey]=ContinuousStatsTable[[#This Row],[GroupByKey]]),(ContinuousStatsTable[GroupByKey]=ContinuousStatsTable[[#This Row],[GroupByKey]])*ContinuousStatsTable[Average])),0)</f>
        <v>0</v>
      </c>
      <c r="Q545" s="5">
        <f t="array" ref="Q545">MAX(IF((ProjectInfoTable[ProjectName]=ContinuousStatsTable[[#This Row],[ProjectName]]),(ProjectInfoTable[ProjectName]=ContinuousStatsTable[[#This Row],[ProjectName]])*ProjectInfoTable[ConfidenceInterval]))</f>
        <v>0.95</v>
      </c>
      <c r="R5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5" s="5">
        <f t="array" ref="S545">MIN(IF((ContinuousStatsTable[GroupByKey]=ContinuousStatsTable[[#This Row],[GroupByKey]]),(ContinuousStatsTable[GroupByKey]=ContinuousStatsTable[[#This Row],[GroupByKey]])*ContinuousStatsTable[Average]))</f>
        <v>0</v>
      </c>
      <c r="T545" s="5">
        <f t="array" ref="T545">MAX(IF((ContinuousStatsTable[GroupByKey]=ContinuousStatsTable[[#This Row],[GroupByKey]]),(ContinuousStatsTable[GroupByKey]=ContinuousStatsTable[[#This Row],[GroupByKey]])*ContinuousStatsTable[Average]))</f>
        <v>0</v>
      </c>
      <c r="U545" s="5">
        <f>IF((ContinuousStatsTable[[#This Row],[RepsRequested]]&gt;1),ContinuousStatsTable[[#This Row],[HalfWidth]],ContinuousStatsTable[[#This Row],[BatchMeansHalfWidth]])</f>
        <v>0</v>
      </c>
    </row>
    <row r="546" spans="1:21" x14ac:dyDescent="0.25">
      <c r="A546" t="s">
        <v>67</v>
      </c>
      <c r="B546" t="s">
        <v>70</v>
      </c>
      <c r="C546">
        <v>12</v>
      </c>
      <c r="D546" t="s">
        <v>99</v>
      </c>
      <c r="E546" t="s">
        <v>84</v>
      </c>
      <c r="F546" t="s">
        <v>85</v>
      </c>
      <c r="G546">
        <v>0</v>
      </c>
      <c r="H546">
        <v>2E+20</v>
      </c>
      <c r="I546">
        <v>0</v>
      </c>
      <c r="J546">
        <v>0</v>
      </c>
      <c r="K546">
        <v>0</v>
      </c>
      <c r="L546">
        <v>0</v>
      </c>
      <c r="M546" s="5" t="str">
        <f>ContinuousStatsTable[[#This Row],[ProjectName]]&amp;ContinuousStatsTable[[#This Row],[Name]]&amp;ContinuousStatsTable[[#This Row],[Type]]&amp;ContinuousStatsTable[[#This Row],[Source]]</f>
        <v>Unnamed Projectseizewelder.QueueNumber WaitingQueue</v>
      </c>
      <c r="N546" s="5">
        <f t="array" ref="N546">MAX(IF((ProjectInfoTable[ProjectName]=ContinuousStatsTable[[#This Row],[ProjectName]]),(ProjectInfoTable[ProjectName]=ContinuousStatsTable[[#This Row],[ProjectName]])*ProjectInfoTable[NumberOfReplications]))</f>
        <v>15</v>
      </c>
      <c r="O546" s="5">
        <f t="array" ref="O546">IFERROR(AVERAGE(IF((ContinuousStatsTable[GroupByKey]=ContinuousStatsTable[[#This Row],[GroupByKey]]),(ContinuousStatsTable[GroupByKey]=ContinuousStatsTable[[#This Row],[GroupByKey]])*ContinuousStatsTable[Average])),0)</f>
        <v>0</v>
      </c>
      <c r="P546" s="5">
        <f t="array" ref="P546">IFERROR(_xlfn.STDEV.S(IF((ContinuousStatsTable[GroupByKey]=ContinuousStatsTable[[#This Row],[GroupByKey]]),(ContinuousStatsTable[GroupByKey]=ContinuousStatsTable[[#This Row],[GroupByKey]])*ContinuousStatsTable[Average])),0)</f>
        <v>0</v>
      </c>
      <c r="Q546" s="5">
        <f t="array" ref="Q546">MAX(IF((ProjectInfoTable[ProjectName]=ContinuousStatsTable[[#This Row],[ProjectName]]),(ProjectInfoTable[ProjectName]=ContinuousStatsTable[[#This Row],[ProjectName]])*ProjectInfoTable[ConfidenceInterval]))</f>
        <v>0.95</v>
      </c>
      <c r="R5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6" s="5">
        <f t="array" ref="S546">MIN(IF((ContinuousStatsTable[GroupByKey]=ContinuousStatsTable[[#This Row],[GroupByKey]]),(ContinuousStatsTable[GroupByKey]=ContinuousStatsTable[[#This Row],[GroupByKey]])*ContinuousStatsTable[Average]))</f>
        <v>0</v>
      </c>
      <c r="T546" s="5">
        <f t="array" ref="T546">MAX(IF((ContinuousStatsTable[GroupByKey]=ContinuousStatsTable[[#This Row],[GroupByKey]]),(ContinuousStatsTable[GroupByKey]=ContinuousStatsTable[[#This Row],[GroupByKey]])*ContinuousStatsTable[Average]))</f>
        <v>0</v>
      </c>
      <c r="U546" s="5">
        <f>IF((ContinuousStatsTable[[#This Row],[RepsRequested]]&gt;1),ContinuousStatsTable[[#This Row],[HalfWidth]],ContinuousStatsTable[[#This Row],[BatchMeansHalfWidth]])</f>
        <v>0</v>
      </c>
    </row>
    <row r="547" spans="1:21" x14ac:dyDescent="0.25">
      <c r="A547" t="s">
        <v>67</v>
      </c>
      <c r="B547" t="s">
        <v>70</v>
      </c>
      <c r="C547">
        <v>12</v>
      </c>
      <c r="D547" t="s">
        <v>100</v>
      </c>
      <c r="E547" t="s">
        <v>78</v>
      </c>
      <c r="F547" t="s">
        <v>79</v>
      </c>
      <c r="G547">
        <v>4</v>
      </c>
      <c r="H547">
        <v>2E+20</v>
      </c>
      <c r="I547">
        <v>4</v>
      </c>
      <c r="J547">
        <v>4</v>
      </c>
      <c r="K547">
        <v>4</v>
      </c>
      <c r="L547">
        <v>0</v>
      </c>
      <c r="M547" s="5" t="str">
        <f>ContinuousStatsTable[[#This Row],[ProjectName]]&amp;ContinuousStatsTable[[#This Row],[Name]]&amp;ContinuousStatsTable[[#This Row],[Type]]&amp;ContinuousStatsTable[[#This Row],[Source]]</f>
        <v>Unnamed ProjectsteelsheetWIPEntity</v>
      </c>
      <c r="N547" s="5">
        <f t="array" ref="N547">MAX(IF((ProjectInfoTable[ProjectName]=ContinuousStatsTable[[#This Row],[ProjectName]]),(ProjectInfoTable[ProjectName]=ContinuousStatsTable[[#This Row],[ProjectName]])*ProjectInfoTable[NumberOfReplications]))</f>
        <v>15</v>
      </c>
      <c r="O547" s="5">
        <f t="array" ref="O547">IFERROR(AVERAGE(IF((ContinuousStatsTable[GroupByKey]=ContinuousStatsTable[[#This Row],[GroupByKey]]),(ContinuousStatsTable[GroupByKey]=ContinuousStatsTable[[#This Row],[GroupByKey]])*ContinuousStatsTable[Average])),0)</f>
        <v>6.1333333333333337</v>
      </c>
      <c r="P547" s="5">
        <f t="array" ref="P547">IFERROR(_xlfn.STDEV.S(IF((ContinuousStatsTable[GroupByKey]=ContinuousStatsTable[[#This Row],[GroupByKey]]),(ContinuousStatsTable[GroupByKey]=ContinuousStatsTable[[#This Row],[GroupByKey]])*ContinuousStatsTable[Average])),0)</f>
        <v>5.3166405433005028</v>
      </c>
      <c r="Q547" s="5">
        <f t="array" ref="Q547">MAX(IF((ProjectInfoTable[ProjectName]=ContinuousStatsTable[[#This Row],[ProjectName]]),(ProjectInfoTable[ProjectName]=ContinuousStatsTable[[#This Row],[ProjectName]])*ProjectInfoTable[ConfidenceInterval]))</f>
        <v>0.95</v>
      </c>
      <c r="R5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2.944257396015229</v>
      </c>
      <c r="S547" s="5">
        <f t="array" ref="S547">MIN(IF((ContinuousStatsTable[GroupByKey]=ContinuousStatsTable[[#This Row],[GroupByKey]]),(ContinuousStatsTable[GroupByKey]=ContinuousStatsTable[[#This Row],[GroupByKey]])*ContinuousStatsTable[Average]))</f>
        <v>0</v>
      </c>
      <c r="T547" s="5">
        <f t="array" ref="T547">MAX(IF((ContinuousStatsTable[GroupByKey]=ContinuousStatsTable[[#This Row],[GroupByKey]]),(ContinuousStatsTable[GroupByKey]=ContinuousStatsTable[[#This Row],[GroupByKey]])*ContinuousStatsTable[Average]))</f>
        <v>16</v>
      </c>
      <c r="U547" s="5">
        <f>IF((ContinuousStatsTable[[#This Row],[RepsRequested]]&gt;1),ContinuousStatsTable[[#This Row],[HalfWidth]],ContinuousStatsTable[[#This Row],[BatchMeansHalfWidth]])</f>
        <v>2.944257396015229</v>
      </c>
    </row>
    <row r="548" spans="1:21" x14ac:dyDescent="0.25">
      <c r="A548" t="s">
        <v>67</v>
      </c>
      <c r="B548" t="s">
        <v>70</v>
      </c>
      <c r="C548">
        <v>12</v>
      </c>
      <c r="D548" t="s">
        <v>101</v>
      </c>
      <c r="E548" t="s">
        <v>72</v>
      </c>
      <c r="F548" t="s">
        <v>73</v>
      </c>
      <c r="G548">
        <v>0</v>
      </c>
      <c r="H548">
        <v>2E+20</v>
      </c>
      <c r="I548">
        <v>0</v>
      </c>
      <c r="J548">
        <v>0</v>
      </c>
      <c r="K548">
        <v>0</v>
      </c>
      <c r="L548">
        <v>0</v>
      </c>
      <c r="M548" s="5" t="str">
        <f>ContinuousStatsTable[[#This Row],[ProjectName]]&amp;ContinuousStatsTable[[#This Row],[Name]]&amp;ContinuousStatsTable[[#This Row],[Type]]&amp;ContinuousStatsTable[[#This Row],[Source]]</f>
        <v>Unnamed ProjectwelderInstantaneous UtilizationResource</v>
      </c>
      <c r="N548" s="5">
        <f t="array" ref="N548">MAX(IF((ProjectInfoTable[ProjectName]=ContinuousStatsTable[[#This Row],[ProjectName]]),(ProjectInfoTable[ProjectName]=ContinuousStatsTable[[#This Row],[ProjectName]])*ProjectInfoTable[NumberOfReplications]))</f>
        <v>15</v>
      </c>
      <c r="O548" s="5">
        <f t="array" ref="O548">IFERROR(AVERAGE(IF((ContinuousStatsTable[GroupByKey]=ContinuousStatsTable[[#This Row],[GroupByKey]]),(ContinuousStatsTable[GroupByKey]=ContinuousStatsTable[[#This Row],[GroupByKey]])*ContinuousStatsTable[Average])),0)</f>
        <v>0</v>
      </c>
      <c r="P548" s="5">
        <f t="array" ref="P548">IFERROR(_xlfn.STDEV.S(IF((ContinuousStatsTable[GroupByKey]=ContinuousStatsTable[[#This Row],[GroupByKey]]),(ContinuousStatsTable[GroupByKey]=ContinuousStatsTable[[#This Row],[GroupByKey]])*ContinuousStatsTable[Average])),0)</f>
        <v>0</v>
      </c>
      <c r="Q548" s="5">
        <f t="array" ref="Q548">MAX(IF((ProjectInfoTable[ProjectName]=ContinuousStatsTable[[#This Row],[ProjectName]]),(ProjectInfoTable[ProjectName]=ContinuousStatsTable[[#This Row],[ProjectName]])*ProjectInfoTable[ConfidenceInterval]))</f>
        <v>0.95</v>
      </c>
      <c r="R5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8" s="5">
        <f t="array" ref="S548">MIN(IF((ContinuousStatsTable[GroupByKey]=ContinuousStatsTable[[#This Row],[GroupByKey]]),(ContinuousStatsTable[GroupByKey]=ContinuousStatsTable[[#This Row],[GroupByKey]])*ContinuousStatsTable[Average]))</f>
        <v>0</v>
      </c>
      <c r="T548" s="5">
        <f t="array" ref="T548">MAX(IF((ContinuousStatsTable[GroupByKey]=ContinuousStatsTable[[#This Row],[GroupByKey]]),(ContinuousStatsTable[GroupByKey]=ContinuousStatsTable[[#This Row],[GroupByKey]])*ContinuousStatsTable[Average]))</f>
        <v>0</v>
      </c>
      <c r="U548" s="5">
        <f>IF((ContinuousStatsTable[[#This Row],[RepsRequested]]&gt;1),ContinuousStatsTable[[#This Row],[HalfWidth]],ContinuousStatsTable[[#This Row],[BatchMeansHalfWidth]])</f>
        <v>0</v>
      </c>
    </row>
    <row r="549" spans="1:21" x14ac:dyDescent="0.25">
      <c r="A549" t="s">
        <v>67</v>
      </c>
      <c r="B549" t="s">
        <v>70</v>
      </c>
      <c r="C549">
        <v>12</v>
      </c>
      <c r="D549" t="s">
        <v>101</v>
      </c>
      <c r="E549" t="s">
        <v>74</v>
      </c>
      <c r="F549" t="s">
        <v>73</v>
      </c>
      <c r="G549">
        <v>0</v>
      </c>
      <c r="H549">
        <v>2E+20</v>
      </c>
      <c r="I549">
        <v>0</v>
      </c>
      <c r="J549">
        <v>0</v>
      </c>
      <c r="K549">
        <v>0</v>
      </c>
      <c r="L549">
        <v>0</v>
      </c>
      <c r="M549" s="5" t="str">
        <f>ContinuousStatsTable[[#This Row],[ProjectName]]&amp;ContinuousStatsTable[[#This Row],[Name]]&amp;ContinuousStatsTable[[#This Row],[Type]]&amp;ContinuousStatsTable[[#This Row],[Source]]</f>
        <v>Unnamed ProjectwelderNumber BusyResource</v>
      </c>
      <c r="N549" s="5">
        <f t="array" ref="N549">MAX(IF((ProjectInfoTable[ProjectName]=ContinuousStatsTable[[#This Row],[ProjectName]]),(ProjectInfoTable[ProjectName]=ContinuousStatsTable[[#This Row],[ProjectName]])*ProjectInfoTable[NumberOfReplications]))</f>
        <v>15</v>
      </c>
      <c r="O549" s="5">
        <f t="array" ref="O549">IFERROR(AVERAGE(IF((ContinuousStatsTable[GroupByKey]=ContinuousStatsTable[[#This Row],[GroupByKey]]),(ContinuousStatsTable[GroupByKey]=ContinuousStatsTable[[#This Row],[GroupByKey]])*ContinuousStatsTable[Average])),0)</f>
        <v>0</v>
      </c>
      <c r="P549" s="5">
        <f t="array" ref="P549">IFERROR(_xlfn.STDEV.S(IF((ContinuousStatsTable[GroupByKey]=ContinuousStatsTable[[#This Row],[GroupByKey]]),(ContinuousStatsTable[GroupByKey]=ContinuousStatsTable[[#This Row],[GroupByKey]])*ContinuousStatsTable[Average])),0)</f>
        <v>0</v>
      </c>
      <c r="Q549" s="5">
        <f t="array" ref="Q549">MAX(IF((ProjectInfoTable[ProjectName]=ContinuousStatsTable[[#This Row],[ProjectName]]),(ProjectInfoTable[ProjectName]=ContinuousStatsTable[[#This Row],[ProjectName]])*ProjectInfoTable[ConfidenceInterval]))</f>
        <v>0.95</v>
      </c>
      <c r="R5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9" s="5">
        <f t="array" ref="S549">MIN(IF((ContinuousStatsTable[GroupByKey]=ContinuousStatsTable[[#This Row],[GroupByKey]]),(ContinuousStatsTable[GroupByKey]=ContinuousStatsTable[[#This Row],[GroupByKey]])*ContinuousStatsTable[Average]))</f>
        <v>0</v>
      </c>
      <c r="T549" s="5">
        <f t="array" ref="T549">MAX(IF((ContinuousStatsTable[GroupByKey]=ContinuousStatsTable[[#This Row],[GroupByKey]]),(ContinuousStatsTable[GroupByKey]=ContinuousStatsTable[[#This Row],[GroupByKey]])*ContinuousStatsTable[Average]))</f>
        <v>0</v>
      </c>
      <c r="U549" s="5">
        <f>IF((ContinuousStatsTable[[#This Row],[RepsRequested]]&gt;1),ContinuousStatsTable[[#This Row],[HalfWidth]],ContinuousStatsTable[[#This Row],[BatchMeansHalfWidth]])</f>
        <v>0</v>
      </c>
    </row>
    <row r="550" spans="1:21" x14ac:dyDescent="0.25">
      <c r="A550" t="s">
        <v>67</v>
      </c>
      <c r="B550" t="s">
        <v>70</v>
      </c>
      <c r="C550">
        <v>12</v>
      </c>
      <c r="D550" t="s">
        <v>101</v>
      </c>
      <c r="E550" t="s">
        <v>75</v>
      </c>
      <c r="F550" t="s">
        <v>73</v>
      </c>
      <c r="G550">
        <v>1.5834999999999999</v>
      </c>
      <c r="H550">
        <v>3E+20</v>
      </c>
      <c r="I550">
        <v>1</v>
      </c>
      <c r="J550">
        <v>2</v>
      </c>
      <c r="K550">
        <v>2</v>
      </c>
      <c r="L550">
        <v>0</v>
      </c>
      <c r="M550" s="5" t="str">
        <f>ContinuousStatsTable[[#This Row],[ProjectName]]&amp;ContinuousStatsTable[[#This Row],[Name]]&amp;ContinuousStatsTable[[#This Row],[Type]]&amp;ContinuousStatsTable[[#This Row],[Source]]</f>
        <v>Unnamed ProjectwelderNumber ScheduledResource</v>
      </c>
      <c r="N550" s="5">
        <f t="array" ref="N550">MAX(IF((ProjectInfoTable[ProjectName]=ContinuousStatsTable[[#This Row],[ProjectName]]),(ProjectInfoTable[ProjectName]=ContinuousStatsTable[[#This Row],[ProjectName]])*ProjectInfoTable[NumberOfReplications]))</f>
        <v>15</v>
      </c>
      <c r="O550" s="5">
        <f t="array" ref="O550">IFERROR(AVERAGE(IF((ContinuousStatsTable[GroupByKey]=ContinuousStatsTable[[#This Row],[GroupByKey]]),(ContinuousStatsTable[GroupByKey]=ContinuousStatsTable[[#This Row],[GroupByKey]])*ContinuousStatsTable[Average])),0)</f>
        <v>1.5334531146777051</v>
      </c>
      <c r="P550" s="5">
        <f t="array" ref="P550">IFERROR(_xlfn.STDEV.S(IF((ContinuousStatsTable[GroupByKey]=ContinuousStatsTable[[#This Row],[GroupByKey]]),(ContinuousStatsTable[GroupByKey]=ContinuousStatsTable[[#This Row],[GroupByKey]])*ContinuousStatsTable[Average])),0)</f>
        <v>0.24154952363702747</v>
      </c>
      <c r="Q550" s="5">
        <f t="array" ref="Q550">MAX(IF((ProjectInfoTable[ProjectName]=ContinuousStatsTable[[#This Row],[ProjectName]]),(ProjectInfoTable[ProjectName]=ContinuousStatsTable[[#This Row],[ProjectName]])*ProjectInfoTable[ConfidenceInterval]))</f>
        <v>0.95</v>
      </c>
      <c r="R5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0.13376566756397254</v>
      </c>
      <c r="S550" s="5">
        <f t="array" ref="S550">MIN(IF((ContinuousStatsTable[GroupByKey]=ContinuousStatsTable[[#This Row],[GroupByKey]]),(ContinuousStatsTable[GroupByKey]=ContinuousStatsTable[[#This Row],[GroupByKey]])*ContinuousStatsTable[Average]))</f>
        <v>1</v>
      </c>
      <c r="T550" s="5">
        <f t="array" ref="T550">MAX(IF((ContinuousStatsTable[GroupByKey]=ContinuousStatsTable[[#This Row],[GroupByKey]]),(ContinuousStatsTable[GroupByKey]=ContinuousStatsTable[[#This Row],[GroupByKey]])*ContinuousStatsTable[Average]))</f>
        <v>2</v>
      </c>
      <c r="U550" s="5">
        <f>IF((ContinuousStatsTable[[#This Row],[RepsRequested]]&gt;1),ContinuousStatsTable[[#This Row],[HalfWidth]],ContinuousStatsTable[[#This Row],[BatchMeansHalfWidth]])</f>
        <v>0.13376566756397254</v>
      </c>
    </row>
    <row r="551" spans="1:21" x14ac:dyDescent="0.25">
      <c r="A551" t="s">
        <v>67</v>
      </c>
      <c r="B551" t="s">
        <v>70</v>
      </c>
      <c r="C551">
        <v>12</v>
      </c>
      <c r="D551" t="s">
        <v>102</v>
      </c>
      <c r="E551" t="s">
        <v>72</v>
      </c>
      <c r="F551" t="s">
        <v>73</v>
      </c>
      <c r="G551">
        <v>0</v>
      </c>
      <c r="H551">
        <v>2E+20</v>
      </c>
      <c r="I551">
        <v>0</v>
      </c>
      <c r="J551">
        <v>0</v>
      </c>
      <c r="K551">
        <v>0</v>
      </c>
      <c r="L551">
        <v>0</v>
      </c>
      <c r="M551" s="5" t="str">
        <f>ContinuousStatsTable[[#This Row],[ProjectName]]&amp;ContinuousStatsTable[[#This Row],[Name]]&amp;ContinuousStatsTable[[#This Row],[Type]]&amp;ContinuousStatsTable[[#This Row],[Source]]</f>
        <v>Unnamed ProjectweldingqcworkerInstantaneous UtilizationResource</v>
      </c>
      <c r="N551" s="5">
        <f t="array" ref="N551">MAX(IF((ProjectInfoTable[ProjectName]=ContinuousStatsTable[[#This Row],[ProjectName]]),(ProjectInfoTable[ProjectName]=ContinuousStatsTable[[#This Row],[ProjectName]])*ProjectInfoTable[NumberOfReplications]))</f>
        <v>15</v>
      </c>
      <c r="O551" s="5">
        <f t="array" ref="O551">IFERROR(AVERAGE(IF((ContinuousStatsTable[GroupByKey]=ContinuousStatsTable[[#This Row],[GroupByKey]]),(ContinuousStatsTable[GroupByKey]=ContinuousStatsTable[[#This Row],[GroupByKey]])*ContinuousStatsTable[Average])),0)</f>
        <v>0</v>
      </c>
      <c r="P551" s="5">
        <f t="array" ref="P551">IFERROR(_xlfn.STDEV.S(IF((ContinuousStatsTable[GroupByKey]=ContinuousStatsTable[[#This Row],[GroupByKey]]),(ContinuousStatsTable[GroupByKey]=ContinuousStatsTable[[#This Row],[GroupByKey]])*ContinuousStatsTable[Average])),0)</f>
        <v>0</v>
      </c>
      <c r="Q551" s="5">
        <f t="array" ref="Q551">MAX(IF((ProjectInfoTable[ProjectName]=ContinuousStatsTable[[#This Row],[ProjectName]]),(ProjectInfoTable[ProjectName]=ContinuousStatsTable[[#This Row],[ProjectName]])*ProjectInfoTable[ConfidenceInterval]))</f>
        <v>0.95</v>
      </c>
      <c r="R5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1" s="5">
        <f t="array" ref="S551">MIN(IF((ContinuousStatsTable[GroupByKey]=ContinuousStatsTable[[#This Row],[GroupByKey]]),(ContinuousStatsTable[GroupByKey]=ContinuousStatsTable[[#This Row],[GroupByKey]])*ContinuousStatsTable[Average]))</f>
        <v>0</v>
      </c>
      <c r="T551" s="5">
        <f t="array" ref="T551">MAX(IF((ContinuousStatsTable[GroupByKey]=ContinuousStatsTable[[#This Row],[GroupByKey]]),(ContinuousStatsTable[GroupByKey]=ContinuousStatsTable[[#This Row],[GroupByKey]])*ContinuousStatsTable[Average]))</f>
        <v>0</v>
      </c>
      <c r="U551" s="5">
        <f>IF((ContinuousStatsTable[[#This Row],[RepsRequested]]&gt;1),ContinuousStatsTable[[#This Row],[HalfWidth]],ContinuousStatsTable[[#This Row],[BatchMeansHalfWidth]])</f>
        <v>0</v>
      </c>
    </row>
    <row r="552" spans="1:21" x14ac:dyDescent="0.25">
      <c r="A552" t="s">
        <v>67</v>
      </c>
      <c r="B552" t="s">
        <v>70</v>
      </c>
      <c r="C552">
        <v>12</v>
      </c>
      <c r="D552" t="s">
        <v>102</v>
      </c>
      <c r="E552" t="s">
        <v>74</v>
      </c>
      <c r="F552" t="s">
        <v>73</v>
      </c>
      <c r="G552">
        <v>0</v>
      </c>
      <c r="H552">
        <v>2E+20</v>
      </c>
      <c r="I552">
        <v>0</v>
      </c>
      <c r="J552">
        <v>0</v>
      </c>
      <c r="K552">
        <v>0</v>
      </c>
      <c r="L552">
        <v>0</v>
      </c>
      <c r="M552" s="5" t="str">
        <f>ContinuousStatsTable[[#This Row],[ProjectName]]&amp;ContinuousStatsTable[[#This Row],[Name]]&amp;ContinuousStatsTable[[#This Row],[Type]]&amp;ContinuousStatsTable[[#This Row],[Source]]</f>
        <v>Unnamed ProjectweldingqcworkerNumber BusyResource</v>
      </c>
      <c r="N552" s="5">
        <f t="array" ref="N552">MAX(IF((ProjectInfoTable[ProjectName]=ContinuousStatsTable[[#This Row],[ProjectName]]),(ProjectInfoTable[ProjectName]=ContinuousStatsTable[[#This Row],[ProjectName]])*ProjectInfoTable[NumberOfReplications]))</f>
        <v>15</v>
      </c>
      <c r="O552" s="5">
        <f t="array" ref="O552">IFERROR(AVERAGE(IF((ContinuousStatsTable[GroupByKey]=ContinuousStatsTable[[#This Row],[GroupByKey]]),(ContinuousStatsTable[GroupByKey]=ContinuousStatsTable[[#This Row],[GroupByKey]])*ContinuousStatsTable[Average])),0)</f>
        <v>0</v>
      </c>
      <c r="P552" s="5">
        <f t="array" ref="P552">IFERROR(_xlfn.STDEV.S(IF((ContinuousStatsTable[GroupByKey]=ContinuousStatsTable[[#This Row],[GroupByKey]]),(ContinuousStatsTable[GroupByKey]=ContinuousStatsTable[[#This Row],[GroupByKey]])*ContinuousStatsTable[Average])),0)</f>
        <v>0</v>
      </c>
      <c r="Q552" s="5">
        <f t="array" ref="Q552">MAX(IF((ProjectInfoTable[ProjectName]=ContinuousStatsTable[[#This Row],[ProjectName]]),(ProjectInfoTable[ProjectName]=ContinuousStatsTable[[#This Row],[ProjectName]])*ProjectInfoTable[ConfidenceInterval]))</f>
        <v>0.95</v>
      </c>
      <c r="R5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2" s="5">
        <f t="array" ref="S552">MIN(IF((ContinuousStatsTable[GroupByKey]=ContinuousStatsTable[[#This Row],[GroupByKey]]),(ContinuousStatsTable[GroupByKey]=ContinuousStatsTable[[#This Row],[GroupByKey]])*ContinuousStatsTable[Average]))</f>
        <v>0</v>
      </c>
      <c r="T552" s="5">
        <f t="array" ref="T552">MAX(IF((ContinuousStatsTable[GroupByKey]=ContinuousStatsTable[[#This Row],[GroupByKey]]),(ContinuousStatsTable[GroupByKey]=ContinuousStatsTable[[#This Row],[GroupByKey]])*ContinuousStatsTable[Average]))</f>
        <v>0</v>
      </c>
      <c r="U552" s="5">
        <f>IF((ContinuousStatsTable[[#This Row],[RepsRequested]]&gt;1),ContinuousStatsTable[[#This Row],[HalfWidth]],ContinuousStatsTable[[#This Row],[BatchMeansHalfWidth]])</f>
        <v>0</v>
      </c>
    </row>
    <row r="553" spans="1:21" x14ac:dyDescent="0.25">
      <c r="A553" t="s">
        <v>67</v>
      </c>
      <c r="B553" t="s">
        <v>70</v>
      </c>
      <c r="C553">
        <v>12</v>
      </c>
      <c r="D553" t="s">
        <v>102</v>
      </c>
      <c r="E553" t="s">
        <v>75</v>
      </c>
      <c r="F553" t="s">
        <v>73</v>
      </c>
      <c r="G553">
        <v>1.5834999999999999</v>
      </c>
      <c r="H553">
        <v>3E+20</v>
      </c>
      <c r="I553">
        <v>1</v>
      </c>
      <c r="J553">
        <v>2</v>
      </c>
      <c r="K553">
        <v>2</v>
      </c>
      <c r="L553">
        <v>0</v>
      </c>
      <c r="M553" s="5" t="str">
        <f>ContinuousStatsTable[[#This Row],[ProjectName]]&amp;ContinuousStatsTable[[#This Row],[Name]]&amp;ContinuousStatsTable[[#This Row],[Type]]&amp;ContinuousStatsTable[[#This Row],[Source]]</f>
        <v>Unnamed ProjectweldingqcworkerNumber ScheduledResource</v>
      </c>
      <c r="N553" s="5">
        <f t="array" ref="N553">MAX(IF((ProjectInfoTable[ProjectName]=ContinuousStatsTable[[#This Row],[ProjectName]]),(ProjectInfoTable[ProjectName]=ContinuousStatsTable[[#This Row],[ProjectName]])*ProjectInfoTable[NumberOfReplications]))</f>
        <v>15</v>
      </c>
      <c r="O553" s="5">
        <f t="array" ref="O553">IFERROR(AVERAGE(IF((ContinuousStatsTable[GroupByKey]=ContinuousStatsTable[[#This Row],[GroupByKey]]),(ContinuousStatsTable[GroupByKey]=ContinuousStatsTable[[#This Row],[GroupByKey]])*ContinuousStatsTable[Average])),0)</f>
        <v>1.5334635492504263</v>
      </c>
      <c r="P553" s="5">
        <f t="array" ref="P553">IFERROR(_xlfn.STDEV.S(IF((ContinuousStatsTable[GroupByKey]=ContinuousStatsTable[[#This Row],[GroupByKey]]),(ContinuousStatsTable[GroupByKey]=ContinuousStatsTable[[#This Row],[GroupByKey]])*ContinuousStatsTable[Average])),0)</f>
        <v>0.24155183649982462</v>
      </c>
      <c r="Q553" s="5">
        <f t="array" ref="Q553">MAX(IF((ProjectInfoTable[ProjectName]=ContinuousStatsTable[[#This Row],[ProjectName]]),(ProjectInfoTable[ProjectName]=ContinuousStatsTable[[#This Row],[ProjectName]])*ProjectInfoTable[ConfidenceInterval]))</f>
        <v>0.95</v>
      </c>
      <c r="R5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0.1337669483846978</v>
      </c>
      <c r="S553" s="5">
        <f t="array" ref="S553">MIN(IF((ContinuousStatsTable[GroupByKey]=ContinuousStatsTable[[#This Row],[GroupByKey]]),(ContinuousStatsTable[GroupByKey]=ContinuousStatsTable[[#This Row],[GroupByKey]])*ContinuousStatsTable[Average]))</f>
        <v>1</v>
      </c>
      <c r="T553" s="5">
        <f t="array" ref="T553">MAX(IF((ContinuousStatsTable[GroupByKey]=ContinuousStatsTable[[#This Row],[GroupByKey]]),(ContinuousStatsTable[GroupByKey]=ContinuousStatsTable[[#This Row],[GroupByKey]])*ContinuousStatsTable[Average]))</f>
        <v>2</v>
      </c>
      <c r="U553" s="5">
        <f>IF((ContinuousStatsTable[[#This Row],[RepsRequested]]&gt;1),ContinuousStatsTable[[#This Row],[HalfWidth]],ContinuousStatsTable[[#This Row],[BatchMeansHalfWidth]])</f>
        <v>0.1337669483846978</v>
      </c>
    </row>
    <row r="554" spans="1:21" x14ac:dyDescent="0.25">
      <c r="A554" t="s">
        <v>67</v>
      </c>
      <c r="B554" t="s">
        <v>70</v>
      </c>
      <c r="C554">
        <v>13</v>
      </c>
      <c r="D554" t="s">
        <v>71</v>
      </c>
      <c r="E554" t="s">
        <v>72</v>
      </c>
      <c r="F554" t="s">
        <v>73</v>
      </c>
      <c r="G554">
        <v>0</v>
      </c>
      <c r="H554">
        <v>2E+20</v>
      </c>
      <c r="I554">
        <v>0</v>
      </c>
      <c r="J554">
        <v>0</v>
      </c>
      <c r="K554">
        <v>0</v>
      </c>
      <c r="L554">
        <v>0</v>
      </c>
      <c r="M554" s="5" t="str">
        <f>ContinuousStatsTable[[#This Row],[ProjectName]]&amp;ContinuousStatsTable[[#This Row],[Name]]&amp;ContinuousStatsTable[[#This Row],[Type]]&amp;ContinuousStatsTable[[#This Row],[Source]]</f>
        <v>Unnamed ProjectassemblerInstantaneous UtilizationResource</v>
      </c>
      <c r="N554" s="5">
        <f t="array" ref="N554">MAX(IF((ProjectInfoTable[ProjectName]=ContinuousStatsTable[[#This Row],[ProjectName]]),(ProjectInfoTable[ProjectName]=ContinuousStatsTable[[#This Row],[ProjectName]])*ProjectInfoTable[NumberOfReplications]))</f>
        <v>15</v>
      </c>
      <c r="O554" s="5">
        <f t="array" ref="O554">IFERROR(AVERAGE(IF((ContinuousStatsTable[GroupByKey]=ContinuousStatsTable[[#This Row],[GroupByKey]]),(ContinuousStatsTable[GroupByKey]=ContinuousStatsTable[[#This Row],[GroupByKey]])*ContinuousStatsTable[Average])),0)</f>
        <v>0</v>
      </c>
      <c r="P554" s="5">
        <f t="array" ref="P554">IFERROR(_xlfn.STDEV.S(IF((ContinuousStatsTable[GroupByKey]=ContinuousStatsTable[[#This Row],[GroupByKey]]),(ContinuousStatsTable[GroupByKey]=ContinuousStatsTable[[#This Row],[GroupByKey]])*ContinuousStatsTable[Average])),0)</f>
        <v>0</v>
      </c>
      <c r="Q554" s="5">
        <f t="array" ref="Q554">MAX(IF((ProjectInfoTable[ProjectName]=ContinuousStatsTable[[#This Row],[ProjectName]]),(ProjectInfoTable[ProjectName]=ContinuousStatsTable[[#This Row],[ProjectName]])*ProjectInfoTable[ConfidenceInterval]))</f>
        <v>0.95</v>
      </c>
      <c r="R5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4" s="5">
        <f t="array" ref="S554">MIN(IF((ContinuousStatsTable[GroupByKey]=ContinuousStatsTable[[#This Row],[GroupByKey]]),(ContinuousStatsTable[GroupByKey]=ContinuousStatsTable[[#This Row],[GroupByKey]])*ContinuousStatsTable[Average]))</f>
        <v>0</v>
      </c>
      <c r="T554" s="5">
        <f t="array" ref="T554">MAX(IF((ContinuousStatsTable[GroupByKey]=ContinuousStatsTable[[#This Row],[GroupByKey]]),(ContinuousStatsTable[GroupByKey]=ContinuousStatsTable[[#This Row],[GroupByKey]])*ContinuousStatsTable[Average]))</f>
        <v>0</v>
      </c>
      <c r="U554" s="5">
        <f>IF((ContinuousStatsTable[[#This Row],[RepsRequested]]&gt;1),ContinuousStatsTable[[#This Row],[HalfWidth]],ContinuousStatsTable[[#This Row],[BatchMeansHalfWidth]])</f>
        <v>0</v>
      </c>
    </row>
    <row r="555" spans="1:21" x14ac:dyDescent="0.25">
      <c r="A555" t="s">
        <v>67</v>
      </c>
      <c r="B555" t="s">
        <v>70</v>
      </c>
      <c r="C555">
        <v>13</v>
      </c>
      <c r="D555" t="s">
        <v>71</v>
      </c>
      <c r="E555" t="s">
        <v>74</v>
      </c>
      <c r="F555" t="s">
        <v>73</v>
      </c>
      <c r="G555">
        <v>0</v>
      </c>
      <c r="H555">
        <v>2E+20</v>
      </c>
      <c r="I555">
        <v>0</v>
      </c>
      <c r="J555">
        <v>0</v>
      </c>
      <c r="K555">
        <v>0</v>
      </c>
      <c r="L555">
        <v>0</v>
      </c>
      <c r="M555" s="5" t="str">
        <f>ContinuousStatsTable[[#This Row],[ProjectName]]&amp;ContinuousStatsTable[[#This Row],[Name]]&amp;ContinuousStatsTable[[#This Row],[Type]]&amp;ContinuousStatsTable[[#This Row],[Source]]</f>
        <v>Unnamed ProjectassemblerNumber BusyResource</v>
      </c>
      <c r="N555" s="5">
        <f t="array" ref="N555">MAX(IF((ProjectInfoTable[ProjectName]=ContinuousStatsTable[[#This Row],[ProjectName]]),(ProjectInfoTable[ProjectName]=ContinuousStatsTable[[#This Row],[ProjectName]])*ProjectInfoTable[NumberOfReplications]))</f>
        <v>15</v>
      </c>
      <c r="O555" s="5">
        <f t="array" ref="O555">IFERROR(AVERAGE(IF((ContinuousStatsTable[GroupByKey]=ContinuousStatsTable[[#This Row],[GroupByKey]]),(ContinuousStatsTable[GroupByKey]=ContinuousStatsTable[[#This Row],[GroupByKey]])*ContinuousStatsTable[Average])),0)</f>
        <v>0</v>
      </c>
      <c r="P555" s="5">
        <f t="array" ref="P555">IFERROR(_xlfn.STDEV.S(IF((ContinuousStatsTable[GroupByKey]=ContinuousStatsTable[[#This Row],[GroupByKey]]),(ContinuousStatsTable[GroupByKey]=ContinuousStatsTable[[#This Row],[GroupByKey]])*ContinuousStatsTable[Average])),0)</f>
        <v>0</v>
      </c>
      <c r="Q555" s="5">
        <f t="array" ref="Q555">MAX(IF((ProjectInfoTable[ProjectName]=ContinuousStatsTable[[#This Row],[ProjectName]]),(ProjectInfoTable[ProjectName]=ContinuousStatsTable[[#This Row],[ProjectName]])*ProjectInfoTable[ConfidenceInterval]))</f>
        <v>0.95</v>
      </c>
      <c r="R5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5" s="5">
        <f t="array" ref="S555">MIN(IF((ContinuousStatsTable[GroupByKey]=ContinuousStatsTable[[#This Row],[GroupByKey]]),(ContinuousStatsTable[GroupByKey]=ContinuousStatsTable[[#This Row],[GroupByKey]])*ContinuousStatsTable[Average]))</f>
        <v>0</v>
      </c>
      <c r="T555" s="5">
        <f t="array" ref="T555">MAX(IF((ContinuousStatsTable[GroupByKey]=ContinuousStatsTable[[#This Row],[GroupByKey]]),(ContinuousStatsTable[GroupByKey]=ContinuousStatsTable[[#This Row],[GroupByKey]])*ContinuousStatsTable[Average]))</f>
        <v>0</v>
      </c>
      <c r="U555" s="5">
        <f>IF((ContinuousStatsTable[[#This Row],[RepsRequested]]&gt;1),ContinuousStatsTable[[#This Row],[HalfWidth]],ContinuousStatsTable[[#This Row],[BatchMeansHalfWidth]])</f>
        <v>0</v>
      </c>
    </row>
    <row r="556" spans="1:21" x14ac:dyDescent="0.25">
      <c r="A556" t="s">
        <v>67</v>
      </c>
      <c r="B556" t="s">
        <v>70</v>
      </c>
      <c r="C556">
        <v>13</v>
      </c>
      <c r="D556" t="s">
        <v>71</v>
      </c>
      <c r="E556" t="s">
        <v>75</v>
      </c>
      <c r="F556" t="s">
        <v>73</v>
      </c>
      <c r="G556">
        <v>1.5832595523092701</v>
      </c>
      <c r="H556">
        <v>3E+20</v>
      </c>
      <c r="I556">
        <v>1</v>
      </c>
      <c r="J556">
        <v>2</v>
      </c>
      <c r="K556">
        <v>2</v>
      </c>
      <c r="L556">
        <v>0</v>
      </c>
      <c r="M556" s="5" t="str">
        <f>ContinuousStatsTable[[#This Row],[ProjectName]]&amp;ContinuousStatsTable[[#This Row],[Name]]&amp;ContinuousStatsTable[[#This Row],[Type]]&amp;ContinuousStatsTable[[#This Row],[Source]]</f>
        <v>Unnamed ProjectassemblerNumber ScheduledResource</v>
      </c>
      <c r="N556" s="5">
        <f t="array" ref="N556">MAX(IF((ProjectInfoTable[ProjectName]=ContinuousStatsTable[[#This Row],[ProjectName]]),(ProjectInfoTable[ProjectName]=ContinuousStatsTable[[#This Row],[ProjectName]])*ProjectInfoTable[NumberOfReplications]))</f>
        <v>15</v>
      </c>
      <c r="O556" s="5">
        <f t="array" ref="O556">IFERROR(AVERAGE(IF((ContinuousStatsTable[GroupByKey]=ContinuousStatsTable[[#This Row],[GroupByKey]]),(ContinuousStatsTable[GroupByKey]=ContinuousStatsTable[[#This Row],[GroupByKey]])*ContinuousStatsTable[Average])),0)</f>
        <v>1.5333142680768803</v>
      </c>
      <c r="P556" s="5">
        <f t="array" ref="P556">IFERROR(_xlfn.STDEV.S(IF((ContinuousStatsTable[GroupByKey]=ContinuousStatsTable[[#This Row],[GroupByKey]]),(ContinuousStatsTable[GroupByKey]=ContinuousStatsTable[[#This Row],[GroupByKey]])*ContinuousStatsTable[Average])),0)</f>
        <v>0.24151891999367611</v>
      </c>
      <c r="Q556" s="5">
        <f t="array" ref="Q556">MAX(IF((ProjectInfoTable[ProjectName]=ContinuousStatsTable[[#This Row],[ProjectName]]),(ProjectInfoTable[ProjectName]=ContinuousStatsTable[[#This Row],[ProjectName]])*ProjectInfoTable[ConfidenceInterval]))</f>
        <v>0.95</v>
      </c>
      <c r="R5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0.13374871983117992</v>
      </c>
      <c r="S556" s="5">
        <f t="array" ref="S556">MIN(IF((ContinuousStatsTable[GroupByKey]=ContinuousStatsTable[[#This Row],[GroupByKey]]),(ContinuousStatsTable[GroupByKey]=ContinuousStatsTable[[#This Row],[GroupByKey]])*ContinuousStatsTable[Average]))</f>
        <v>1</v>
      </c>
      <c r="T556" s="5">
        <f t="array" ref="T556">MAX(IF((ContinuousStatsTable[GroupByKey]=ContinuousStatsTable[[#This Row],[GroupByKey]]),(ContinuousStatsTable[GroupByKey]=ContinuousStatsTable[[#This Row],[GroupByKey]])*ContinuousStatsTable[Average]))</f>
        <v>2</v>
      </c>
      <c r="U556" s="5">
        <f>IF((ContinuousStatsTable[[#This Row],[RepsRequested]]&gt;1),ContinuousStatsTable[[#This Row],[HalfWidth]],ContinuousStatsTable[[#This Row],[BatchMeansHalfWidth]])</f>
        <v>0.13374871983117992</v>
      </c>
    </row>
    <row r="557" spans="1:21" x14ac:dyDescent="0.25">
      <c r="A557" t="s">
        <v>67</v>
      </c>
      <c r="B557" t="s">
        <v>70</v>
      </c>
      <c r="C557">
        <v>13</v>
      </c>
      <c r="D557" t="s">
        <v>76</v>
      </c>
      <c r="E557" t="s">
        <v>72</v>
      </c>
      <c r="F557" t="s">
        <v>73</v>
      </c>
      <c r="G557">
        <v>0</v>
      </c>
      <c r="H557">
        <v>2E+20</v>
      </c>
      <c r="I557">
        <v>0</v>
      </c>
      <c r="J557">
        <v>0</v>
      </c>
      <c r="K557">
        <v>0</v>
      </c>
      <c r="L557">
        <v>0</v>
      </c>
      <c r="M557" s="5" t="str">
        <f>ContinuousStatsTable[[#This Row],[ProjectName]]&amp;ContinuousStatsTable[[#This Row],[Name]]&amp;ContinuousStatsTable[[#This Row],[Type]]&amp;ContinuousStatsTable[[#This Row],[Source]]</f>
        <v>Unnamed ProjectassemblyqcworkerInstantaneous UtilizationResource</v>
      </c>
      <c r="N557" s="5">
        <f t="array" ref="N557">MAX(IF((ProjectInfoTable[ProjectName]=ContinuousStatsTable[[#This Row],[ProjectName]]),(ProjectInfoTable[ProjectName]=ContinuousStatsTable[[#This Row],[ProjectName]])*ProjectInfoTable[NumberOfReplications]))</f>
        <v>15</v>
      </c>
      <c r="O557" s="5">
        <f t="array" ref="O557">IFERROR(AVERAGE(IF((ContinuousStatsTable[GroupByKey]=ContinuousStatsTable[[#This Row],[GroupByKey]]),(ContinuousStatsTable[GroupByKey]=ContinuousStatsTable[[#This Row],[GroupByKey]])*ContinuousStatsTable[Average])),0)</f>
        <v>0</v>
      </c>
      <c r="P557" s="5">
        <f t="array" ref="P557">IFERROR(_xlfn.STDEV.S(IF((ContinuousStatsTable[GroupByKey]=ContinuousStatsTable[[#This Row],[GroupByKey]]),(ContinuousStatsTable[GroupByKey]=ContinuousStatsTable[[#This Row],[GroupByKey]])*ContinuousStatsTable[Average])),0)</f>
        <v>0</v>
      </c>
      <c r="Q557" s="5">
        <f t="array" ref="Q557">MAX(IF((ProjectInfoTable[ProjectName]=ContinuousStatsTable[[#This Row],[ProjectName]]),(ProjectInfoTable[ProjectName]=ContinuousStatsTable[[#This Row],[ProjectName]])*ProjectInfoTable[ConfidenceInterval]))</f>
        <v>0.95</v>
      </c>
      <c r="R5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7" s="5">
        <f t="array" ref="S557">MIN(IF((ContinuousStatsTable[GroupByKey]=ContinuousStatsTable[[#This Row],[GroupByKey]]),(ContinuousStatsTable[GroupByKey]=ContinuousStatsTable[[#This Row],[GroupByKey]])*ContinuousStatsTable[Average]))</f>
        <v>0</v>
      </c>
      <c r="T557" s="5">
        <f t="array" ref="T557">MAX(IF((ContinuousStatsTable[GroupByKey]=ContinuousStatsTable[[#This Row],[GroupByKey]]),(ContinuousStatsTable[GroupByKey]=ContinuousStatsTable[[#This Row],[GroupByKey]])*ContinuousStatsTable[Average]))</f>
        <v>0</v>
      </c>
      <c r="U557" s="5">
        <f>IF((ContinuousStatsTable[[#This Row],[RepsRequested]]&gt;1),ContinuousStatsTable[[#This Row],[HalfWidth]],ContinuousStatsTable[[#This Row],[BatchMeansHalfWidth]])</f>
        <v>0</v>
      </c>
    </row>
    <row r="558" spans="1:21" x14ac:dyDescent="0.25">
      <c r="A558" t="s">
        <v>67</v>
      </c>
      <c r="B558" t="s">
        <v>70</v>
      </c>
      <c r="C558">
        <v>13</v>
      </c>
      <c r="D558" t="s">
        <v>76</v>
      </c>
      <c r="E558" t="s">
        <v>74</v>
      </c>
      <c r="F558" t="s">
        <v>73</v>
      </c>
      <c r="G558">
        <v>0</v>
      </c>
      <c r="H558">
        <v>2E+20</v>
      </c>
      <c r="I558">
        <v>0</v>
      </c>
      <c r="J558">
        <v>0</v>
      </c>
      <c r="K558">
        <v>0</v>
      </c>
      <c r="L558">
        <v>0</v>
      </c>
      <c r="M558" s="5" t="str">
        <f>ContinuousStatsTable[[#This Row],[ProjectName]]&amp;ContinuousStatsTable[[#This Row],[Name]]&amp;ContinuousStatsTable[[#This Row],[Type]]&amp;ContinuousStatsTable[[#This Row],[Source]]</f>
        <v>Unnamed ProjectassemblyqcworkerNumber BusyResource</v>
      </c>
      <c r="N558" s="5">
        <f t="array" ref="N558">MAX(IF((ProjectInfoTable[ProjectName]=ContinuousStatsTable[[#This Row],[ProjectName]]),(ProjectInfoTable[ProjectName]=ContinuousStatsTable[[#This Row],[ProjectName]])*ProjectInfoTable[NumberOfReplications]))</f>
        <v>15</v>
      </c>
      <c r="O558" s="5">
        <f t="array" ref="O558">IFERROR(AVERAGE(IF((ContinuousStatsTable[GroupByKey]=ContinuousStatsTable[[#This Row],[GroupByKey]]),(ContinuousStatsTable[GroupByKey]=ContinuousStatsTable[[#This Row],[GroupByKey]])*ContinuousStatsTable[Average])),0)</f>
        <v>0</v>
      </c>
      <c r="P558" s="5">
        <f t="array" ref="P558">IFERROR(_xlfn.STDEV.S(IF((ContinuousStatsTable[GroupByKey]=ContinuousStatsTable[[#This Row],[GroupByKey]]),(ContinuousStatsTable[GroupByKey]=ContinuousStatsTable[[#This Row],[GroupByKey]])*ContinuousStatsTable[Average])),0)</f>
        <v>0</v>
      </c>
      <c r="Q558" s="5">
        <f t="array" ref="Q558">MAX(IF((ProjectInfoTable[ProjectName]=ContinuousStatsTable[[#This Row],[ProjectName]]),(ProjectInfoTable[ProjectName]=ContinuousStatsTable[[#This Row],[ProjectName]])*ProjectInfoTable[ConfidenceInterval]))</f>
        <v>0.95</v>
      </c>
      <c r="R5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8" s="5">
        <f t="array" ref="S558">MIN(IF((ContinuousStatsTable[GroupByKey]=ContinuousStatsTable[[#This Row],[GroupByKey]]),(ContinuousStatsTable[GroupByKey]=ContinuousStatsTable[[#This Row],[GroupByKey]])*ContinuousStatsTable[Average]))</f>
        <v>0</v>
      </c>
      <c r="T558" s="5">
        <f t="array" ref="T558">MAX(IF((ContinuousStatsTable[GroupByKey]=ContinuousStatsTable[[#This Row],[GroupByKey]]),(ContinuousStatsTable[GroupByKey]=ContinuousStatsTable[[#This Row],[GroupByKey]])*ContinuousStatsTable[Average]))</f>
        <v>0</v>
      </c>
      <c r="U558" s="5">
        <f>IF((ContinuousStatsTable[[#This Row],[RepsRequested]]&gt;1),ContinuousStatsTable[[#This Row],[HalfWidth]],ContinuousStatsTable[[#This Row],[BatchMeansHalfWidth]])</f>
        <v>0</v>
      </c>
    </row>
    <row r="559" spans="1:21" x14ac:dyDescent="0.25">
      <c r="A559" t="s">
        <v>67</v>
      </c>
      <c r="B559" t="s">
        <v>70</v>
      </c>
      <c r="C559">
        <v>13</v>
      </c>
      <c r="D559" t="s">
        <v>76</v>
      </c>
      <c r="E559" t="s">
        <v>75</v>
      </c>
      <c r="F559" t="s">
        <v>73</v>
      </c>
      <c r="G559">
        <v>1.5834999999999999</v>
      </c>
      <c r="H559">
        <v>3E+20</v>
      </c>
      <c r="I559">
        <v>1</v>
      </c>
      <c r="J559">
        <v>2</v>
      </c>
      <c r="K559">
        <v>2</v>
      </c>
      <c r="L559">
        <v>0</v>
      </c>
      <c r="M559" s="5" t="str">
        <f>ContinuousStatsTable[[#This Row],[ProjectName]]&amp;ContinuousStatsTable[[#This Row],[Name]]&amp;ContinuousStatsTable[[#This Row],[Type]]&amp;ContinuousStatsTable[[#This Row],[Source]]</f>
        <v>Unnamed ProjectassemblyqcworkerNumber ScheduledResource</v>
      </c>
      <c r="N559" s="5">
        <f t="array" ref="N559">MAX(IF((ProjectInfoTable[ProjectName]=ContinuousStatsTable[[#This Row],[ProjectName]]),(ProjectInfoTable[ProjectName]=ContinuousStatsTable[[#This Row],[ProjectName]])*ProjectInfoTable[NumberOfReplications]))</f>
        <v>15</v>
      </c>
      <c r="O559" s="5">
        <f t="array" ref="O559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559" s="5">
        <f t="array" ref="P559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559" s="5">
        <f t="array" ref="Q559">MAX(IF((ProjectInfoTable[ProjectName]=ContinuousStatsTable[[#This Row],[ProjectName]]),(ProjectInfoTable[ProjectName]=ContinuousStatsTable[[#This Row],[ProjectName]])*ProjectInfoTable[ConfidenceInterval]))</f>
        <v>0.95</v>
      </c>
      <c r="R5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559" s="5">
        <f t="array" ref="S559">MIN(IF((ContinuousStatsTable[GroupByKey]=ContinuousStatsTable[[#This Row],[GroupByKey]]),(ContinuousStatsTable[GroupByKey]=ContinuousStatsTable[[#This Row],[GroupByKey]])*ContinuousStatsTable[Average]))</f>
        <v>1</v>
      </c>
      <c r="T559" s="5">
        <f t="array" ref="T559">MAX(IF((ContinuousStatsTable[GroupByKey]=ContinuousStatsTable[[#This Row],[GroupByKey]]),(ContinuousStatsTable[GroupByKey]=ContinuousStatsTable[[#This Row],[GroupByKey]])*ContinuousStatsTable[Average]))</f>
        <v>2</v>
      </c>
      <c r="U559" s="5">
        <f>IF((ContinuousStatsTable[[#This Row],[RepsRequested]]&gt;1),ContinuousStatsTable[[#This Row],[HalfWidth]],ContinuousStatsTable[[#This Row],[BatchMeansHalfWidth]])</f>
        <v>0.13376733135491528</v>
      </c>
    </row>
    <row r="560" spans="1:21" x14ac:dyDescent="0.25">
      <c r="A560" t="s">
        <v>67</v>
      </c>
      <c r="B560" t="s">
        <v>70</v>
      </c>
      <c r="C560">
        <v>13</v>
      </c>
      <c r="D560" t="s">
        <v>77</v>
      </c>
      <c r="E560" t="s">
        <v>78</v>
      </c>
      <c r="F560" t="s">
        <v>79</v>
      </c>
      <c r="G560">
        <v>0</v>
      </c>
      <c r="H560">
        <v>2E+20</v>
      </c>
      <c r="I560">
        <v>0</v>
      </c>
      <c r="J560">
        <v>0</v>
      </c>
      <c r="K560">
        <v>0</v>
      </c>
      <c r="L560">
        <v>0</v>
      </c>
      <c r="M560" s="5" t="str">
        <f>ContinuousStatsTable[[#This Row],[ProjectName]]&amp;ContinuousStatsTable[[#This Row],[Name]]&amp;ContinuousStatsTable[[#This Row],[Type]]&amp;ContinuousStatsTable[[#This Row],[Source]]</f>
        <v>Unnamed Projectbatched_partsWIPEntity</v>
      </c>
      <c r="N560" s="5">
        <f t="array" ref="N560">MAX(IF((ProjectInfoTable[ProjectName]=ContinuousStatsTable[[#This Row],[ProjectName]]),(ProjectInfoTable[ProjectName]=ContinuousStatsTable[[#This Row],[ProjectName]])*ProjectInfoTable[NumberOfReplications]))</f>
        <v>15</v>
      </c>
      <c r="O560" s="5">
        <f t="array" ref="O560">IFERROR(AVERAGE(IF((ContinuousStatsTable[GroupByKey]=ContinuousStatsTable[[#This Row],[GroupByKey]]),(ContinuousStatsTable[GroupByKey]=ContinuousStatsTable[[#This Row],[GroupByKey]])*ContinuousStatsTable[Average])),0)</f>
        <v>0</v>
      </c>
      <c r="P560" s="5">
        <f t="array" ref="P560">IFERROR(_xlfn.STDEV.S(IF((ContinuousStatsTable[GroupByKey]=ContinuousStatsTable[[#This Row],[GroupByKey]]),(ContinuousStatsTable[GroupByKey]=ContinuousStatsTable[[#This Row],[GroupByKey]])*ContinuousStatsTable[Average])),0)</f>
        <v>0</v>
      </c>
      <c r="Q560" s="5">
        <f t="array" ref="Q560">MAX(IF((ProjectInfoTable[ProjectName]=ContinuousStatsTable[[#This Row],[ProjectName]]),(ProjectInfoTable[ProjectName]=ContinuousStatsTable[[#This Row],[ProjectName]])*ProjectInfoTable[ConfidenceInterval]))</f>
        <v>0.95</v>
      </c>
      <c r="R5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0" s="5">
        <f t="array" ref="S560">MIN(IF((ContinuousStatsTable[GroupByKey]=ContinuousStatsTable[[#This Row],[GroupByKey]]),(ContinuousStatsTable[GroupByKey]=ContinuousStatsTable[[#This Row],[GroupByKey]])*ContinuousStatsTable[Average]))</f>
        <v>0</v>
      </c>
      <c r="T560" s="5">
        <f t="array" ref="T560">MAX(IF((ContinuousStatsTable[GroupByKey]=ContinuousStatsTable[[#This Row],[GroupByKey]]),(ContinuousStatsTable[GroupByKey]=ContinuousStatsTable[[#This Row],[GroupByKey]])*ContinuousStatsTable[Average]))</f>
        <v>0</v>
      </c>
      <c r="U560" s="5">
        <f>IF((ContinuousStatsTable[[#This Row],[RepsRequested]]&gt;1),ContinuousStatsTable[[#This Row],[HalfWidth]],ContinuousStatsTable[[#This Row],[BatchMeansHalfWidth]])</f>
        <v>0</v>
      </c>
    </row>
    <row r="561" spans="1:21" x14ac:dyDescent="0.25">
      <c r="A561" t="s">
        <v>67</v>
      </c>
      <c r="B561" t="s">
        <v>70</v>
      </c>
      <c r="C561">
        <v>13</v>
      </c>
      <c r="D561" t="s">
        <v>80</v>
      </c>
      <c r="E561" t="s">
        <v>72</v>
      </c>
      <c r="F561" t="s">
        <v>73</v>
      </c>
      <c r="G561">
        <v>0</v>
      </c>
      <c r="H561">
        <v>2E+20</v>
      </c>
      <c r="I561">
        <v>0</v>
      </c>
      <c r="J561">
        <v>0</v>
      </c>
      <c r="K561">
        <v>0</v>
      </c>
      <c r="L561">
        <v>0</v>
      </c>
      <c r="M561" s="5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561" s="5">
        <f t="array" ref="N561">MAX(IF((ProjectInfoTable[ProjectName]=ContinuousStatsTable[[#This Row],[ProjectName]]),(ProjectInfoTable[ProjectName]=ContinuousStatsTable[[#This Row],[ProjectName]])*ProjectInfoTable[NumberOfReplications]))</f>
        <v>15</v>
      </c>
      <c r="O561" s="5">
        <f t="array" ref="O561">IFERROR(AVERAGE(IF((ContinuousStatsTable[GroupByKey]=ContinuousStatsTable[[#This Row],[GroupByKey]]),(ContinuousStatsTable[GroupByKey]=ContinuousStatsTable[[#This Row],[GroupByKey]])*ContinuousStatsTable[Average])),0)</f>
        <v>0</v>
      </c>
      <c r="P561" s="5">
        <f t="array" ref="P561">IFERROR(_xlfn.STDEV.S(IF((ContinuousStatsTable[GroupByKey]=ContinuousStatsTable[[#This Row],[GroupByKey]]),(ContinuousStatsTable[GroupByKey]=ContinuousStatsTable[[#This Row],[GroupByKey]])*ContinuousStatsTable[Average])),0)</f>
        <v>0</v>
      </c>
      <c r="Q561" s="5">
        <f t="array" ref="Q561">MAX(IF((ProjectInfoTable[ProjectName]=ContinuousStatsTable[[#This Row],[ProjectName]]),(ProjectInfoTable[ProjectName]=ContinuousStatsTable[[#This Row],[ProjectName]])*ProjectInfoTable[ConfidenceInterval]))</f>
        <v>0.95</v>
      </c>
      <c r="R5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1" s="5">
        <f t="array" ref="S561">MIN(IF((ContinuousStatsTable[GroupByKey]=ContinuousStatsTable[[#This Row],[GroupByKey]]),(ContinuousStatsTable[GroupByKey]=ContinuousStatsTable[[#This Row],[GroupByKey]])*ContinuousStatsTable[Average]))</f>
        <v>0</v>
      </c>
      <c r="T561" s="5">
        <f t="array" ref="T561">MAX(IF((ContinuousStatsTable[GroupByKey]=ContinuousStatsTable[[#This Row],[GroupByKey]]),(ContinuousStatsTable[GroupByKey]=ContinuousStatsTable[[#This Row],[GroupByKey]])*ContinuousStatsTable[Average]))</f>
        <v>0</v>
      </c>
      <c r="U561" s="5">
        <f>IF((ContinuousStatsTable[[#This Row],[RepsRequested]]&gt;1),ContinuousStatsTable[[#This Row],[HalfWidth]],ContinuousStatsTable[[#This Row],[BatchMeansHalfWidth]])</f>
        <v>0</v>
      </c>
    </row>
    <row r="562" spans="1:21" x14ac:dyDescent="0.25">
      <c r="A562" t="s">
        <v>67</v>
      </c>
      <c r="B562" t="s">
        <v>70</v>
      </c>
      <c r="C562">
        <v>13</v>
      </c>
      <c r="D562" t="s">
        <v>80</v>
      </c>
      <c r="E562" t="s">
        <v>74</v>
      </c>
      <c r="F562" t="s">
        <v>73</v>
      </c>
      <c r="G562">
        <v>0</v>
      </c>
      <c r="H562">
        <v>2E+20</v>
      </c>
      <c r="I562">
        <v>0</v>
      </c>
      <c r="J562">
        <v>0</v>
      </c>
      <c r="K562">
        <v>0</v>
      </c>
      <c r="L562">
        <v>0</v>
      </c>
      <c r="M562" s="5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562" s="5">
        <f t="array" ref="N562">MAX(IF((ProjectInfoTable[ProjectName]=ContinuousStatsTable[[#This Row],[ProjectName]]),(ProjectInfoTable[ProjectName]=ContinuousStatsTable[[#This Row],[ProjectName]])*ProjectInfoTable[NumberOfReplications]))</f>
        <v>15</v>
      </c>
      <c r="O562" s="5">
        <f t="array" ref="O562">IFERROR(AVERAGE(IF((ContinuousStatsTable[GroupByKey]=ContinuousStatsTable[[#This Row],[GroupByKey]]),(ContinuousStatsTable[GroupByKey]=ContinuousStatsTable[[#This Row],[GroupByKey]])*ContinuousStatsTable[Average])),0)</f>
        <v>0</v>
      </c>
      <c r="P562" s="5">
        <f t="array" ref="P562">IFERROR(_xlfn.STDEV.S(IF((ContinuousStatsTable[GroupByKey]=ContinuousStatsTable[[#This Row],[GroupByKey]]),(ContinuousStatsTable[GroupByKey]=ContinuousStatsTable[[#This Row],[GroupByKey]])*ContinuousStatsTable[Average])),0)</f>
        <v>0</v>
      </c>
      <c r="Q562" s="5">
        <f t="array" ref="Q562">MAX(IF((ProjectInfoTable[ProjectName]=ContinuousStatsTable[[#This Row],[ProjectName]]),(ProjectInfoTable[ProjectName]=ContinuousStatsTable[[#This Row],[ProjectName]])*ProjectInfoTable[ConfidenceInterval]))</f>
        <v>0.95</v>
      </c>
      <c r="R5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2" s="5">
        <f t="array" ref="S562">MIN(IF((ContinuousStatsTable[GroupByKey]=ContinuousStatsTable[[#This Row],[GroupByKey]]),(ContinuousStatsTable[GroupByKey]=ContinuousStatsTable[[#This Row],[GroupByKey]])*ContinuousStatsTable[Average]))</f>
        <v>0</v>
      </c>
      <c r="T562" s="5">
        <f t="array" ref="T562">MAX(IF((ContinuousStatsTable[GroupByKey]=ContinuousStatsTable[[#This Row],[GroupByKey]]),(ContinuousStatsTable[GroupByKey]=ContinuousStatsTable[[#This Row],[GroupByKey]])*ContinuousStatsTable[Average]))</f>
        <v>0</v>
      </c>
      <c r="U562" s="5">
        <f>IF((ContinuousStatsTable[[#This Row],[RepsRequested]]&gt;1),ContinuousStatsTable[[#This Row],[HalfWidth]],ContinuousStatsTable[[#This Row],[BatchMeansHalfWidth]])</f>
        <v>0</v>
      </c>
    </row>
    <row r="563" spans="1:21" x14ac:dyDescent="0.25">
      <c r="A563" t="s">
        <v>67</v>
      </c>
      <c r="B563" t="s">
        <v>70</v>
      </c>
      <c r="C563">
        <v>13</v>
      </c>
      <c r="D563" t="s">
        <v>80</v>
      </c>
      <c r="E563" t="s">
        <v>75</v>
      </c>
      <c r="F563" t="s">
        <v>73</v>
      </c>
      <c r="G563">
        <v>1.5834999999999999</v>
      </c>
      <c r="H563">
        <v>3E+20</v>
      </c>
      <c r="I563">
        <v>1</v>
      </c>
      <c r="J563">
        <v>2</v>
      </c>
      <c r="K563">
        <v>2</v>
      </c>
      <c r="L563">
        <v>0</v>
      </c>
      <c r="M563" s="5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563" s="5">
        <f t="array" ref="N563">MAX(IF((ProjectInfoTable[ProjectName]=ContinuousStatsTable[[#This Row],[ProjectName]]),(ProjectInfoTable[ProjectName]=ContinuousStatsTable[[#This Row],[ProjectName]])*ProjectInfoTable[NumberOfReplications]))</f>
        <v>15</v>
      </c>
      <c r="O563" s="5">
        <f t="array" ref="O563">IFERROR(AVERAGE(IF((ContinuousStatsTable[GroupByKey]=ContinuousStatsTable[[#This Row],[GroupByKey]]),(ContinuousStatsTable[GroupByKey]=ContinuousStatsTable[[#This Row],[GroupByKey]])*ContinuousStatsTable[Average])),0)</f>
        <v>1.5334471868881776</v>
      </c>
      <c r="P563" s="5">
        <f t="array" ref="P563">IFERROR(_xlfn.STDEV.S(IF((ContinuousStatsTable[GroupByKey]=ContinuousStatsTable[[#This Row],[GroupByKey]]),(ContinuousStatsTable[GroupByKey]=ContinuousStatsTable[[#This Row],[GroupByKey]])*ContinuousStatsTable[Average])),0)</f>
        <v>0.24154821158553658</v>
      </c>
      <c r="Q563" s="5">
        <f t="array" ref="Q563">MAX(IF((ProjectInfoTable[ProjectName]=ContinuousStatsTable[[#This Row],[ProjectName]]),(ProjectInfoTable[ProjectName]=ContinuousStatsTable[[#This Row],[ProjectName]])*ProjectInfoTable[ConfidenceInterval]))</f>
        <v>0.95</v>
      </c>
      <c r="R5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0.13376494097407529</v>
      </c>
      <c r="S563" s="5">
        <f t="array" ref="S563">MIN(IF((ContinuousStatsTable[GroupByKey]=ContinuousStatsTable[[#This Row],[GroupByKey]]),(ContinuousStatsTable[GroupByKey]=ContinuousStatsTable[[#This Row],[GroupByKey]])*ContinuousStatsTable[Average]))</f>
        <v>1</v>
      </c>
      <c r="T563" s="5">
        <f t="array" ref="T563">MAX(IF((ContinuousStatsTable[GroupByKey]=ContinuousStatsTable[[#This Row],[GroupByKey]]),(ContinuousStatsTable[GroupByKey]=ContinuousStatsTable[[#This Row],[GroupByKey]])*ContinuousStatsTable[Average]))</f>
        <v>2</v>
      </c>
      <c r="U563" s="5">
        <f>IF((ContinuousStatsTable[[#This Row],[RepsRequested]]&gt;1),ContinuousStatsTable[[#This Row],[HalfWidth]],ContinuousStatsTable[[#This Row],[BatchMeansHalfWidth]])</f>
        <v>0.13376494097407529</v>
      </c>
    </row>
    <row r="564" spans="1:21" x14ac:dyDescent="0.25">
      <c r="A564" t="s">
        <v>67</v>
      </c>
      <c r="B564" t="s">
        <v>70</v>
      </c>
      <c r="C564">
        <v>13</v>
      </c>
      <c r="D564" t="s">
        <v>81</v>
      </c>
      <c r="E564" t="s">
        <v>72</v>
      </c>
      <c r="F564" t="s">
        <v>73</v>
      </c>
      <c r="G564">
        <v>0</v>
      </c>
      <c r="H564">
        <v>2E+20</v>
      </c>
      <c r="I564">
        <v>0</v>
      </c>
      <c r="J564">
        <v>0</v>
      </c>
      <c r="K564">
        <v>0</v>
      </c>
      <c r="L564">
        <v>0</v>
      </c>
      <c r="M564" s="5" t="str">
        <f>ContinuousStatsTable[[#This Row],[ProjectName]]&amp;ContinuousStatsTable[[#This Row],[Name]]&amp;ContinuousStatsTable[[#This Row],[Type]]&amp;ContinuousStatsTable[[#This Row],[Source]]</f>
        <v>Unnamed ProjectcutterInstantaneous UtilizationResource</v>
      </c>
      <c r="N564" s="5">
        <f t="array" ref="N564">MAX(IF((ProjectInfoTable[ProjectName]=ContinuousStatsTable[[#This Row],[ProjectName]]),(ProjectInfoTable[ProjectName]=ContinuousStatsTable[[#This Row],[ProjectName]])*ProjectInfoTable[NumberOfReplications]))</f>
        <v>15</v>
      </c>
      <c r="O564" s="5">
        <f t="array" ref="O564">IFERROR(AVERAGE(IF((ContinuousStatsTable[GroupByKey]=ContinuousStatsTable[[#This Row],[GroupByKey]]),(ContinuousStatsTable[GroupByKey]=ContinuousStatsTable[[#This Row],[GroupByKey]])*ContinuousStatsTable[Average])),0)</f>
        <v>0</v>
      </c>
      <c r="P564" s="5">
        <f t="array" ref="P564">IFERROR(_xlfn.STDEV.S(IF((ContinuousStatsTable[GroupByKey]=ContinuousStatsTable[[#This Row],[GroupByKey]]),(ContinuousStatsTable[GroupByKey]=ContinuousStatsTable[[#This Row],[GroupByKey]])*ContinuousStatsTable[Average])),0)</f>
        <v>0</v>
      </c>
      <c r="Q564" s="5">
        <f t="array" ref="Q564">MAX(IF((ProjectInfoTable[ProjectName]=ContinuousStatsTable[[#This Row],[ProjectName]]),(ProjectInfoTable[ProjectName]=ContinuousStatsTable[[#This Row],[ProjectName]])*ProjectInfoTable[ConfidenceInterval]))</f>
        <v>0.95</v>
      </c>
      <c r="R5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4" s="5">
        <f t="array" ref="S564">MIN(IF((ContinuousStatsTable[GroupByKey]=ContinuousStatsTable[[#This Row],[GroupByKey]]),(ContinuousStatsTable[GroupByKey]=ContinuousStatsTable[[#This Row],[GroupByKey]])*ContinuousStatsTable[Average]))</f>
        <v>0</v>
      </c>
      <c r="T564" s="5">
        <f t="array" ref="T564">MAX(IF((ContinuousStatsTable[GroupByKey]=ContinuousStatsTable[[#This Row],[GroupByKey]]),(ContinuousStatsTable[GroupByKey]=ContinuousStatsTable[[#This Row],[GroupByKey]])*ContinuousStatsTable[Average]))</f>
        <v>0</v>
      </c>
      <c r="U564" s="5">
        <f>IF((ContinuousStatsTable[[#This Row],[RepsRequested]]&gt;1),ContinuousStatsTable[[#This Row],[HalfWidth]],ContinuousStatsTable[[#This Row],[BatchMeansHalfWidth]])</f>
        <v>0</v>
      </c>
    </row>
    <row r="565" spans="1:21" x14ac:dyDescent="0.25">
      <c r="A565" t="s">
        <v>67</v>
      </c>
      <c r="B565" t="s">
        <v>70</v>
      </c>
      <c r="C565">
        <v>13</v>
      </c>
      <c r="D565" t="s">
        <v>81</v>
      </c>
      <c r="E565" t="s">
        <v>74</v>
      </c>
      <c r="F565" t="s">
        <v>73</v>
      </c>
      <c r="G565">
        <v>0</v>
      </c>
      <c r="H565">
        <v>2E+20</v>
      </c>
      <c r="I565">
        <v>0</v>
      </c>
      <c r="J565">
        <v>0</v>
      </c>
      <c r="K565">
        <v>0</v>
      </c>
      <c r="L565">
        <v>0</v>
      </c>
      <c r="M565" s="5" t="str">
        <f>ContinuousStatsTable[[#This Row],[ProjectName]]&amp;ContinuousStatsTable[[#This Row],[Name]]&amp;ContinuousStatsTable[[#This Row],[Type]]&amp;ContinuousStatsTable[[#This Row],[Source]]</f>
        <v>Unnamed ProjectcutterNumber BusyResource</v>
      </c>
      <c r="N565" s="5">
        <f t="array" ref="N565">MAX(IF((ProjectInfoTable[ProjectName]=ContinuousStatsTable[[#This Row],[ProjectName]]),(ProjectInfoTable[ProjectName]=ContinuousStatsTable[[#This Row],[ProjectName]])*ProjectInfoTable[NumberOfReplications]))</f>
        <v>15</v>
      </c>
      <c r="O565" s="5">
        <f t="array" ref="O565">IFERROR(AVERAGE(IF((ContinuousStatsTable[GroupByKey]=ContinuousStatsTable[[#This Row],[GroupByKey]]),(ContinuousStatsTable[GroupByKey]=ContinuousStatsTable[[#This Row],[GroupByKey]])*ContinuousStatsTable[Average])),0)</f>
        <v>0</v>
      </c>
      <c r="P565" s="5">
        <f t="array" ref="P565">IFERROR(_xlfn.STDEV.S(IF((ContinuousStatsTable[GroupByKey]=ContinuousStatsTable[[#This Row],[GroupByKey]]),(ContinuousStatsTable[GroupByKey]=ContinuousStatsTable[[#This Row],[GroupByKey]])*ContinuousStatsTable[Average])),0)</f>
        <v>0</v>
      </c>
      <c r="Q565" s="5">
        <f t="array" ref="Q565">MAX(IF((ProjectInfoTable[ProjectName]=ContinuousStatsTable[[#This Row],[ProjectName]]),(ProjectInfoTable[ProjectName]=ContinuousStatsTable[[#This Row],[ProjectName]])*ProjectInfoTable[ConfidenceInterval]))</f>
        <v>0.95</v>
      </c>
      <c r="R5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5" s="5">
        <f t="array" ref="S565">MIN(IF((ContinuousStatsTable[GroupByKey]=ContinuousStatsTable[[#This Row],[GroupByKey]]),(ContinuousStatsTable[GroupByKey]=ContinuousStatsTable[[#This Row],[GroupByKey]])*ContinuousStatsTable[Average]))</f>
        <v>0</v>
      </c>
      <c r="T565" s="5">
        <f t="array" ref="T565">MAX(IF((ContinuousStatsTable[GroupByKey]=ContinuousStatsTable[[#This Row],[GroupByKey]]),(ContinuousStatsTable[GroupByKey]=ContinuousStatsTable[[#This Row],[GroupByKey]])*ContinuousStatsTable[Average]))</f>
        <v>0</v>
      </c>
      <c r="U565" s="5">
        <f>IF((ContinuousStatsTable[[#This Row],[RepsRequested]]&gt;1),ContinuousStatsTable[[#This Row],[HalfWidth]],ContinuousStatsTable[[#This Row],[BatchMeansHalfWidth]])</f>
        <v>0</v>
      </c>
    </row>
    <row r="566" spans="1:21" x14ac:dyDescent="0.25">
      <c r="A566" t="s">
        <v>67</v>
      </c>
      <c r="B566" t="s">
        <v>70</v>
      </c>
      <c r="C566">
        <v>13</v>
      </c>
      <c r="D566" t="s">
        <v>81</v>
      </c>
      <c r="E566" t="s">
        <v>75</v>
      </c>
      <c r="F566" t="s">
        <v>73</v>
      </c>
      <c r="G566">
        <v>1.58325</v>
      </c>
      <c r="H566">
        <v>3E+20</v>
      </c>
      <c r="I566">
        <v>1</v>
      </c>
      <c r="J566">
        <v>2</v>
      </c>
      <c r="K566">
        <v>2</v>
      </c>
      <c r="L566">
        <v>0</v>
      </c>
      <c r="M566" s="5" t="str">
        <f>ContinuousStatsTable[[#This Row],[ProjectName]]&amp;ContinuousStatsTable[[#This Row],[Name]]&amp;ContinuousStatsTable[[#This Row],[Type]]&amp;ContinuousStatsTable[[#This Row],[Source]]</f>
        <v>Unnamed ProjectcutterNumber ScheduledResource</v>
      </c>
      <c r="N566" s="5">
        <f t="array" ref="N566">MAX(IF((ProjectInfoTable[ProjectName]=ContinuousStatsTable[[#This Row],[ProjectName]]),(ProjectInfoTable[ProjectName]=ContinuousStatsTable[[#This Row],[ProjectName]])*ProjectInfoTable[NumberOfReplications]))</f>
        <v>15</v>
      </c>
      <c r="O566" s="5">
        <f t="array" ref="O566">IFERROR(AVERAGE(IF((ContinuousStatsTable[GroupByKey]=ContinuousStatsTable[[#This Row],[GroupByKey]]),(ContinuousStatsTable[GroupByKey]=ContinuousStatsTable[[#This Row],[GroupByKey]])*ContinuousStatsTable[Average])),0)</f>
        <v>1.5332999999999999</v>
      </c>
      <c r="P566" s="5">
        <f t="array" ref="P566">IFERROR(_xlfn.STDEV.S(IF((ContinuousStatsTable[GroupByKey]=ContinuousStatsTable[[#This Row],[GroupByKey]]),(ContinuousStatsTable[GroupByKey]=ContinuousStatsTable[[#This Row],[GroupByKey]])*ContinuousStatsTable[Average])),0)</f>
        <v>0.24151556349584294</v>
      </c>
      <c r="Q566" s="5">
        <f t="array" ref="Q566">MAX(IF((ProjectInfoTable[ProjectName]=ContinuousStatsTable[[#This Row],[ProjectName]]),(ProjectInfoTable[ProjectName]=ContinuousStatsTable[[#This Row],[ProjectName]])*ProjectInfoTable[ConfidenceInterval]))</f>
        <v>0.95</v>
      </c>
      <c r="R5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0.1337468610646356</v>
      </c>
      <c r="S566" s="5">
        <f t="array" ref="S566">MIN(IF((ContinuousStatsTable[GroupByKey]=ContinuousStatsTable[[#This Row],[GroupByKey]]),(ContinuousStatsTable[GroupByKey]=ContinuousStatsTable[[#This Row],[GroupByKey]])*ContinuousStatsTable[Average]))</f>
        <v>1</v>
      </c>
      <c r="T566" s="5">
        <f t="array" ref="T566">MAX(IF((ContinuousStatsTable[GroupByKey]=ContinuousStatsTable[[#This Row],[GroupByKey]]),(ContinuousStatsTable[GroupByKey]=ContinuousStatsTable[[#This Row],[GroupByKey]])*ContinuousStatsTable[Average]))</f>
        <v>2</v>
      </c>
      <c r="U566" s="5">
        <f>IF((ContinuousStatsTable[[#This Row],[RepsRequested]]&gt;1),ContinuousStatsTable[[#This Row],[HalfWidth]],ContinuousStatsTable[[#This Row],[BatchMeansHalfWidth]])</f>
        <v>0.1337468610646356</v>
      </c>
    </row>
    <row r="567" spans="1:21" x14ac:dyDescent="0.25">
      <c r="A567" t="s">
        <v>67</v>
      </c>
      <c r="B567" t="s">
        <v>70</v>
      </c>
      <c r="C567">
        <v>13</v>
      </c>
      <c r="D567" t="s">
        <v>82</v>
      </c>
      <c r="E567" t="s">
        <v>72</v>
      </c>
      <c r="F567" t="s">
        <v>73</v>
      </c>
      <c r="G567">
        <v>0</v>
      </c>
      <c r="H567">
        <v>2E+20</v>
      </c>
      <c r="I567">
        <v>0</v>
      </c>
      <c r="J567">
        <v>0</v>
      </c>
      <c r="K567">
        <v>0</v>
      </c>
      <c r="L567">
        <v>0</v>
      </c>
      <c r="M567" s="5" t="str">
        <f>ContinuousStatsTable[[#This Row],[ProjectName]]&amp;ContinuousStatsTable[[#This Row],[Name]]&amp;ContinuousStatsTable[[#This Row],[Type]]&amp;ContinuousStatsTable[[#This Row],[Source]]</f>
        <v>Unnamed ProjectfinalqcmanInstantaneous UtilizationResource</v>
      </c>
      <c r="N567" s="5">
        <f t="array" ref="N567">MAX(IF((ProjectInfoTable[ProjectName]=ContinuousStatsTable[[#This Row],[ProjectName]]),(ProjectInfoTable[ProjectName]=ContinuousStatsTable[[#This Row],[ProjectName]])*ProjectInfoTable[NumberOfReplications]))</f>
        <v>15</v>
      </c>
      <c r="O567" s="5">
        <f t="array" ref="O567">IFERROR(AVERAGE(IF((ContinuousStatsTable[GroupByKey]=ContinuousStatsTable[[#This Row],[GroupByKey]]),(ContinuousStatsTable[GroupByKey]=ContinuousStatsTable[[#This Row],[GroupByKey]])*ContinuousStatsTable[Average])),0)</f>
        <v>0</v>
      </c>
      <c r="P567" s="5">
        <f t="array" ref="P567">IFERROR(_xlfn.STDEV.S(IF((ContinuousStatsTable[GroupByKey]=ContinuousStatsTable[[#This Row],[GroupByKey]]),(ContinuousStatsTable[GroupByKey]=ContinuousStatsTable[[#This Row],[GroupByKey]])*ContinuousStatsTable[Average])),0)</f>
        <v>0</v>
      </c>
      <c r="Q567" s="5">
        <f t="array" ref="Q567">MAX(IF((ProjectInfoTable[ProjectName]=ContinuousStatsTable[[#This Row],[ProjectName]]),(ProjectInfoTable[ProjectName]=ContinuousStatsTable[[#This Row],[ProjectName]])*ProjectInfoTable[ConfidenceInterval]))</f>
        <v>0.95</v>
      </c>
      <c r="R5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7" s="5">
        <f t="array" ref="S567">MIN(IF((ContinuousStatsTable[GroupByKey]=ContinuousStatsTable[[#This Row],[GroupByKey]]),(ContinuousStatsTable[GroupByKey]=ContinuousStatsTable[[#This Row],[GroupByKey]])*ContinuousStatsTable[Average]))</f>
        <v>0</v>
      </c>
      <c r="T567" s="5">
        <f t="array" ref="T567">MAX(IF((ContinuousStatsTable[GroupByKey]=ContinuousStatsTable[[#This Row],[GroupByKey]]),(ContinuousStatsTable[GroupByKey]=ContinuousStatsTable[[#This Row],[GroupByKey]])*ContinuousStatsTable[Average]))</f>
        <v>0</v>
      </c>
      <c r="U567" s="5">
        <f>IF((ContinuousStatsTable[[#This Row],[RepsRequested]]&gt;1),ContinuousStatsTable[[#This Row],[HalfWidth]],ContinuousStatsTable[[#This Row],[BatchMeansHalfWidth]])</f>
        <v>0</v>
      </c>
    </row>
    <row r="568" spans="1:21" x14ac:dyDescent="0.25">
      <c r="A568" t="s">
        <v>67</v>
      </c>
      <c r="B568" t="s">
        <v>70</v>
      </c>
      <c r="C568">
        <v>13</v>
      </c>
      <c r="D568" t="s">
        <v>82</v>
      </c>
      <c r="E568" t="s">
        <v>74</v>
      </c>
      <c r="F568" t="s">
        <v>73</v>
      </c>
      <c r="G568">
        <v>0</v>
      </c>
      <c r="H568">
        <v>2E+20</v>
      </c>
      <c r="I568">
        <v>0</v>
      </c>
      <c r="J568">
        <v>0</v>
      </c>
      <c r="K568">
        <v>0</v>
      </c>
      <c r="L568">
        <v>0</v>
      </c>
      <c r="M568" s="5" t="str">
        <f>ContinuousStatsTable[[#This Row],[ProjectName]]&amp;ContinuousStatsTable[[#This Row],[Name]]&amp;ContinuousStatsTable[[#This Row],[Type]]&amp;ContinuousStatsTable[[#This Row],[Source]]</f>
        <v>Unnamed ProjectfinalqcmanNumber BusyResource</v>
      </c>
      <c r="N568" s="5">
        <f t="array" ref="N568">MAX(IF((ProjectInfoTable[ProjectName]=ContinuousStatsTable[[#This Row],[ProjectName]]),(ProjectInfoTable[ProjectName]=ContinuousStatsTable[[#This Row],[ProjectName]])*ProjectInfoTable[NumberOfReplications]))</f>
        <v>15</v>
      </c>
      <c r="O568" s="5">
        <f t="array" ref="O568">IFERROR(AVERAGE(IF((ContinuousStatsTable[GroupByKey]=ContinuousStatsTable[[#This Row],[GroupByKey]]),(ContinuousStatsTable[GroupByKey]=ContinuousStatsTable[[#This Row],[GroupByKey]])*ContinuousStatsTable[Average])),0)</f>
        <v>0</v>
      </c>
      <c r="P568" s="5">
        <f t="array" ref="P568">IFERROR(_xlfn.STDEV.S(IF((ContinuousStatsTable[GroupByKey]=ContinuousStatsTable[[#This Row],[GroupByKey]]),(ContinuousStatsTable[GroupByKey]=ContinuousStatsTable[[#This Row],[GroupByKey]])*ContinuousStatsTable[Average])),0)</f>
        <v>0</v>
      </c>
      <c r="Q568" s="5">
        <f t="array" ref="Q568">MAX(IF((ProjectInfoTable[ProjectName]=ContinuousStatsTable[[#This Row],[ProjectName]]),(ProjectInfoTable[ProjectName]=ContinuousStatsTable[[#This Row],[ProjectName]])*ProjectInfoTable[ConfidenceInterval]))</f>
        <v>0.95</v>
      </c>
      <c r="R5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8" s="5">
        <f t="array" ref="S568">MIN(IF((ContinuousStatsTable[GroupByKey]=ContinuousStatsTable[[#This Row],[GroupByKey]]),(ContinuousStatsTable[GroupByKey]=ContinuousStatsTable[[#This Row],[GroupByKey]])*ContinuousStatsTable[Average]))</f>
        <v>0</v>
      </c>
      <c r="T568" s="5">
        <f t="array" ref="T568">MAX(IF((ContinuousStatsTable[GroupByKey]=ContinuousStatsTable[[#This Row],[GroupByKey]]),(ContinuousStatsTable[GroupByKey]=ContinuousStatsTable[[#This Row],[GroupByKey]])*ContinuousStatsTable[Average]))</f>
        <v>0</v>
      </c>
      <c r="U568" s="5">
        <f>IF((ContinuousStatsTable[[#This Row],[RepsRequested]]&gt;1),ContinuousStatsTable[[#This Row],[HalfWidth]],ContinuousStatsTable[[#This Row],[BatchMeansHalfWidth]])</f>
        <v>0</v>
      </c>
    </row>
    <row r="569" spans="1:21" x14ac:dyDescent="0.25">
      <c r="A569" t="s">
        <v>67</v>
      </c>
      <c r="B569" t="s">
        <v>70</v>
      </c>
      <c r="C569">
        <v>13</v>
      </c>
      <c r="D569" t="s">
        <v>82</v>
      </c>
      <c r="E569" t="s">
        <v>75</v>
      </c>
      <c r="F569" t="s">
        <v>73</v>
      </c>
      <c r="G569">
        <v>1.58348588611619</v>
      </c>
      <c r="H569">
        <v>3E+20</v>
      </c>
      <c r="I569">
        <v>1</v>
      </c>
      <c r="J569">
        <v>2</v>
      </c>
      <c r="K569">
        <v>2</v>
      </c>
      <c r="L569">
        <v>0</v>
      </c>
      <c r="M569" s="5" t="str">
        <f>ContinuousStatsTable[[#This Row],[ProjectName]]&amp;ContinuousStatsTable[[#This Row],[Name]]&amp;ContinuousStatsTable[[#This Row],[Type]]&amp;ContinuousStatsTable[[#This Row],[Source]]</f>
        <v>Unnamed ProjectfinalqcmanNumber ScheduledResource</v>
      </c>
      <c r="N569" s="5">
        <f t="array" ref="N569">MAX(IF((ProjectInfoTable[ProjectName]=ContinuousStatsTable[[#This Row],[ProjectName]]),(ProjectInfoTable[ProjectName]=ContinuousStatsTable[[#This Row],[ProjectName]])*ProjectInfoTable[NumberOfReplications]))</f>
        <v>15</v>
      </c>
      <c r="O569" s="5">
        <f t="array" ref="O569">IFERROR(AVERAGE(IF((ContinuousStatsTable[GroupByKey]=ContinuousStatsTable[[#This Row],[GroupByKey]]),(ContinuousStatsTable[GroupByKey]=ContinuousStatsTable[[#This Row],[GroupByKey]])*ContinuousStatsTable[Average])),0)</f>
        <v>1.5334510661643974</v>
      </c>
      <c r="P569" s="5">
        <f t="array" ref="P569">IFERROR(_xlfn.STDEV.S(IF((ContinuousStatsTable[GroupByKey]=ContinuousStatsTable[[#This Row],[GroupByKey]]),(ContinuousStatsTable[GroupByKey]=ContinuousStatsTable[[#This Row],[GroupByKey]])*ContinuousStatsTable[Average])),0)</f>
        <v>0.24154906725932371</v>
      </c>
      <c r="Q569" s="5">
        <f t="array" ref="Q569">MAX(IF((ProjectInfoTable[ProjectName]=ContinuousStatsTable[[#This Row],[ProjectName]]),(ProjectInfoTable[ProjectName]=ContinuousStatsTable[[#This Row],[ProjectName]])*ProjectInfoTable[ConfidenceInterval]))</f>
        <v>0.95</v>
      </c>
      <c r="R5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0.13376541483042423</v>
      </c>
      <c r="S569" s="5">
        <f t="array" ref="S569">MIN(IF((ContinuousStatsTable[GroupByKey]=ContinuousStatsTable[[#This Row],[GroupByKey]]),(ContinuousStatsTable[GroupByKey]=ContinuousStatsTable[[#This Row],[GroupByKey]])*ContinuousStatsTable[Average]))</f>
        <v>1</v>
      </c>
      <c r="T569" s="5">
        <f t="array" ref="T569">MAX(IF((ContinuousStatsTable[GroupByKey]=ContinuousStatsTable[[#This Row],[GroupByKey]]),(ContinuousStatsTable[GroupByKey]=ContinuousStatsTable[[#This Row],[GroupByKey]])*ContinuousStatsTable[Average]))</f>
        <v>2</v>
      </c>
      <c r="U569" s="5">
        <f>IF((ContinuousStatsTable[[#This Row],[RepsRequested]]&gt;1),ContinuousStatsTable[[#This Row],[HalfWidth]],ContinuousStatsTable[[#This Row],[BatchMeansHalfWidth]])</f>
        <v>0.13376541483042423</v>
      </c>
    </row>
    <row r="570" spans="1:21" x14ac:dyDescent="0.25">
      <c r="A570" t="s">
        <v>67</v>
      </c>
      <c r="B570" t="s">
        <v>70</v>
      </c>
      <c r="C570">
        <v>13</v>
      </c>
      <c r="D570" t="s">
        <v>83</v>
      </c>
      <c r="E570" t="s">
        <v>84</v>
      </c>
      <c r="F570" t="s">
        <v>85</v>
      </c>
      <c r="G570">
        <v>0</v>
      </c>
      <c r="H570">
        <v>2E+20</v>
      </c>
      <c r="I570">
        <v>0</v>
      </c>
      <c r="J570">
        <v>0</v>
      </c>
      <c r="K570">
        <v>0</v>
      </c>
      <c r="L570">
        <v>0</v>
      </c>
      <c r="M570" s="5" t="str">
        <f>ContinuousStatsTable[[#This Row],[ProjectName]]&amp;ContinuousStatsTable[[#This Row],[Name]]&amp;ContinuousStatsTable[[#This Row],[Type]]&amp;ContinuousStatsTable[[#This Row],[Source]]</f>
        <v>Unnamed Projectinspectorseize.QueueNumber WaitingQueue</v>
      </c>
      <c r="N570" s="5">
        <f t="array" ref="N570">MAX(IF((ProjectInfoTable[ProjectName]=ContinuousStatsTable[[#This Row],[ProjectName]]),(ProjectInfoTable[ProjectName]=ContinuousStatsTable[[#This Row],[ProjectName]])*ProjectInfoTable[NumberOfReplications]))</f>
        <v>15</v>
      </c>
      <c r="O570" s="5">
        <f t="array" ref="O570">IFERROR(AVERAGE(IF((ContinuousStatsTable[GroupByKey]=ContinuousStatsTable[[#This Row],[GroupByKey]]),(ContinuousStatsTable[GroupByKey]=ContinuousStatsTable[[#This Row],[GroupByKey]])*ContinuousStatsTable[Average])),0)</f>
        <v>0</v>
      </c>
      <c r="P570" s="5">
        <f t="array" ref="P570">IFERROR(_xlfn.STDEV.S(IF((ContinuousStatsTable[GroupByKey]=ContinuousStatsTable[[#This Row],[GroupByKey]]),(ContinuousStatsTable[GroupByKey]=ContinuousStatsTable[[#This Row],[GroupByKey]])*ContinuousStatsTable[Average])),0)</f>
        <v>0</v>
      </c>
      <c r="Q570" s="5">
        <f t="array" ref="Q570">MAX(IF((ProjectInfoTable[ProjectName]=ContinuousStatsTable[[#This Row],[ProjectName]]),(ProjectInfoTable[ProjectName]=ContinuousStatsTable[[#This Row],[ProjectName]])*ProjectInfoTable[ConfidenceInterval]))</f>
        <v>0.95</v>
      </c>
      <c r="R5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0" s="5">
        <f t="array" ref="S570">MIN(IF((ContinuousStatsTable[GroupByKey]=ContinuousStatsTable[[#This Row],[GroupByKey]]),(ContinuousStatsTable[GroupByKey]=ContinuousStatsTable[[#This Row],[GroupByKey]])*ContinuousStatsTable[Average]))</f>
        <v>0</v>
      </c>
      <c r="T570" s="5">
        <f t="array" ref="T570">MAX(IF((ContinuousStatsTable[GroupByKey]=ContinuousStatsTable[[#This Row],[GroupByKey]]),(ContinuousStatsTable[GroupByKey]=ContinuousStatsTable[[#This Row],[GroupByKey]])*ContinuousStatsTable[Average]))</f>
        <v>0</v>
      </c>
      <c r="U570" s="5">
        <f>IF((ContinuousStatsTable[[#This Row],[RepsRequested]]&gt;1),ContinuousStatsTable[[#This Row],[HalfWidth]],ContinuousStatsTable[[#This Row],[BatchMeansHalfWidth]])</f>
        <v>0</v>
      </c>
    </row>
    <row r="571" spans="1:21" x14ac:dyDescent="0.25">
      <c r="A571" t="s">
        <v>67</v>
      </c>
      <c r="B571" t="s">
        <v>70</v>
      </c>
      <c r="C571">
        <v>13</v>
      </c>
      <c r="D571" t="s">
        <v>86</v>
      </c>
      <c r="E571" t="s">
        <v>84</v>
      </c>
      <c r="F571" t="s">
        <v>85</v>
      </c>
      <c r="G571">
        <v>0</v>
      </c>
      <c r="H571">
        <v>2E+20</v>
      </c>
      <c r="I571">
        <v>0</v>
      </c>
      <c r="J571">
        <v>0</v>
      </c>
      <c r="K571">
        <v>0</v>
      </c>
      <c r="L571">
        <v>0</v>
      </c>
      <c r="M571" s="5" t="str">
        <f>ContinuousStatsTable[[#This Row],[ProjectName]]&amp;ContinuousStatsTable[[#This Row],[Name]]&amp;ContinuousStatsTable[[#This Row],[Type]]&amp;ContinuousStatsTable[[#This Row],[Source]]</f>
        <v>Unnamed Projectmatch_truckcombo.Queue1Number WaitingQueue</v>
      </c>
      <c r="N571" s="5">
        <f t="array" ref="N571">MAX(IF((ProjectInfoTable[ProjectName]=ContinuousStatsTable[[#This Row],[ProjectName]]),(ProjectInfoTable[ProjectName]=ContinuousStatsTable[[#This Row],[ProjectName]])*ProjectInfoTable[NumberOfReplications]))</f>
        <v>15</v>
      </c>
      <c r="O571" s="5">
        <f t="array" ref="O571">IFERROR(AVERAGE(IF((ContinuousStatsTable[GroupByKey]=ContinuousStatsTable[[#This Row],[GroupByKey]]),(ContinuousStatsTable[GroupByKey]=ContinuousStatsTable[[#This Row],[GroupByKey]])*ContinuousStatsTable[Average])),0)</f>
        <v>3.3333333333333335</v>
      </c>
      <c r="P571" s="5">
        <f t="array" ref="P571">IFERROR(_xlfn.STDEV.S(IF((ContinuousStatsTable[GroupByKey]=ContinuousStatsTable[[#This Row],[GroupByKey]]),(ContinuousStatsTable[GroupByKey]=ContinuousStatsTable[[#This Row],[GroupByKey]])*ContinuousStatsTable[Average])),0)</f>
        <v>4.577377082170635</v>
      </c>
      <c r="Q571" s="5">
        <f t="array" ref="Q571">MAX(IF((ProjectInfoTable[ProjectName]=ContinuousStatsTable[[#This Row],[ProjectName]]),(ProjectInfoTable[ProjectName]=ContinuousStatsTable[[#This Row],[ProjectName]])*ProjectInfoTable[ConfidenceInterval]))</f>
        <v>0.95</v>
      </c>
      <c r="R5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2.5348669368881507</v>
      </c>
      <c r="S571" s="5">
        <f t="array" ref="S571">MIN(IF((ContinuousStatsTable[GroupByKey]=ContinuousStatsTable[[#This Row],[GroupByKey]]),(ContinuousStatsTable[GroupByKey]=ContinuousStatsTable[[#This Row],[GroupByKey]])*ContinuousStatsTable[Average]))</f>
        <v>0</v>
      </c>
      <c r="T571" s="5">
        <f t="array" ref="T571">MAX(IF((ContinuousStatsTable[GroupByKey]=ContinuousStatsTable[[#This Row],[GroupByKey]]),(ContinuousStatsTable[GroupByKey]=ContinuousStatsTable[[#This Row],[GroupByKey]])*ContinuousStatsTable[Average]))</f>
        <v>12</v>
      </c>
      <c r="U571" s="5">
        <f>IF((ContinuousStatsTable[[#This Row],[RepsRequested]]&gt;1),ContinuousStatsTable[[#This Row],[HalfWidth]],ContinuousStatsTable[[#This Row],[BatchMeansHalfWidth]])</f>
        <v>2.5348669368881507</v>
      </c>
    </row>
    <row r="572" spans="1:21" x14ac:dyDescent="0.25">
      <c r="A572" t="s">
        <v>67</v>
      </c>
      <c r="B572" t="s">
        <v>70</v>
      </c>
      <c r="C572">
        <v>13</v>
      </c>
      <c r="D572" t="s">
        <v>87</v>
      </c>
      <c r="E572" t="s">
        <v>84</v>
      </c>
      <c r="F572" t="s">
        <v>85</v>
      </c>
      <c r="G572">
        <v>4</v>
      </c>
      <c r="H572">
        <v>2E+20</v>
      </c>
      <c r="I572">
        <v>4</v>
      </c>
      <c r="J572">
        <v>4</v>
      </c>
      <c r="K572">
        <v>4</v>
      </c>
      <c r="L572">
        <v>0</v>
      </c>
      <c r="M572" s="5" t="str">
        <f>ContinuousStatsTable[[#This Row],[ProjectName]]&amp;ContinuousStatsTable[[#This Row],[Name]]&amp;ContinuousStatsTable[[#This Row],[Type]]&amp;ContinuousStatsTable[[#This Row],[Source]]</f>
        <v>Unnamed Projectmatch_truckcombo.Queue2Number WaitingQueue</v>
      </c>
      <c r="N572" s="5">
        <f t="array" ref="N572">MAX(IF((ProjectInfoTable[ProjectName]=ContinuousStatsTable[[#This Row],[ProjectName]]),(ProjectInfoTable[ProjectName]=ContinuousStatsTable[[#This Row],[ProjectName]])*ProjectInfoTable[NumberOfReplications]))</f>
        <v>15</v>
      </c>
      <c r="O572" s="5">
        <f t="array" ref="O572">IFERROR(AVERAGE(IF((ContinuousStatsTable[GroupByKey]=ContinuousStatsTable[[#This Row],[GroupByKey]]),(ContinuousStatsTable[GroupByKey]=ContinuousStatsTable[[#This Row],[GroupByKey]])*ContinuousStatsTable[Average])),0)</f>
        <v>2.8</v>
      </c>
      <c r="P572" s="5">
        <f t="array" ref="P572">IFERROR(_xlfn.STDEV.S(IF((ContinuousStatsTable[GroupByKey]=ContinuousStatsTable[[#This Row],[GroupByKey]]),(ContinuousStatsTable[GroupByKey]=ContinuousStatsTable[[#This Row],[GroupByKey]])*ContinuousStatsTable[Average])),0)</f>
        <v>5.226307081896902</v>
      </c>
      <c r="Q572" s="5">
        <f t="array" ref="Q572">MAX(IF((ProjectInfoTable[ProjectName]=ContinuousStatsTable[[#This Row],[ProjectName]]),(ProjectInfoTable[ProjectName]=ContinuousStatsTable[[#This Row],[ProjectName]])*ProjectInfoTable[ConfidenceInterval]))</f>
        <v>0.95</v>
      </c>
      <c r="R5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2.8942323925042523</v>
      </c>
      <c r="S572" s="5">
        <f t="array" ref="S572">MIN(IF((ContinuousStatsTable[GroupByKey]=ContinuousStatsTable[[#This Row],[GroupByKey]]),(ContinuousStatsTable[GroupByKey]=ContinuousStatsTable[[#This Row],[GroupByKey]])*ContinuousStatsTable[Average]))</f>
        <v>0</v>
      </c>
      <c r="T572" s="5">
        <f t="array" ref="T572">MAX(IF((ContinuousStatsTable[GroupByKey]=ContinuousStatsTable[[#This Row],[GroupByKey]]),(ContinuousStatsTable[GroupByKey]=ContinuousStatsTable[[#This Row],[GroupByKey]])*ContinuousStatsTable[Average]))</f>
        <v>16</v>
      </c>
      <c r="U572" s="5">
        <f>IF((ContinuousStatsTable[[#This Row],[RepsRequested]]&gt;1),ContinuousStatsTable[[#This Row],[HalfWidth]],ContinuousStatsTable[[#This Row],[BatchMeansHalfWidth]])</f>
        <v>2.8942323925042523</v>
      </c>
    </row>
    <row r="573" spans="1:21" x14ac:dyDescent="0.25">
      <c r="A573" t="s">
        <v>67</v>
      </c>
      <c r="B573" t="s">
        <v>70</v>
      </c>
      <c r="C573">
        <v>13</v>
      </c>
      <c r="D573" t="s">
        <v>88</v>
      </c>
      <c r="E573" t="s">
        <v>72</v>
      </c>
      <c r="F573" t="s">
        <v>73</v>
      </c>
      <c r="G573">
        <v>0</v>
      </c>
      <c r="H573">
        <v>2E+20</v>
      </c>
      <c r="I573">
        <v>0</v>
      </c>
      <c r="J573">
        <v>0</v>
      </c>
      <c r="K573">
        <v>0</v>
      </c>
      <c r="L573">
        <v>0</v>
      </c>
      <c r="M573" s="5" t="str">
        <f>ContinuousStatsTable[[#This Row],[ProjectName]]&amp;ContinuousStatsTable[[#This Row],[Name]]&amp;ContinuousStatsTable[[#This Row],[Type]]&amp;ContinuousStatsTable[[#This Row],[Source]]</f>
        <v>Unnamed ProjectpaintingmachineInstantaneous UtilizationResource</v>
      </c>
      <c r="N573" s="5">
        <f t="array" ref="N573">MAX(IF((ProjectInfoTable[ProjectName]=ContinuousStatsTable[[#This Row],[ProjectName]]),(ProjectInfoTable[ProjectName]=ContinuousStatsTable[[#This Row],[ProjectName]])*ProjectInfoTable[NumberOfReplications]))</f>
        <v>15</v>
      </c>
      <c r="O573" s="5">
        <f t="array" ref="O573">IFERROR(AVERAGE(IF((ContinuousStatsTable[GroupByKey]=ContinuousStatsTable[[#This Row],[GroupByKey]]),(ContinuousStatsTable[GroupByKey]=ContinuousStatsTable[[#This Row],[GroupByKey]])*ContinuousStatsTable[Average])),0)</f>
        <v>0</v>
      </c>
      <c r="P573" s="5">
        <f t="array" ref="P573">IFERROR(_xlfn.STDEV.S(IF((ContinuousStatsTable[GroupByKey]=ContinuousStatsTable[[#This Row],[GroupByKey]]),(ContinuousStatsTable[GroupByKey]=ContinuousStatsTable[[#This Row],[GroupByKey]])*ContinuousStatsTable[Average])),0)</f>
        <v>0</v>
      </c>
      <c r="Q573" s="5">
        <f t="array" ref="Q573">MAX(IF((ProjectInfoTable[ProjectName]=ContinuousStatsTable[[#This Row],[ProjectName]]),(ProjectInfoTable[ProjectName]=ContinuousStatsTable[[#This Row],[ProjectName]])*ProjectInfoTable[ConfidenceInterval]))</f>
        <v>0.95</v>
      </c>
      <c r="R5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3" s="5">
        <f t="array" ref="S573">MIN(IF((ContinuousStatsTable[GroupByKey]=ContinuousStatsTable[[#This Row],[GroupByKey]]),(ContinuousStatsTable[GroupByKey]=ContinuousStatsTable[[#This Row],[GroupByKey]])*ContinuousStatsTable[Average]))</f>
        <v>0</v>
      </c>
      <c r="T573" s="5">
        <f t="array" ref="T573">MAX(IF((ContinuousStatsTable[GroupByKey]=ContinuousStatsTable[[#This Row],[GroupByKey]]),(ContinuousStatsTable[GroupByKey]=ContinuousStatsTable[[#This Row],[GroupByKey]])*ContinuousStatsTable[Average]))</f>
        <v>0</v>
      </c>
      <c r="U573" s="5">
        <f>IF((ContinuousStatsTable[[#This Row],[RepsRequested]]&gt;1),ContinuousStatsTable[[#This Row],[HalfWidth]],ContinuousStatsTable[[#This Row],[BatchMeansHalfWidth]])</f>
        <v>0</v>
      </c>
    </row>
    <row r="574" spans="1:21" x14ac:dyDescent="0.25">
      <c r="A574" t="s">
        <v>67</v>
      </c>
      <c r="B574" t="s">
        <v>70</v>
      </c>
      <c r="C574">
        <v>13</v>
      </c>
      <c r="D574" t="s">
        <v>88</v>
      </c>
      <c r="E574" t="s">
        <v>74</v>
      </c>
      <c r="F574" t="s">
        <v>73</v>
      </c>
      <c r="G574">
        <v>0</v>
      </c>
      <c r="H574">
        <v>2E+20</v>
      </c>
      <c r="I574">
        <v>0</v>
      </c>
      <c r="J574">
        <v>0</v>
      </c>
      <c r="K574">
        <v>0</v>
      </c>
      <c r="L574">
        <v>0</v>
      </c>
      <c r="M574" s="5" t="str">
        <f>ContinuousStatsTable[[#This Row],[ProjectName]]&amp;ContinuousStatsTable[[#This Row],[Name]]&amp;ContinuousStatsTable[[#This Row],[Type]]&amp;ContinuousStatsTable[[#This Row],[Source]]</f>
        <v>Unnamed ProjectpaintingmachineNumber BusyResource</v>
      </c>
      <c r="N574" s="5">
        <f t="array" ref="N574">MAX(IF((ProjectInfoTable[ProjectName]=ContinuousStatsTable[[#This Row],[ProjectName]]),(ProjectInfoTable[ProjectName]=ContinuousStatsTable[[#This Row],[ProjectName]])*ProjectInfoTable[NumberOfReplications]))</f>
        <v>15</v>
      </c>
      <c r="O574" s="5">
        <f t="array" ref="O574">IFERROR(AVERAGE(IF((ContinuousStatsTable[GroupByKey]=ContinuousStatsTable[[#This Row],[GroupByKey]]),(ContinuousStatsTable[GroupByKey]=ContinuousStatsTable[[#This Row],[GroupByKey]])*ContinuousStatsTable[Average])),0)</f>
        <v>0</v>
      </c>
      <c r="P574" s="5">
        <f t="array" ref="P574">IFERROR(_xlfn.STDEV.S(IF((ContinuousStatsTable[GroupByKey]=ContinuousStatsTable[[#This Row],[GroupByKey]]),(ContinuousStatsTable[GroupByKey]=ContinuousStatsTable[[#This Row],[GroupByKey]])*ContinuousStatsTable[Average])),0)</f>
        <v>0</v>
      </c>
      <c r="Q574" s="5">
        <f t="array" ref="Q574">MAX(IF((ProjectInfoTable[ProjectName]=ContinuousStatsTable[[#This Row],[ProjectName]]),(ProjectInfoTable[ProjectName]=ContinuousStatsTable[[#This Row],[ProjectName]])*ProjectInfoTable[ConfidenceInterval]))</f>
        <v>0.95</v>
      </c>
      <c r="R5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4" s="5">
        <f t="array" ref="S574">MIN(IF((ContinuousStatsTable[GroupByKey]=ContinuousStatsTable[[#This Row],[GroupByKey]]),(ContinuousStatsTable[GroupByKey]=ContinuousStatsTable[[#This Row],[GroupByKey]])*ContinuousStatsTable[Average]))</f>
        <v>0</v>
      </c>
      <c r="T574" s="5">
        <f t="array" ref="T574">MAX(IF((ContinuousStatsTable[GroupByKey]=ContinuousStatsTable[[#This Row],[GroupByKey]]),(ContinuousStatsTable[GroupByKey]=ContinuousStatsTable[[#This Row],[GroupByKey]])*ContinuousStatsTable[Average]))</f>
        <v>0</v>
      </c>
      <c r="U574" s="5">
        <f>IF((ContinuousStatsTable[[#This Row],[RepsRequested]]&gt;1),ContinuousStatsTable[[#This Row],[HalfWidth]],ContinuousStatsTable[[#This Row],[BatchMeansHalfWidth]])</f>
        <v>0</v>
      </c>
    </row>
    <row r="575" spans="1:21" x14ac:dyDescent="0.25">
      <c r="A575" t="s">
        <v>67</v>
      </c>
      <c r="B575" t="s">
        <v>70</v>
      </c>
      <c r="C575">
        <v>13</v>
      </c>
      <c r="D575" t="s">
        <v>88</v>
      </c>
      <c r="E575" t="s">
        <v>75</v>
      </c>
      <c r="F575" t="s">
        <v>73</v>
      </c>
      <c r="G575">
        <v>1</v>
      </c>
      <c r="H575">
        <v>2E+20</v>
      </c>
      <c r="I575">
        <v>1</v>
      </c>
      <c r="J575">
        <v>1</v>
      </c>
      <c r="K575">
        <v>1</v>
      </c>
      <c r="L575">
        <v>0</v>
      </c>
      <c r="M575" s="5" t="str">
        <f>ContinuousStatsTable[[#This Row],[ProjectName]]&amp;ContinuousStatsTable[[#This Row],[Name]]&amp;ContinuousStatsTable[[#This Row],[Type]]&amp;ContinuousStatsTable[[#This Row],[Source]]</f>
        <v>Unnamed ProjectpaintingmachineNumber ScheduledResource</v>
      </c>
      <c r="N575" s="5">
        <f t="array" ref="N575">MAX(IF((ProjectInfoTable[ProjectName]=ContinuousStatsTable[[#This Row],[ProjectName]]),(ProjectInfoTable[ProjectName]=ContinuousStatsTable[[#This Row],[ProjectName]])*ProjectInfoTable[NumberOfReplications]))</f>
        <v>15</v>
      </c>
      <c r="O575" s="5">
        <f t="array" ref="O575">IFERROR(AVERAGE(IF((ContinuousStatsTable[GroupByKey]=ContinuousStatsTable[[#This Row],[GroupByKey]]),(ContinuousStatsTable[GroupByKey]=ContinuousStatsTable[[#This Row],[GroupByKey]])*ContinuousStatsTable[Average])),0)</f>
        <v>1</v>
      </c>
      <c r="P575" s="5">
        <f t="array" ref="P575">IFERROR(_xlfn.STDEV.S(IF((ContinuousStatsTable[GroupByKey]=ContinuousStatsTable[[#This Row],[GroupByKey]]),(ContinuousStatsTable[GroupByKey]=ContinuousStatsTable[[#This Row],[GroupByKey]])*ContinuousStatsTable[Average])),0)</f>
        <v>0</v>
      </c>
      <c r="Q575" s="5">
        <f t="array" ref="Q575">MAX(IF((ProjectInfoTable[ProjectName]=ContinuousStatsTable[[#This Row],[ProjectName]]),(ProjectInfoTable[ProjectName]=ContinuousStatsTable[[#This Row],[ProjectName]])*ProjectInfoTable[ConfidenceInterval]))</f>
        <v>0.95</v>
      </c>
      <c r="R5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5" s="5">
        <f t="array" ref="S575">MIN(IF((ContinuousStatsTable[GroupByKey]=ContinuousStatsTable[[#This Row],[GroupByKey]]),(ContinuousStatsTable[GroupByKey]=ContinuousStatsTable[[#This Row],[GroupByKey]])*ContinuousStatsTable[Average]))</f>
        <v>1</v>
      </c>
      <c r="T575" s="5">
        <f t="array" ref="T575">MAX(IF((ContinuousStatsTable[GroupByKey]=ContinuousStatsTable[[#This Row],[GroupByKey]]),(ContinuousStatsTable[GroupByKey]=ContinuousStatsTable[[#This Row],[GroupByKey]])*ContinuousStatsTable[Average]))</f>
        <v>1</v>
      </c>
      <c r="U575" s="5">
        <f>IF((ContinuousStatsTable[[#This Row],[RepsRequested]]&gt;1),ContinuousStatsTable[[#This Row],[HalfWidth]],ContinuousStatsTable[[#This Row],[BatchMeansHalfWidth]])</f>
        <v>0</v>
      </c>
    </row>
    <row r="576" spans="1:21" x14ac:dyDescent="0.25">
      <c r="A576" t="s">
        <v>67</v>
      </c>
      <c r="B576" t="s">
        <v>70</v>
      </c>
      <c r="C576">
        <v>13</v>
      </c>
      <c r="D576" t="s">
        <v>89</v>
      </c>
      <c r="E576" t="s">
        <v>72</v>
      </c>
      <c r="F576" t="s">
        <v>73</v>
      </c>
      <c r="G576">
        <v>0</v>
      </c>
      <c r="H576">
        <v>2E+20</v>
      </c>
      <c r="I576">
        <v>0</v>
      </c>
      <c r="J576">
        <v>0</v>
      </c>
      <c r="K576">
        <v>0</v>
      </c>
      <c r="L576">
        <v>0</v>
      </c>
      <c r="M576" s="5" t="str">
        <f>ContinuousStatsTable[[#This Row],[ProjectName]]&amp;ContinuousStatsTable[[#This Row],[Name]]&amp;ContinuousStatsTable[[#This Row],[Type]]&amp;ContinuousStatsTable[[#This Row],[Source]]</f>
        <v>Unnamed ProjectpaintingoperatorInstantaneous UtilizationResource</v>
      </c>
      <c r="N576" s="5">
        <f t="array" ref="N576">MAX(IF((ProjectInfoTable[ProjectName]=ContinuousStatsTable[[#This Row],[ProjectName]]),(ProjectInfoTable[ProjectName]=ContinuousStatsTable[[#This Row],[ProjectName]])*ProjectInfoTable[NumberOfReplications]))</f>
        <v>15</v>
      </c>
      <c r="O576" s="5">
        <f t="array" ref="O576">IFERROR(AVERAGE(IF((ContinuousStatsTable[GroupByKey]=ContinuousStatsTable[[#This Row],[GroupByKey]]),(ContinuousStatsTable[GroupByKey]=ContinuousStatsTable[[#This Row],[GroupByKey]])*ContinuousStatsTable[Average])),0)</f>
        <v>0</v>
      </c>
      <c r="P576" s="5">
        <f t="array" ref="P576">IFERROR(_xlfn.STDEV.S(IF((ContinuousStatsTable[GroupByKey]=ContinuousStatsTable[[#This Row],[GroupByKey]]),(ContinuousStatsTable[GroupByKey]=ContinuousStatsTable[[#This Row],[GroupByKey]])*ContinuousStatsTable[Average])),0)</f>
        <v>0</v>
      </c>
      <c r="Q576" s="5">
        <f t="array" ref="Q576">MAX(IF((ProjectInfoTable[ProjectName]=ContinuousStatsTable[[#This Row],[ProjectName]]),(ProjectInfoTable[ProjectName]=ContinuousStatsTable[[#This Row],[ProjectName]])*ProjectInfoTable[ConfidenceInterval]))</f>
        <v>0.95</v>
      </c>
      <c r="R5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6" s="5">
        <f t="array" ref="S576">MIN(IF((ContinuousStatsTable[GroupByKey]=ContinuousStatsTable[[#This Row],[GroupByKey]]),(ContinuousStatsTable[GroupByKey]=ContinuousStatsTable[[#This Row],[GroupByKey]])*ContinuousStatsTable[Average]))</f>
        <v>0</v>
      </c>
      <c r="T576" s="5">
        <f t="array" ref="T576">MAX(IF((ContinuousStatsTable[GroupByKey]=ContinuousStatsTable[[#This Row],[GroupByKey]]),(ContinuousStatsTable[GroupByKey]=ContinuousStatsTable[[#This Row],[GroupByKey]])*ContinuousStatsTable[Average]))</f>
        <v>0</v>
      </c>
      <c r="U576" s="5">
        <f>IF((ContinuousStatsTable[[#This Row],[RepsRequested]]&gt;1),ContinuousStatsTable[[#This Row],[HalfWidth]],ContinuousStatsTable[[#This Row],[BatchMeansHalfWidth]])</f>
        <v>0</v>
      </c>
    </row>
    <row r="577" spans="1:21" x14ac:dyDescent="0.25">
      <c r="A577" t="s">
        <v>67</v>
      </c>
      <c r="B577" t="s">
        <v>70</v>
      </c>
      <c r="C577">
        <v>13</v>
      </c>
      <c r="D577" t="s">
        <v>89</v>
      </c>
      <c r="E577" t="s">
        <v>74</v>
      </c>
      <c r="F577" t="s">
        <v>73</v>
      </c>
      <c r="G577">
        <v>0</v>
      </c>
      <c r="H577">
        <v>2E+20</v>
      </c>
      <c r="I577">
        <v>0</v>
      </c>
      <c r="J577">
        <v>0</v>
      </c>
      <c r="K577">
        <v>0</v>
      </c>
      <c r="L577">
        <v>0</v>
      </c>
      <c r="M577" s="5" t="str">
        <f>ContinuousStatsTable[[#This Row],[ProjectName]]&amp;ContinuousStatsTable[[#This Row],[Name]]&amp;ContinuousStatsTable[[#This Row],[Type]]&amp;ContinuousStatsTable[[#This Row],[Source]]</f>
        <v>Unnamed ProjectpaintingoperatorNumber BusyResource</v>
      </c>
      <c r="N577" s="5">
        <f t="array" ref="N577">MAX(IF((ProjectInfoTable[ProjectName]=ContinuousStatsTable[[#This Row],[ProjectName]]),(ProjectInfoTable[ProjectName]=ContinuousStatsTable[[#This Row],[ProjectName]])*ProjectInfoTable[NumberOfReplications]))</f>
        <v>15</v>
      </c>
      <c r="O577" s="5">
        <f t="array" ref="O577">IFERROR(AVERAGE(IF((ContinuousStatsTable[GroupByKey]=ContinuousStatsTable[[#This Row],[GroupByKey]]),(ContinuousStatsTable[GroupByKey]=ContinuousStatsTable[[#This Row],[GroupByKey]])*ContinuousStatsTable[Average])),0)</f>
        <v>0</v>
      </c>
      <c r="P577" s="5">
        <f t="array" ref="P577">IFERROR(_xlfn.STDEV.S(IF((ContinuousStatsTable[GroupByKey]=ContinuousStatsTable[[#This Row],[GroupByKey]]),(ContinuousStatsTable[GroupByKey]=ContinuousStatsTable[[#This Row],[GroupByKey]])*ContinuousStatsTable[Average])),0)</f>
        <v>0</v>
      </c>
      <c r="Q577" s="5">
        <f t="array" ref="Q577">MAX(IF((ProjectInfoTable[ProjectName]=ContinuousStatsTable[[#This Row],[ProjectName]]),(ProjectInfoTable[ProjectName]=ContinuousStatsTable[[#This Row],[ProjectName]])*ProjectInfoTable[ConfidenceInterval]))</f>
        <v>0.95</v>
      </c>
      <c r="R5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7" s="5">
        <f t="array" ref="S577">MIN(IF((ContinuousStatsTable[GroupByKey]=ContinuousStatsTable[[#This Row],[GroupByKey]]),(ContinuousStatsTable[GroupByKey]=ContinuousStatsTable[[#This Row],[GroupByKey]])*ContinuousStatsTable[Average]))</f>
        <v>0</v>
      </c>
      <c r="T577" s="5">
        <f t="array" ref="T577">MAX(IF((ContinuousStatsTable[GroupByKey]=ContinuousStatsTable[[#This Row],[GroupByKey]]),(ContinuousStatsTable[GroupByKey]=ContinuousStatsTable[[#This Row],[GroupByKey]])*ContinuousStatsTable[Average]))</f>
        <v>0</v>
      </c>
      <c r="U577" s="5">
        <f>IF((ContinuousStatsTable[[#This Row],[RepsRequested]]&gt;1),ContinuousStatsTable[[#This Row],[HalfWidth]],ContinuousStatsTable[[#This Row],[BatchMeansHalfWidth]])</f>
        <v>0</v>
      </c>
    </row>
    <row r="578" spans="1:21" x14ac:dyDescent="0.25">
      <c r="A578" t="s">
        <v>67</v>
      </c>
      <c r="B578" t="s">
        <v>70</v>
      </c>
      <c r="C578">
        <v>13</v>
      </c>
      <c r="D578" t="s">
        <v>89</v>
      </c>
      <c r="E578" t="s">
        <v>75</v>
      </c>
      <c r="F578" t="s">
        <v>73</v>
      </c>
      <c r="G578">
        <v>1.5834999999999999</v>
      </c>
      <c r="H578">
        <v>3E+20</v>
      </c>
      <c r="I578">
        <v>1</v>
      </c>
      <c r="J578">
        <v>2</v>
      </c>
      <c r="K578">
        <v>2</v>
      </c>
      <c r="L578">
        <v>0</v>
      </c>
      <c r="M578" s="5" t="str">
        <f>ContinuousStatsTable[[#This Row],[ProjectName]]&amp;ContinuousStatsTable[[#This Row],[Name]]&amp;ContinuousStatsTable[[#This Row],[Type]]&amp;ContinuousStatsTable[[#This Row],[Source]]</f>
        <v>Unnamed ProjectpaintingoperatorNumber ScheduledResource</v>
      </c>
      <c r="N578" s="5">
        <f t="array" ref="N578">MAX(IF((ProjectInfoTable[ProjectName]=ContinuousStatsTable[[#This Row],[ProjectName]]),(ProjectInfoTable[ProjectName]=ContinuousStatsTable[[#This Row],[ProjectName]])*ProjectInfoTable[NumberOfReplications]))</f>
        <v>15</v>
      </c>
      <c r="O578" s="5">
        <f t="array" ref="O578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578" s="5">
        <f t="array" ref="P578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578" s="5">
        <f t="array" ref="Q578">MAX(IF((ProjectInfoTable[ProjectName]=ContinuousStatsTable[[#This Row],[ProjectName]]),(ProjectInfoTable[ProjectName]=ContinuousStatsTable[[#This Row],[ProjectName]])*ProjectInfoTable[ConfidenceInterval]))</f>
        <v>0.95</v>
      </c>
      <c r="R5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578" s="5">
        <f t="array" ref="S578">MIN(IF((ContinuousStatsTable[GroupByKey]=ContinuousStatsTable[[#This Row],[GroupByKey]]),(ContinuousStatsTable[GroupByKey]=ContinuousStatsTable[[#This Row],[GroupByKey]])*ContinuousStatsTable[Average]))</f>
        <v>1</v>
      </c>
      <c r="T578" s="5">
        <f t="array" ref="T578">MAX(IF((ContinuousStatsTable[GroupByKey]=ContinuousStatsTable[[#This Row],[GroupByKey]]),(ContinuousStatsTable[GroupByKey]=ContinuousStatsTable[[#This Row],[GroupByKey]])*ContinuousStatsTable[Average]))</f>
        <v>2</v>
      </c>
      <c r="U578" s="5">
        <f>IF((ContinuousStatsTable[[#This Row],[RepsRequested]]&gt;1),ContinuousStatsTable[[#This Row],[HalfWidth]],ContinuousStatsTable[[#This Row],[BatchMeansHalfWidth]])</f>
        <v>0.13376733135491528</v>
      </c>
    </row>
    <row r="579" spans="1:21" x14ac:dyDescent="0.25">
      <c r="A579" t="s">
        <v>67</v>
      </c>
      <c r="B579" t="s">
        <v>70</v>
      </c>
      <c r="C579">
        <v>13</v>
      </c>
      <c r="D579" t="s">
        <v>90</v>
      </c>
      <c r="E579" t="s">
        <v>72</v>
      </c>
      <c r="F579" t="s">
        <v>73</v>
      </c>
      <c r="G579">
        <v>0</v>
      </c>
      <c r="H579">
        <v>2E+20</v>
      </c>
      <c r="I579">
        <v>0</v>
      </c>
      <c r="J579">
        <v>0</v>
      </c>
      <c r="K579">
        <v>0</v>
      </c>
      <c r="L579">
        <v>0</v>
      </c>
      <c r="M579" s="5" t="str">
        <f>ContinuousStatsTable[[#This Row],[ProjectName]]&amp;ContinuousStatsTable[[#This Row],[Name]]&amp;ContinuousStatsTable[[#This Row],[Type]]&amp;ContinuousStatsTable[[#This Row],[Source]]</f>
        <v>Unnamed ProjectsandblastmachineInstantaneous UtilizationResource</v>
      </c>
      <c r="N579" s="5">
        <f t="array" ref="N579">MAX(IF((ProjectInfoTable[ProjectName]=ContinuousStatsTable[[#This Row],[ProjectName]]),(ProjectInfoTable[ProjectName]=ContinuousStatsTable[[#This Row],[ProjectName]])*ProjectInfoTable[NumberOfReplications]))</f>
        <v>15</v>
      </c>
      <c r="O579" s="5">
        <f t="array" ref="O579">IFERROR(AVERAGE(IF((ContinuousStatsTable[GroupByKey]=ContinuousStatsTable[[#This Row],[GroupByKey]]),(ContinuousStatsTable[GroupByKey]=ContinuousStatsTable[[#This Row],[GroupByKey]])*ContinuousStatsTable[Average])),0)</f>
        <v>0</v>
      </c>
      <c r="P579" s="5">
        <f t="array" ref="P579">IFERROR(_xlfn.STDEV.S(IF((ContinuousStatsTable[GroupByKey]=ContinuousStatsTable[[#This Row],[GroupByKey]]),(ContinuousStatsTable[GroupByKey]=ContinuousStatsTable[[#This Row],[GroupByKey]])*ContinuousStatsTable[Average])),0)</f>
        <v>0</v>
      </c>
      <c r="Q579" s="5">
        <f t="array" ref="Q579">MAX(IF((ProjectInfoTable[ProjectName]=ContinuousStatsTable[[#This Row],[ProjectName]]),(ProjectInfoTable[ProjectName]=ContinuousStatsTable[[#This Row],[ProjectName]])*ProjectInfoTable[ConfidenceInterval]))</f>
        <v>0.95</v>
      </c>
      <c r="R5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9" s="5">
        <f t="array" ref="S579">MIN(IF((ContinuousStatsTable[GroupByKey]=ContinuousStatsTable[[#This Row],[GroupByKey]]),(ContinuousStatsTable[GroupByKey]=ContinuousStatsTable[[#This Row],[GroupByKey]])*ContinuousStatsTable[Average]))</f>
        <v>0</v>
      </c>
      <c r="T579" s="5">
        <f t="array" ref="T579">MAX(IF((ContinuousStatsTable[GroupByKey]=ContinuousStatsTable[[#This Row],[GroupByKey]]),(ContinuousStatsTable[GroupByKey]=ContinuousStatsTable[[#This Row],[GroupByKey]])*ContinuousStatsTable[Average]))</f>
        <v>0</v>
      </c>
      <c r="U579" s="5">
        <f>IF((ContinuousStatsTable[[#This Row],[RepsRequested]]&gt;1),ContinuousStatsTable[[#This Row],[HalfWidth]],ContinuousStatsTable[[#This Row],[BatchMeansHalfWidth]])</f>
        <v>0</v>
      </c>
    </row>
    <row r="580" spans="1:21" x14ac:dyDescent="0.25">
      <c r="A580" t="s">
        <v>67</v>
      </c>
      <c r="B580" t="s">
        <v>70</v>
      </c>
      <c r="C580">
        <v>13</v>
      </c>
      <c r="D580" t="s">
        <v>90</v>
      </c>
      <c r="E580" t="s">
        <v>74</v>
      </c>
      <c r="F580" t="s">
        <v>73</v>
      </c>
      <c r="G580">
        <v>0</v>
      </c>
      <c r="H580">
        <v>2E+20</v>
      </c>
      <c r="I580">
        <v>0</v>
      </c>
      <c r="J580">
        <v>0</v>
      </c>
      <c r="K580">
        <v>0</v>
      </c>
      <c r="L580">
        <v>0</v>
      </c>
      <c r="M580" s="5" t="str">
        <f>ContinuousStatsTable[[#This Row],[ProjectName]]&amp;ContinuousStatsTable[[#This Row],[Name]]&amp;ContinuousStatsTable[[#This Row],[Type]]&amp;ContinuousStatsTable[[#This Row],[Source]]</f>
        <v>Unnamed ProjectsandblastmachineNumber BusyResource</v>
      </c>
      <c r="N580" s="5">
        <f t="array" ref="N580">MAX(IF((ProjectInfoTable[ProjectName]=ContinuousStatsTable[[#This Row],[ProjectName]]),(ProjectInfoTable[ProjectName]=ContinuousStatsTable[[#This Row],[ProjectName]])*ProjectInfoTable[NumberOfReplications]))</f>
        <v>15</v>
      </c>
      <c r="O580" s="5">
        <f t="array" ref="O580">IFERROR(AVERAGE(IF((ContinuousStatsTable[GroupByKey]=ContinuousStatsTable[[#This Row],[GroupByKey]]),(ContinuousStatsTable[GroupByKey]=ContinuousStatsTable[[#This Row],[GroupByKey]])*ContinuousStatsTable[Average])),0)</f>
        <v>0</v>
      </c>
      <c r="P580" s="5">
        <f t="array" ref="P580">IFERROR(_xlfn.STDEV.S(IF((ContinuousStatsTable[GroupByKey]=ContinuousStatsTable[[#This Row],[GroupByKey]]),(ContinuousStatsTable[GroupByKey]=ContinuousStatsTable[[#This Row],[GroupByKey]])*ContinuousStatsTable[Average])),0)</f>
        <v>0</v>
      </c>
      <c r="Q580" s="5">
        <f t="array" ref="Q580">MAX(IF((ProjectInfoTable[ProjectName]=ContinuousStatsTable[[#This Row],[ProjectName]]),(ProjectInfoTable[ProjectName]=ContinuousStatsTable[[#This Row],[ProjectName]])*ProjectInfoTable[ConfidenceInterval]))</f>
        <v>0.95</v>
      </c>
      <c r="R5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0" s="5">
        <f t="array" ref="S580">MIN(IF((ContinuousStatsTable[GroupByKey]=ContinuousStatsTable[[#This Row],[GroupByKey]]),(ContinuousStatsTable[GroupByKey]=ContinuousStatsTable[[#This Row],[GroupByKey]])*ContinuousStatsTable[Average]))</f>
        <v>0</v>
      </c>
      <c r="T580" s="5">
        <f t="array" ref="T580">MAX(IF((ContinuousStatsTable[GroupByKey]=ContinuousStatsTable[[#This Row],[GroupByKey]]),(ContinuousStatsTable[GroupByKey]=ContinuousStatsTable[[#This Row],[GroupByKey]])*ContinuousStatsTable[Average]))</f>
        <v>0</v>
      </c>
      <c r="U580" s="5">
        <f>IF((ContinuousStatsTable[[#This Row],[RepsRequested]]&gt;1),ContinuousStatsTable[[#This Row],[HalfWidth]],ContinuousStatsTable[[#This Row],[BatchMeansHalfWidth]])</f>
        <v>0</v>
      </c>
    </row>
    <row r="581" spans="1:21" x14ac:dyDescent="0.25">
      <c r="A581" t="s">
        <v>67</v>
      </c>
      <c r="B581" t="s">
        <v>70</v>
      </c>
      <c r="C581">
        <v>13</v>
      </c>
      <c r="D581" t="s">
        <v>90</v>
      </c>
      <c r="E581" t="s">
        <v>75</v>
      </c>
      <c r="F581" t="s">
        <v>73</v>
      </c>
      <c r="G581">
        <v>1</v>
      </c>
      <c r="H581">
        <v>2E+20</v>
      </c>
      <c r="I581">
        <v>1</v>
      </c>
      <c r="J581">
        <v>1</v>
      </c>
      <c r="K581">
        <v>1</v>
      </c>
      <c r="L581">
        <v>0</v>
      </c>
      <c r="M581" s="5" t="str">
        <f>ContinuousStatsTable[[#This Row],[ProjectName]]&amp;ContinuousStatsTable[[#This Row],[Name]]&amp;ContinuousStatsTable[[#This Row],[Type]]&amp;ContinuousStatsTable[[#This Row],[Source]]</f>
        <v>Unnamed ProjectsandblastmachineNumber ScheduledResource</v>
      </c>
      <c r="N581" s="5">
        <f t="array" ref="N581">MAX(IF((ProjectInfoTable[ProjectName]=ContinuousStatsTable[[#This Row],[ProjectName]]),(ProjectInfoTable[ProjectName]=ContinuousStatsTable[[#This Row],[ProjectName]])*ProjectInfoTable[NumberOfReplications]))</f>
        <v>15</v>
      </c>
      <c r="O581" s="5">
        <f t="array" ref="O581">IFERROR(AVERAGE(IF((ContinuousStatsTable[GroupByKey]=ContinuousStatsTable[[#This Row],[GroupByKey]]),(ContinuousStatsTable[GroupByKey]=ContinuousStatsTable[[#This Row],[GroupByKey]])*ContinuousStatsTable[Average])),0)</f>
        <v>1</v>
      </c>
      <c r="P581" s="5">
        <f t="array" ref="P581">IFERROR(_xlfn.STDEV.S(IF((ContinuousStatsTable[GroupByKey]=ContinuousStatsTable[[#This Row],[GroupByKey]]),(ContinuousStatsTable[GroupByKey]=ContinuousStatsTable[[#This Row],[GroupByKey]])*ContinuousStatsTable[Average])),0)</f>
        <v>0</v>
      </c>
      <c r="Q581" s="5">
        <f t="array" ref="Q581">MAX(IF((ProjectInfoTable[ProjectName]=ContinuousStatsTable[[#This Row],[ProjectName]]),(ProjectInfoTable[ProjectName]=ContinuousStatsTable[[#This Row],[ProjectName]])*ProjectInfoTable[ConfidenceInterval]))</f>
        <v>0.95</v>
      </c>
      <c r="R5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1" s="5">
        <f t="array" ref="S581">MIN(IF((ContinuousStatsTable[GroupByKey]=ContinuousStatsTable[[#This Row],[GroupByKey]]),(ContinuousStatsTable[GroupByKey]=ContinuousStatsTable[[#This Row],[GroupByKey]])*ContinuousStatsTable[Average]))</f>
        <v>1</v>
      </c>
      <c r="T581" s="5">
        <f t="array" ref="T581">MAX(IF((ContinuousStatsTable[GroupByKey]=ContinuousStatsTable[[#This Row],[GroupByKey]]),(ContinuousStatsTable[GroupByKey]=ContinuousStatsTable[[#This Row],[GroupByKey]])*ContinuousStatsTable[Average]))</f>
        <v>1</v>
      </c>
      <c r="U581" s="5">
        <f>IF((ContinuousStatsTable[[#This Row],[RepsRequested]]&gt;1),ContinuousStatsTable[[#This Row],[HalfWidth]],ContinuousStatsTable[[#This Row],[BatchMeansHalfWidth]])</f>
        <v>0</v>
      </c>
    </row>
    <row r="582" spans="1:21" x14ac:dyDescent="0.25">
      <c r="A582" t="s">
        <v>67</v>
      </c>
      <c r="B582" t="s">
        <v>70</v>
      </c>
      <c r="C582">
        <v>13</v>
      </c>
      <c r="D582" t="s">
        <v>91</v>
      </c>
      <c r="E582" t="s">
        <v>72</v>
      </c>
      <c r="F582" t="s">
        <v>73</v>
      </c>
      <c r="G582">
        <v>0</v>
      </c>
      <c r="H582">
        <v>2E+20</v>
      </c>
      <c r="I582">
        <v>0</v>
      </c>
      <c r="J582">
        <v>0</v>
      </c>
      <c r="K582">
        <v>0</v>
      </c>
      <c r="L582">
        <v>0</v>
      </c>
      <c r="M582" s="5" t="str">
        <f>ContinuousStatsTable[[#This Row],[ProjectName]]&amp;ContinuousStatsTable[[#This Row],[Name]]&amp;ContinuousStatsTable[[#This Row],[Type]]&amp;ContinuousStatsTable[[#This Row],[Source]]</f>
        <v>Unnamed ProjectsandblastoperatorInstantaneous UtilizationResource</v>
      </c>
      <c r="N582" s="5">
        <f t="array" ref="N582">MAX(IF((ProjectInfoTable[ProjectName]=ContinuousStatsTable[[#This Row],[ProjectName]]),(ProjectInfoTable[ProjectName]=ContinuousStatsTable[[#This Row],[ProjectName]])*ProjectInfoTable[NumberOfReplications]))</f>
        <v>15</v>
      </c>
      <c r="O582" s="5">
        <f t="array" ref="O582">IFERROR(AVERAGE(IF((ContinuousStatsTable[GroupByKey]=ContinuousStatsTable[[#This Row],[GroupByKey]]),(ContinuousStatsTable[GroupByKey]=ContinuousStatsTable[[#This Row],[GroupByKey]])*ContinuousStatsTable[Average])),0)</f>
        <v>0</v>
      </c>
      <c r="P582" s="5">
        <f t="array" ref="P582">IFERROR(_xlfn.STDEV.S(IF((ContinuousStatsTable[GroupByKey]=ContinuousStatsTable[[#This Row],[GroupByKey]]),(ContinuousStatsTable[GroupByKey]=ContinuousStatsTable[[#This Row],[GroupByKey]])*ContinuousStatsTable[Average])),0)</f>
        <v>0</v>
      </c>
      <c r="Q582" s="5">
        <f t="array" ref="Q582">MAX(IF((ProjectInfoTable[ProjectName]=ContinuousStatsTable[[#This Row],[ProjectName]]),(ProjectInfoTable[ProjectName]=ContinuousStatsTable[[#This Row],[ProjectName]])*ProjectInfoTable[ConfidenceInterval]))</f>
        <v>0.95</v>
      </c>
      <c r="R5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2" s="5">
        <f t="array" ref="S582">MIN(IF((ContinuousStatsTable[GroupByKey]=ContinuousStatsTable[[#This Row],[GroupByKey]]),(ContinuousStatsTable[GroupByKey]=ContinuousStatsTable[[#This Row],[GroupByKey]])*ContinuousStatsTable[Average]))</f>
        <v>0</v>
      </c>
      <c r="T582" s="5">
        <f t="array" ref="T582">MAX(IF((ContinuousStatsTable[GroupByKey]=ContinuousStatsTable[[#This Row],[GroupByKey]]),(ContinuousStatsTable[GroupByKey]=ContinuousStatsTable[[#This Row],[GroupByKey]])*ContinuousStatsTable[Average]))</f>
        <v>0</v>
      </c>
      <c r="U582" s="5">
        <f>IF((ContinuousStatsTable[[#This Row],[RepsRequested]]&gt;1),ContinuousStatsTable[[#This Row],[HalfWidth]],ContinuousStatsTable[[#This Row],[BatchMeansHalfWidth]])</f>
        <v>0</v>
      </c>
    </row>
    <row r="583" spans="1:21" x14ac:dyDescent="0.25">
      <c r="A583" t="s">
        <v>67</v>
      </c>
      <c r="B583" t="s">
        <v>70</v>
      </c>
      <c r="C583">
        <v>13</v>
      </c>
      <c r="D583" t="s">
        <v>91</v>
      </c>
      <c r="E583" t="s">
        <v>74</v>
      </c>
      <c r="F583" t="s">
        <v>73</v>
      </c>
      <c r="G583">
        <v>0</v>
      </c>
      <c r="H583">
        <v>2E+20</v>
      </c>
      <c r="I583">
        <v>0</v>
      </c>
      <c r="J583">
        <v>0</v>
      </c>
      <c r="K583">
        <v>0</v>
      </c>
      <c r="L583">
        <v>0</v>
      </c>
      <c r="M583" s="5" t="str">
        <f>ContinuousStatsTable[[#This Row],[ProjectName]]&amp;ContinuousStatsTable[[#This Row],[Name]]&amp;ContinuousStatsTable[[#This Row],[Type]]&amp;ContinuousStatsTable[[#This Row],[Source]]</f>
        <v>Unnamed ProjectsandblastoperatorNumber BusyResource</v>
      </c>
      <c r="N583" s="5">
        <f t="array" ref="N583">MAX(IF((ProjectInfoTable[ProjectName]=ContinuousStatsTable[[#This Row],[ProjectName]]),(ProjectInfoTable[ProjectName]=ContinuousStatsTable[[#This Row],[ProjectName]])*ProjectInfoTable[NumberOfReplications]))</f>
        <v>15</v>
      </c>
      <c r="O583" s="5">
        <f t="array" ref="O583">IFERROR(AVERAGE(IF((ContinuousStatsTable[GroupByKey]=ContinuousStatsTable[[#This Row],[GroupByKey]]),(ContinuousStatsTable[GroupByKey]=ContinuousStatsTable[[#This Row],[GroupByKey]])*ContinuousStatsTable[Average])),0)</f>
        <v>0</v>
      </c>
      <c r="P583" s="5">
        <f t="array" ref="P583">IFERROR(_xlfn.STDEV.S(IF((ContinuousStatsTable[GroupByKey]=ContinuousStatsTable[[#This Row],[GroupByKey]]),(ContinuousStatsTable[GroupByKey]=ContinuousStatsTable[[#This Row],[GroupByKey]])*ContinuousStatsTable[Average])),0)</f>
        <v>0</v>
      </c>
      <c r="Q583" s="5">
        <f t="array" ref="Q583">MAX(IF((ProjectInfoTable[ProjectName]=ContinuousStatsTable[[#This Row],[ProjectName]]),(ProjectInfoTable[ProjectName]=ContinuousStatsTable[[#This Row],[ProjectName]])*ProjectInfoTable[ConfidenceInterval]))</f>
        <v>0.95</v>
      </c>
      <c r="R5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3" s="5">
        <f t="array" ref="S583">MIN(IF((ContinuousStatsTable[GroupByKey]=ContinuousStatsTable[[#This Row],[GroupByKey]]),(ContinuousStatsTable[GroupByKey]=ContinuousStatsTable[[#This Row],[GroupByKey]])*ContinuousStatsTable[Average]))</f>
        <v>0</v>
      </c>
      <c r="T583" s="5">
        <f t="array" ref="T583">MAX(IF((ContinuousStatsTable[GroupByKey]=ContinuousStatsTable[[#This Row],[GroupByKey]]),(ContinuousStatsTable[GroupByKey]=ContinuousStatsTable[[#This Row],[GroupByKey]])*ContinuousStatsTable[Average]))</f>
        <v>0</v>
      </c>
      <c r="U583" s="5">
        <f>IF((ContinuousStatsTable[[#This Row],[RepsRequested]]&gt;1),ContinuousStatsTable[[#This Row],[HalfWidth]],ContinuousStatsTable[[#This Row],[BatchMeansHalfWidth]])</f>
        <v>0</v>
      </c>
    </row>
    <row r="584" spans="1:21" x14ac:dyDescent="0.25">
      <c r="A584" t="s">
        <v>67</v>
      </c>
      <c r="B584" t="s">
        <v>70</v>
      </c>
      <c r="C584">
        <v>13</v>
      </c>
      <c r="D584" t="s">
        <v>91</v>
      </c>
      <c r="E584" t="s">
        <v>75</v>
      </c>
      <c r="F584" t="s">
        <v>73</v>
      </c>
      <c r="G584">
        <v>1.5834999999999999</v>
      </c>
      <c r="H584">
        <v>3E+20</v>
      </c>
      <c r="I584">
        <v>1</v>
      </c>
      <c r="J584">
        <v>2</v>
      </c>
      <c r="K584">
        <v>2</v>
      </c>
      <c r="L584">
        <v>0</v>
      </c>
      <c r="M584" s="5" t="str">
        <f>ContinuousStatsTable[[#This Row],[ProjectName]]&amp;ContinuousStatsTable[[#This Row],[Name]]&amp;ContinuousStatsTable[[#This Row],[Type]]&amp;ContinuousStatsTable[[#This Row],[Source]]</f>
        <v>Unnamed ProjectsandblastoperatorNumber ScheduledResource</v>
      </c>
      <c r="N584" s="5">
        <f t="array" ref="N584">MAX(IF((ProjectInfoTable[ProjectName]=ContinuousStatsTable[[#This Row],[ProjectName]]),(ProjectInfoTable[ProjectName]=ContinuousStatsTable[[#This Row],[ProjectName]])*ProjectInfoTable[NumberOfReplications]))</f>
        <v>15</v>
      </c>
      <c r="O584" s="5">
        <f t="array" ref="O584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584" s="5">
        <f t="array" ref="P584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584" s="5">
        <f t="array" ref="Q584">MAX(IF((ProjectInfoTable[ProjectName]=ContinuousStatsTable[[#This Row],[ProjectName]]),(ProjectInfoTable[ProjectName]=ContinuousStatsTable[[#This Row],[ProjectName]])*ProjectInfoTable[ConfidenceInterval]))</f>
        <v>0.95</v>
      </c>
      <c r="R5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584" s="5">
        <f t="array" ref="S584">MIN(IF((ContinuousStatsTable[GroupByKey]=ContinuousStatsTable[[#This Row],[GroupByKey]]),(ContinuousStatsTable[GroupByKey]=ContinuousStatsTable[[#This Row],[GroupByKey]])*ContinuousStatsTable[Average]))</f>
        <v>1</v>
      </c>
      <c r="T584" s="5">
        <f t="array" ref="T584">MAX(IF((ContinuousStatsTable[GroupByKey]=ContinuousStatsTable[[#This Row],[GroupByKey]]),(ContinuousStatsTable[GroupByKey]=ContinuousStatsTable[[#This Row],[GroupByKey]])*ContinuousStatsTable[Average]))</f>
        <v>2</v>
      </c>
      <c r="U584" s="5">
        <f>IF((ContinuousStatsTable[[#This Row],[RepsRequested]]&gt;1),ContinuousStatsTable[[#This Row],[HalfWidth]],ContinuousStatsTable[[#This Row],[BatchMeansHalfWidth]])</f>
        <v>0.13376733135491528</v>
      </c>
    </row>
    <row r="585" spans="1:21" x14ac:dyDescent="0.25">
      <c r="A585" t="s">
        <v>67</v>
      </c>
      <c r="B585" t="s">
        <v>70</v>
      </c>
      <c r="C585">
        <v>13</v>
      </c>
      <c r="D585" t="s">
        <v>92</v>
      </c>
      <c r="E585" t="s">
        <v>84</v>
      </c>
      <c r="F585" t="s">
        <v>85</v>
      </c>
      <c r="G585">
        <v>0</v>
      </c>
      <c r="H585">
        <v>2E+20</v>
      </c>
      <c r="I585">
        <v>0</v>
      </c>
      <c r="J585">
        <v>0</v>
      </c>
      <c r="K585">
        <v>0</v>
      </c>
      <c r="L585">
        <v>0</v>
      </c>
      <c r="M585" s="5" t="str">
        <f>ContinuousStatsTable[[#This Row],[ProjectName]]&amp;ContinuousStatsTable[[#This Row],[Name]]&amp;ContinuousStatsTable[[#This Row],[Type]]&amp;ContinuousStatsTable[[#This Row],[Source]]</f>
        <v>Unnamed Projectseize_assembler.QueueNumber WaitingQueue</v>
      </c>
      <c r="N585" s="5">
        <f t="array" ref="N585">MAX(IF((ProjectInfoTable[ProjectName]=ContinuousStatsTable[[#This Row],[ProjectName]]),(ProjectInfoTable[ProjectName]=ContinuousStatsTable[[#This Row],[ProjectName]])*ProjectInfoTable[NumberOfReplications]))</f>
        <v>15</v>
      </c>
      <c r="O585" s="5">
        <f t="array" ref="O585">IFERROR(AVERAGE(IF((ContinuousStatsTable[GroupByKey]=ContinuousStatsTable[[#This Row],[GroupByKey]]),(ContinuousStatsTable[GroupByKey]=ContinuousStatsTable[[#This Row],[GroupByKey]])*ContinuousStatsTable[Average])),0)</f>
        <v>0</v>
      </c>
      <c r="P585" s="5">
        <f t="array" ref="P585">IFERROR(_xlfn.STDEV.S(IF((ContinuousStatsTable[GroupByKey]=ContinuousStatsTable[[#This Row],[GroupByKey]]),(ContinuousStatsTable[GroupByKey]=ContinuousStatsTable[[#This Row],[GroupByKey]])*ContinuousStatsTable[Average])),0)</f>
        <v>0</v>
      </c>
      <c r="Q585" s="5">
        <f t="array" ref="Q585">MAX(IF((ProjectInfoTable[ProjectName]=ContinuousStatsTable[[#This Row],[ProjectName]]),(ProjectInfoTable[ProjectName]=ContinuousStatsTable[[#This Row],[ProjectName]])*ProjectInfoTable[ConfidenceInterval]))</f>
        <v>0.95</v>
      </c>
      <c r="R5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5" s="5">
        <f t="array" ref="S585">MIN(IF((ContinuousStatsTable[GroupByKey]=ContinuousStatsTable[[#This Row],[GroupByKey]]),(ContinuousStatsTable[GroupByKey]=ContinuousStatsTable[[#This Row],[GroupByKey]])*ContinuousStatsTable[Average]))</f>
        <v>0</v>
      </c>
      <c r="T585" s="5">
        <f t="array" ref="T585">MAX(IF((ContinuousStatsTable[GroupByKey]=ContinuousStatsTable[[#This Row],[GroupByKey]]),(ContinuousStatsTable[GroupByKey]=ContinuousStatsTable[[#This Row],[GroupByKey]])*ContinuousStatsTable[Average]))</f>
        <v>0</v>
      </c>
      <c r="U585" s="5">
        <f>IF((ContinuousStatsTable[[#This Row],[RepsRequested]]&gt;1),ContinuousStatsTable[[#This Row],[HalfWidth]],ContinuousStatsTable[[#This Row],[BatchMeansHalfWidth]])</f>
        <v>0</v>
      </c>
    </row>
    <row r="586" spans="1:21" x14ac:dyDescent="0.25">
      <c r="A586" t="s">
        <v>67</v>
      </c>
      <c r="B586" t="s">
        <v>70</v>
      </c>
      <c r="C586">
        <v>13</v>
      </c>
      <c r="D586" t="s">
        <v>93</v>
      </c>
      <c r="E586" t="s">
        <v>84</v>
      </c>
      <c r="F586" t="s">
        <v>85</v>
      </c>
      <c r="G586">
        <v>0</v>
      </c>
      <c r="H586">
        <v>2E+20</v>
      </c>
      <c r="I586">
        <v>0</v>
      </c>
      <c r="J586">
        <v>0</v>
      </c>
      <c r="K586">
        <v>0</v>
      </c>
      <c r="L586">
        <v>0</v>
      </c>
      <c r="M586" s="5" t="str">
        <f>ContinuousStatsTable[[#This Row],[ProjectName]]&amp;ContinuousStatsTable[[#This Row],[Name]]&amp;ContinuousStatsTable[[#This Row],[Type]]&amp;ContinuousStatsTable[[#This Row],[Source]]</f>
        <v>Unnamed Projectseize_cutter.QueueNumber WaitingQueue</v>
      </c>
      <c r="N586" s="5">
        <f t="array" ref="N586">MAX(IF((ProjectInfoTable[ProjectName]=ContinuousStatsTable[[#This Row],[ProjectName]]),(ProjectInfoTable[ProjectName]=ContinuousStatsTable[[#This Row],[ProjectName]])*ProjectInfoTable[NumberOfReplications]))</f>
        <v>15</v>
      </c>
      <c r="O586" s="5">
        <f t="array" ref="O586">IFERROR(AVERAGE(IF((ContinuousStatsTable[GroupByKey]=ContinuousStatsTable[[#This Row],[GroupByKey]]),(ContinuousStatsTable[GroupByKey]=ContinuousStatsTable[[#This Row],[GroupByKey]])*ContinuousStatsTable[Average])),0)</f>
        <v>0</v>
      </c>
      <c r="P586" s="5">
        <f t="array" ref="P586">IFERROR(_xlfn.STDEV.S(IF((ContinuousStatsTable[GroupByKey]=ContinuousStatsTable[[#This Row],[GroupByKey]]),(ContinuousStatsTable[GroupByKey]=ContinuousStatsTable[[#This Row],[GroupByKey]])*ContinuousStatsTable[Average])),0)</f>
        <v>0</v>
      </c>
      <c r="Q586" s="5">
        <f t="array" ref="Q586">MAX(IF((ProjectInfoTable[ProjectName]=ContinuousStatsTable[[#This Row],[ProjectName]]),(ProjectInfoTable[ProjectName]=ContinuousStatsTable[[#This Row],[ProjectName]])*ProjectInfoTable[ConfidenceInterval]))</f>
        <v>0.95</v>
      </c>
      <c r="R5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6" s="5">
        <f t="array" ref="S586">MIN(IF((ContinuousStatsTable[GroupByKey]=ContinuousStatsTable[[#This Row],[GroupByKey]]),(ContinuousStatsTable[GroupByKey]=ContinuousStatsTable[[#This Row],[GroupByKey]])*ContinuousStatsTable[Average]))</f>
        <v>0</v>
      </c>
      <c r="T586" s="5">
        <f t="array" ref="T586">MAX(IF((ContinuousStatsTable[GroupByKey]=ContinuousStatsTable[[#This Row],[GroupByKey]]),(ContinuousStatsTable[GroupByKey]=ContinuousStatsTable[[#This Row],[GroupByKey]])*ContinuousStatsTable[Average]))</f>
        <v>0</v>
      </c>
      <c r="U586" s="5">
        <f>IF((ContinuousStatsTable[[#This Row],[RepsRequested]]&gt;1),ContinuousStatsTable[[#This Row],[HalfWidth]],ContinuousStatsTable[[#This Row],[BatchMeansHalfWidth]])</f>
        <v>0</v>
      </c>
    </row>
    <row r="587" spans="1:21" x14ac:dyDescent="0.25">
      <c r="A587" t="s">
        <v>67</v>
      </c>
      <c r="B587" t="s">
        <v>70</v>
      </c>
      <c r="C587">
        <v>13</v>
      </c>
      <c r="D587" t="s">
        <v>94</v>
      </c>
      <c r="E587" t="s">
        <v>84</v>
      </c>
      <c r="F587" t="s">
        <v>85</v>
      </c>
      <c r="G587">
        <v>0</v>
      </c>
      <c r="H587">
        <v>2E+20</v>
      </c>
      <c r="I587">
        <v>0</v>
      </c>
      <c r="J587">
        <v>0</v>
      </c>
      <c r="K587">
        <v>0</v>
      </c>
      <c r="L587">
        <v>0</v>
      </c>
      <c r="M587" s="5" t="str">
        <f>ContinuousStatsTable[[#This Row],[ProjectName]]&amp;ContinuousStatsTable[[#This Row],[Name]]&amp;ContinuousStatsTable[[#This Row],[Type]]&amp;ContinuousStatsTable[[#This Row],[Source]]</f>
        <v>Unnamed Projectseizeassemblyqcman.QueueNumber WaitingQueue</v>
      </c>
      <c r="N587" s="5">
        <f t="array" ref="N587">MAX(IF((ProjectInfoTable[ProjectName]=ContinuousStatsTable[[#This Row],[ProjectName]]),(ProjectInfoTable[ProjectName]=ContinuousStatsTable[[#This Row],[ProjectName]])*ProjectInfoTable[NumberOfReplications]))</f>
        <v>15</v>
      </c>
      <c r="O587" s="5">
        <f t="array" ref="O587">IFERROR(AVERAGE(IF((ContinuousStatsTable[GroupByKey]=ContinuousStatsTable[[#This Row],[GroupByKey]]),(ContinuousStatsTable[GroupByKey]=ContinuousStatsTable[[#This Row],[GroupByKey]])*ContinuousStatsTable[Average])),0)</f>
        <v>0</v>
      </c>
      <c r="P587" s="5">
        <f t="array" ref="P587">IFERROR(_xlfn.STDEV.S(IF((ContinuousStatsTable[GroupByKey]=ContinuousStatsTable[[#This Row],[GroupByKey]]),(ContinuousStatsTable[GroupByKey]=ContinuousStatsTable[[#This Row],[GroupByKey]])*ContinuousStatsTable[Average])),0)</f>
        <v>0</v>
      </c>
      <c r="Q587" s="5">
        <f t="array" ref="Q587">MAX(IF((ProjectInfoTable[ProjectName]=ContinuousStatsTable[[#This Row],[ProjectName]]),(ProjectInfoTable[ProjectName]=ContinuousStatsTable[[#This Row],[ProjectName]])*ProjectInfoTable[ConfidenceInterval]))</f>
        <v>0.95</v>
      </c>
      <c r="R5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7" s="5">
        <f t="array" ref="S587">MIN(IF((ContinuousStatsTable[GroupByKey]=ContinuousStatsTable[[#This Row],[GroupByKey]]),(ContinuousStatsTable[GroupByKey]=ContinuousStatsTable[[#This Row],[GroupByKey]])*ContinuousStatsTable[Average]))</f>
        <v>0</v>
      </c>
      <c r="T587" s="5">
        <f t="array" ref="T587">MAX(IF((ContinuousStatsTable[GroupByKey]=ContinuousStatsTable[[#This Row],[GroupByKey]]),(ContinuousStatsTable[GroupByKey]=ContinuousStatsTable[[#This Row],[GroupByKey]])*ContinuousStatsTable[Average]))</f>
        <v>0</v>
      </c>
      <c r="U587" s="5">
        <f>IF((ContinuousStatsTable[[#This Row],[RepsRequested]]&gt;1),ContinuousStatsTable[[#This Row],[HalfWidth]],ContinuousStatsTable[[#This Row],[BatchMeansHalfWidth]])</f>
        <v>0</v>
      </c>
    </row>
    <row r="588" spans="1:21" x14ac:dyDescent="0.25">
      <c r="A588" t="s">
        <v>67</v>
      </c>
      <c r="B588" t="s">
        <v>70</v>
      </c>
      <c r="C588">
        <v>13</v>
      </c>
      <c r="D588" t="s">
        <v>95</v>
      </c>
      <c r="E588" t="s">
        <v>84</v>
      </c>
      <c r="F588" t="s">
        <v>85</v>
      </c>
      <c r="G588">
        <v>0</v>
      </c>
      <c r="H588">
        <v>2E+20</v>
      </c>
      <c r="I588">
        <v>0</v>
      </c>
      <c r="J588">
        <v>0</v>
      </c>
      <c r="K588">
        <v>0</v>
      </c>
      <c r="L588">
        <v>0</v>
      </c>
      <c r="M588" s="5" t="str">
        <f>ContinuousStatsTable[[#This Row],[ProjectName]]&amp;ContinuousStatsTable[[#This Row],[Name]]&amp;ContinuousStatsTable[[#This Row],[Type]]&amp;ContinuousStatsTable[[#This Row],[Source]]</f>
        <v>Unnamed Projectseizecleaner.QueueNumber WaitingQueue</v>
      </c>
      <c r="N588" s="5">
        <f t="array" ref="N588">MAX(IF((ProjectInfoTable[ProjectName]=ContinuousStatsTable[[#This Row],[ProjectName]]),(ProjectInfoTable[ProjectName]=ContinuousStatsTable[[#This Row],[ProjectName]])*ProjectInfoTable[NumberOfReplications]))</f>
        <v>15</v>
      </c>
      <c r="O588" s="5">
        <f t="array" ref="O588">IFERROR(AVERAGE(IF((ContinuousStatsTable[GroupByKey]=ContinuousStatsTable[[#This Row],[GroupByKey]]),(ContinuousStatsTable[GroupByKey]=ContinuousStatsTable[[#This Row],[GroupByKey]])*ContinuousStatsTable[Average])),0)</f>
        <v>0</v>
      </c>
      <c r="P588" s="5">
        <f t="array" ref="P588">IFERROR(_xlfn.STDEV.S(IF((ContinuousStatsTable[GroupByKey]=ContinuousStatsTable[[#This Row],[GroupByKey]]),(ContinuousStatsTable[GroupByKey]=ContinuousStatsTable[[#This Row],[GroupByKey]])*ContinuousStatsTable[Average])),0)</f>
        <v>0</v>
      </c>
      <c r="Q588" s="5">
        <f t="array" ref="Q588">MAX(IF((ProjectInfoTable[ProjectName]=ContinuousStatsTable[[#This Row],[ProjectName]]),(ProjectInfoTable[ProjectName]=ContinuousStatsTable[[#This Row],[ProjectName]])*ProjectInfoTable[ConfidenceInterval]))</f>
        <v>0.95</v>
      </c>
      <c r="R5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8" s="5">
        <f t="array" ref="S588">MIN(IF((ContinuousStatsTable[GroupByKey]=ContinuousStatsTable[[#This Row],[GroupByKey]]),(ContinuousStatsTable[GroupByKey]=ContinuousStatsTable[[#This Row],[GroupByKey]])*ContinuousStatsTable[Average]))</f>
        <v>0</v>
      </c>
      <c r="T588" s="5">
        <f t="array" ref="T588">MAX(IF((ContinuousStatsTable[GroupByKey]=ContinuousStatsTable[[#This Row],[GroupByKey]]),(ContinuousStatsTable[GroupByKey]=ContinuousStatsTable[[#This Row],[GroupByKey]])*ContinuousStatsTable[Average]))</f>
        <v>0</v>
      </c>
      <c r="U588" s="5">
        <f>IF((ContinuousStatsTable[[#This Row],[RepsRequested]]&gt;1),ContinuousStatsTable[[#This Row],[HalfWidth]],ContinuousStatsTable[[#This Row],[BatchMeansHalfWidth]])</f>
        <v>0</v>
      </c>
    </row>
    <row r="589" spans="1:21" x14ac:dyDescent="0.25">
      <c r="A589" t="s">
        <v>67</v>
      </c>
      <c r="B589" t="s">
        <v>70</v>
      </c>
      <c r="C589">
        <v>13</v>
      </c>
      <c r="D589" t="s">
        <v>96</v>
      </c>
      <c r="E589" t="s">
        <v>84</v>
      </c>
      <c r="F589" t="s">
        <v>85</v>
      </c>
      <c r="G589">
        <v>0</v>
      </c>
      <c r="H589">
        <v>2E+20</v>
      </c>
      <c r="I589">
        <v>0</v>
      </c>
      <c r="J589">
        <v>0</v>
      </c>
      <c r="K589">
        <v>0</v>
      </c>
      <c r="L589">
        <v>0</v>
      </c>
      <c r="M589" s="5" t="str">
        <f>ContinuousStatsTable[[#This Row],[ProjectName]]&amp;ContinuousStatsTable[[#This Row],[Name]]&amp;ContinuousStatsTable[[#This Row],[Type]]&amp;ContinuousStatsTable[[#This Row],[Source]]</f>
        <v>Unnamed Projectseizepainter.QueueNumber WaitingQueue</v>
      </c>
      <c r="N589" s="5">
        <f t="array" ref="N589">MAX(IF((ProjectInfoTable[ProjectName]=ContinuousStatsTable[[#This Row],[ProjectName]]),(ProjectInfoTable[ProjectName]=ContinuousStatsTable[[#This Row],[ProjectName]])*ProjectInfoTable[NumberOfReplications]))</f>
        <v>15</v>
      </c>
      <c r="O589" s="5">
        <f t="array" ref="O589">IFERROR(AVERAGE(IF((ContinuousStatsTable[GroupByKey]=ContinuousStatsTable[[#This Row],[GroupByKey]]),(ContinuousStatsTable[GroupByKey]=ContinuousStatsTable[[#This Row],[GroupByKey]])*ContinuousStatsTable[Average])),0)</f>
        <v>0</v>
      </c>
      <c r="P589" s="5">
        <f t="array" ref="P589">IFERROR(_xlfn.STDEV.S(IF((ContinuousStatsTable[GroupByKey]=ContinuousStatsTable[[#This Row],[GroupByKey]]),(ContinuousStatsTable[GroupByKey]=ContinuousStatsTable[[#This Row],[GroupByKey]])*ContinuousStatsTable[Average])),0)</f>
        <v>0</v>
      </c>
      <c r="Q589" s="5">
        <f t="array" ref="Q589">MAX(IF((ProjectInfoTable[ProjectName]=ContinuousStatsTable[[#This Row],[ProjectName]]),(ProjectInfoTable[ProjectName]=ContinuousStatsTable[[#This Row],[ProjectName]])*ProjectInfoTable[ConfidenceInterval]))</f>
        <v>0.95</v>
      </c>
      <c r="R5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9" s="5">
        <f t="array" ref="S589">MIN(IF((ContinuousStatsTable[GroupByKey]=ContinuousStatsTable[[#This Row],[GroupByKey]]),(ContinuousStatsTable[GroupByKey]=ContinuousStatsTable[[#This Row],[GroupByKey]])*ContinuousStatsTable[Average]))</f>
        <v>0</v>
      </c>
      <c r="T589" s="5">
        <f t="array" ref="T589">MAX(IF((ContinuousStatsTable[GroupByKey]=ContinuousStatsTable[[#This Row],[GroupByKey]]),(ContinuousStatsTable[GroupByKey]=ContinuousStatsTable[[#This Row],[GroupByKey]])*ContinuousStatsTable[Average]))</f>
        <v>0</v>
      </c>
      <c r="U589" s="5">
        <f>IF((ContinuousStatsTable[[#This Row],[RepsRequested]]&gt;1),ContinuousStatsTable[[#This Row],[HalfWidth]],ContinuousStatsTable[[#This Row],[BatchMeansHalfWidth]])</f>
        <v>0</v>
      </c>
    </row>
    <row r="590" spans="1:21" x14ac:dyDescent="0.25">
      <c r="A590" t="s">
        <v>67</v>
      </c>
      <c r="B590" t="s">
        <v>70</v>
      </c>
      <c r="C590">
        <v>13</v>
      </c>
      <c r="D590" t="s">
        <v>97</v>
      </c>
      <c r="E590" t="s">
        <v>84</v>
      </c>
      <c r="F590" t="s">
        <v>85</v>
      </c>
      <c r="G590">
        <v>0</v>
      </c>
      <c r="H590">
        <v>2E+20</v>
      </c>
      <c r="I590">
        <v>0</v>
      </c>
      <c r="J590">
        <v>0</v>
      </c>
      <c r="K590">
        <v>0</v>
      </c>
      <c r="L590">
        <v>0</v>
      </c>
      <c r="M590" s="5" t="str">
        <f>ContinuousStatsTable[[#This Row],[ProjectName]]&amp;ContinuousStatsTable[[#This Row],[Name]]&amp;ContinuousStatsTable[[#This Row],[Type]]&amp;ContinuousStatsTable[[#This Row],[Source]]</f>
        <v>Unnamed Projectseizeqcman.QueueNumber WaitingQueue</v>
      </c>
      <c r="N590" s="5">
        <f t="array" ref="N590">MAX(IF((ProjectInfoTable[ProjectName]=ContinuousStatsTable[[#This Row],[ProjectName]]),(ProjectInfoTable[ProjectName]=ContinuousStatsTable[[#This Row],[ProjectName]])*ProjectInfoTable[NumberOfReplications]))</f>
        <v>15</v>
      </c>
      <c r="O590" s="5">
        <f t="array" ref="O590">IFERROR(AVERAGE(IF((ContinuousStatsTable[GroupByKey]=ContinuousStatsTable[[#This Row],[GroupByKey]]),(ContinuousStatsTable[GroupByKey]=ContinuousStatsTable[[#This Row],[GroupByKey]])*ContinuousStatsTable[Average])),0)</f>
        <v>0</v>
      </c>
      <c r="P590" s="5">
        <f t="array" ref="P590">IFERROR(_xlfn.STDEV.S(IF((ContinuousStatsTable[GroupByKey]=ContinuousStatsTable[[#This Row],[GroupByKey]]),(ContinuousStatsTable[GroupByKey]=ContinuousStatsTable[[#This Row],[GroupByKey]])*ContinuousStatsTable[Average])),0)</f>
        <v>0</v>
      </c>
      <c r="Q590" s="5">
        <f t="array" ref="Q590">MAX(IF((ProjectInfoTable[ProjectName]=ContinuousStatsTable[[#This Row],[ProjectName]]),(ProjectInfoTable[ProjectName]=ContinuousStatsTable[[#This Row],[ProjectName]])*ProjectInfoTable[ConfidenceInterval]))</f>
        <v>0.95</v>
      </c>
      <c r="R5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0" s="5">
        <f t="array" ref="S590">MIN(IF((ContinuousStatsTable[GroupByKey]=ContinuousStatsTable[[#This Row],[GroupByKey]]),(ContinuousStatsTable[GroupByKey]=ContinuousStatsTable[[#This Row],[GroupByKey]])*ContinuousStatsTable[Average]))</f>
        <v>0</v>
      </c>
      <c r="T590" s="5">
        <f t="array" ref="T590">MAX(IF((ContinuousStatsTable[GroupByKey]=ContinuousStatsTable[[#This Row],[GroupByKey]]),(ContinuousStatsTable[GroupByKey]=ContinuousStatsTable[[#This Row],[GroupByKey]])*ContinuousStatsTable[Average]))</f>
        <v>0</v>
      </c>
      <c r="U590" s="5">
        <f>IF((ContinuousStatsTable[[#This Row],[RepsRequested]]&gt;1),ContinuousStatsTable[[#This Row],[HalfWidth]],ContinuousStatsTable[[#This Row],[BatchMeansHalfWidth]])</f>
        <v>0</v>
      </c>
    </row>
    <row r="591" spans="1:21" x14ac:dyDescent="0.25">
      <c r="A591" t="s">
        <v>67</v>
      </c>
      <c r="B591" t="s">
        <v>70</v>
      </c>
      <c r="C591">
        <v>13</v>
      </c>
      <c r="D591" t="s">
        <v>98</v>
      </c>
      <c r="E591" t="s">
        <v>84</v>
      </c>
      <c r="F591" t="s">
        <v>85</v>
      </c>
      <c r="G591">
        <v>0</v>
      </c>
      <c r="H591">
        <v>2E+20</v>
      </c>
      <c r="I591">
        <v>0</v>
      </c>
      <c r="J591">
        <v>0</v>
      </c>
      <c r="K591">
        <v>0</v>
      </c>
      <c r="L591">
        <v>0</v>
      </c>
      <c r="M591" s="5" t="str">
        <f>ContinuousStatsTable[[#This Row],[ProjectName]]&amp;ContinuousStatsTable[[#This Row],[Name]]&amp;ContinuousStatsTable[[#This Row],[Type]]&amp;ContinuousStatsTable[[#This Row],[Source]]</f>
        <v>Unnamed Projectseizesandblaster.QueueNumber WaitingQueue</v>
      </c>
      <c r="N591" s="5">
        <f t="array" ref="N591">MAX(IF((ProjectInfoTable[ProjectName]=ContinuousStatsTable[[#This Row],[ProjectName]]),(ProjectInfoTable[ProjectName]=ContinuousStatsTable[[#This Row],[ProjectName]])*ProjectInfoTable[NumberOfReplications]))</f>
        <v>15</v>
      </c>
      <c r="O591" s="5">
        <f t="array" ref="O591">IFERROR(AVERAGE(IF((ContinuousStatsTable[GroupByKey]=ContinuousStatsTable[[#This Row],[GroupByKey]]),(ContinuousStatsTable[GroupByKey]=ContinuousStatsTable[[#This Row],[GroupByKey]])*ContinuousStatsTable[Average])),0)</f>
        <v>0</v>
      </c>
      <c r="P591" s="5">
        <f t="array" ref="P591">IFERROR(_xlfn.STDEV.S(IF((ContinuousStatsTable[GroupByKey]=ContinuousStatsTable[[#This Row],[GroupByKey]]),(ContinuousStatsTable[GroupByKey]=ContinuousStatsTable[[#This Row],[GroupByKey]])*ContinuousStatsTable[Average])),0)</f>
        <v>0</v>
      </c>
      <c r="Q591" s="5">
        <f t="array" ref="Q591">MAX(IF((ProjectInfoTable[ProjectName]=ContinuousStatsTable[[#This Row],[ProjectName]]),(ProjectInfoTable[ProjectName]=ContinuousStatsTable[[#This Row],[ProjectName]])*ProjectInfoTable[ConfidenceInterval]))</f>
        <v>0.95</v>
      </c>
      <c r="R5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1" s="5">
        <f t="array" ref="S591">MIN(IF((ContinuousStatsTable[GroupByKey]=ContinuousStatsTable[[#This Row],[GroupByKey]]),(ContinuousStatsTable[GroupByKey]=ContinuousStatsTable[[#This Row],[GroupByKey]])*ContinuousStatsTable[Average]))</f>
        <v>0</v>
      </c>
      <c r="T591" s="5">
        <f t="array" ref="T591">MAX(IF((ContinuousStatsTable[GroupByKey]=ContinuousStatsTable[[#This Row],[GroupByKey]]),(ContinuousStatsTable[GroupByKey]=ContinuousStatsTable[[#This Row],[GroupByKey]])*ContinuousStatsTable[Average]))</f>
        <v>0</v>
      </c>
      <c r="U591" s="5">
        <f>IF((ContinuousStatsTable[[#This Row],[RepsRequested]]&gt;1),ContinuousStatsTable[[#This Row],[HalfWidth]],ContinuousStatsTable[[#This Row],[BatchMeansHalfWidth]])</f>
        <v>0</v>
      </c>
    </row>
    <row r="592" spans="1:21" x14ac:dyDescent="0.25">
      <c r="A592" t="s">
        <v>67</v>
      </c>
      <c r="B592" t="s">
        <v>70</v>
      </c>
      <c r="C592">
        <v>13</v>
      </c>
      <c r="D592" t="s">
        <v>99</v>
      </c>
      <c r="E592" t="s">
        <v>84</v>
      </c>
      <c r="F592" t="s">
        <v>85</v>
      </c>
      <c r="G592">
        <v>0</v>
      </c>
      <c r="H592">
        <v>2E+20</v>
      </c>
      <c r="I592">
        <v>0</v>
      </c>
      <c r="J592">
        <v>0</v>
      </c>
      <c r="K592">
        <v>0</v>
      </c>
      <c r="L592">
        <v>0</v>
      </c>
      <c r="M592" s="5" t="str">
        <f>ContinuousStatsTable[[#This Row],[ProjectName]]&amp;ContinuousStatsTable[[#This Row],[Name]]&amp;ContinuousStatsTable[[#This Row],[Type]]&amp;ContinuousStatsTable[[#This Row],[Source]]</f>
        <v>Unnamed Projectseizewelder.QueueNumber WaitingQueue</v>
      </c>
      <c r="N592" s="5">
        <f t="array" ref="N592">MAX(IF((ProjectInfoTable[ProjectName]=ContinuousStatsTable[[#This Row],[ProjectName]]),(ProjectInfoTable[ProjectName]=ContinuousStatsTable[[#This Row],[ProjectName]])*ProjectInfoTable[NumberOfReplications]))</f>
        <v>15</v>
      </c>
      <c r="O592" s="5">
        <f t="array" ref="O592">IFERROR(AVERAGE(IF((ContinuousStatsTable[GroupByKey]=ContinuousStatsTable[[#This Row],[GroupByKey]]),(ContinuousStatsTable[GroupByKey]=ContinuousStatsTable[[#This Row],[GroupByKey]])*ContinuousStatsTable[Average])),0)</f>
        <v>0</v>
      </c>
      <c r="P592" s="5">
        <f t="array" ref="P592">IFERROR(_xlfn.STDEV.S(IF((ContinuousStatsTable[GroupByKey]=ContinuousStatsTable[[#This Row],[GroupByKey]]),(ContinuousStatsTable[GroupByKey]=ContinuousStatsTable[[#This Row],[GroupByKey]])*ContinuousStatsTable[Average])),0)</f>
        <v>0</v>
      </c>
      <c r="Q592" s="5">
        <f t="array" ref="Q592">MAX(IF((ProjectInfoTable[ProjectName]=ContinuousStatsTable[[#This Row],[ProjectName]]),(ProjectInfoTable[ProjectName]=ContinuousStatsTable[[#This Row],[ProjectName]])*ProjectInfoTable[ConfidenceInterval]))</f>
        <v>0.95</v>
      </c>
      <c r="R5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2" s="5">
        <f t="array" ref="S592">MIN(IF((ContinuousStatsTable[GroupByKey]=ContinuousStatsTable[[#This Row],[GroupByKey]]),(ContinuousStatsTable[GroupByKey]=ContinuousStatsTable[[#This Row],[GroupByKey]])*ContinuousStatsTable[Average]))</f>
        <v>0</v>
      </c>
      <c r="T592" s="5">
        <f t="array" ref="T592">MAX(IF((ContinuousStatsTable[GroupByKey]=ContinuousStatsTable[[#This Row],[GroupByKey]]),(ContinuousStatsTable[GroupByKey]=ContinuousStatsTable[[#This Row],[GroupByKey]])*ContinuousStatsTable[Average]))</f>
        <v>0</v>
      </c>
      <c r="U592" s="5">
        <f>IF((ContinuousStatsTable[[#This Row],[RepsRequested]]&gt;1),ContinuousStatsTable[[#This Row],[HalfWidth]],ContinuousStatsTable[[#This Row],[BatchMeansHalfWidth]])</f>
        <v>0</v>
      </c>
    </row>
    <row r="593" spans="1:21" x14ac:dyDescent="0.25">
      <c r="A593" t="s">
        <v>67</v>
      </c>
      <c r="B593" t="s">
        <v>70</v>
      </c>
      <c r="C593">
        <v>13</v>
      </c>
      <c r="D593" t="s">
        <v>100</v>
      </c>
      <c r="E593" t="s">
        <v>78</v>
      </c>
      <c r="F593" t="s">
        <v>79</v>
      </c>
      <c r="G593">
        <v>4</v>
      </c>
      <c r="H593">
        <v>2E+20</v>
      </c>
      <c r="I593">
        <v>4</v>
      </c>
      <c r="J593">
        <v>4</v>
      </c>
      <c r="K593">
        <v>4</v>
      </c>
      <c r="L593">
        <v>0</v>
      </c>
      <c r="M593" s="5" t="str">
        <f>ContinuousStatsTable[[#This Row],[ProjectName]]&amp;ContinuousStatsTable[[#This Row],[Name]]&amp;ContinuousStatsTable[[#This Row],[Type]]&amp;ContinuousStatsTable[[#This Row],[Source]]</f>
        <v>Unnamed ProjectsteelsheetWIPEntity</v>
      </c>
      <c r="N593" s="5">
        <f t="array" ref="N593">MAX(IF((ProjectInfoTable[ProjectName]=ContinuousStatsTable[[#This Row],[ProjectName]]),(ProjectInfoTable[ProjectName]=ContinuousStatsTable[[#This Row],[ProjectName]])*ProjectInfoTable[NumberOfReplications]))</f>
        <v>15</v>
      </c>
      <c r="O593" s="5">
        <f t="array" ref="O593">IFERROR(AVERAGE(IF((ContinuousStatsTable[GroupByKey]=ContinuousStatsTable[[#This Row],[GroupByKey]]),(ContinuousStatsTable[GroupByKey]=ContinuousStatsTable[[#This Row],[GroupByKey]])*ContinuousStatsTable[Average])),0)</f>
        <v>6.1333333333333337</v>
      </c>
      <c r="P593" s="5">
        <f t="array" ref="P593">IFERROR(_xlfn.STDEV.S(IF((ContinuousStatsTable[GroupByKey]=ContinuousStatsTable[[#This Row],[GroupByKey]]),(ContinuousStatsTable[GroupByKey]=ContinuousStatsTable[[#This Row],[GroupByKey]])*ContinuousStatsTable[Average])),0)</f>
        <v>5.3166405433005028</v>
      </c>
      <c r="Q593" s="5">
        <f t="array" ref="Q593">MAX(IF((ProjectInfoTable[ProjectName]=ContinuousStatsTable[[#This Row],[ProjectName]]),(ProjectInfoTable[ProjectName]=ContinuousStatsTable[[#This Row],[ProjectName]])*ProjectInfoTable[ConfidenceInterval]))</f>
        <v>0.95</v>
      </c>
      <c r="R5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2.944257396015229</v>
      </c>
      <c r="S593" s="5">
        <f t="array" ref="S593">MIN(IF((ContinuousStatsTable[GroupByKey]=ContinuousStatsTable[[#This Row],[GroupByKey]]),(ContinuousStatsTable[GroupByKey]=ContinuousStatsTable[[#This Row],[GroupByKey]])*ContinuousStatsTable[Average]))</f>
        <v>0</v>
      </c>
      <c r="T593" s="5">
        <f t="array" ref="T593">MAX(IF((ContinuousStatsTable[GroupByKey]=ContinuousStatsTable[[#This Row],[GroupByKey]]),(ContinuousStatsTable[GroupByKey]=ContinuousStatsTable[[#This Row],[GroupByKey]])*ContinuousStatsTable[Average]))</f>
        <v>16</v>
      </c>
      <c r="U593" s="5">
        <f>IF((ContinuousStatsTable[[#This Row],[RepsRequested]]&gt;1),ContinuousStatsTable[[#This Row],[HalfWidth]],ContinuousStatsTable[[#This Row],[BatchMeansHalfWidth]])</f>
        <v>2.944257396015229</v>
      </c>
    </row>
    <row r="594" spans="1:21" x14ac:dyDescent="0.25">
      <c r="A594" t="s">
        <v>67</v>
      </c>
      <c r="B594" t="s">
        <v>70</v>
      </c>
      <c r="C594">
        <v>13</v>
      </c>
      <c r="D594" t="s">
        <v>101</v>
      </c>
      <c r="E594" t="s">
        <v>72</v>
      </c>
      <c r="F594" t="s">
        <v>73</v>
      </c>
      <c r="G594">
        <v>0</v>
      </c>
      <c r="H594">
        <v>2E+20</v>
      </c>
      <c r="I594">
        <v>0</v>
      </c>
      <c r="J594">
        <v>0</v>
      </c>
      <c r="K594">
        <v>0</v>
      </c>
      <c r="L594">
        <v>0</v>
      </c>
      <c r="M594" s="5" t="str">
        <f>ContinuousStatsTable[[#This Row],[ProjectName]]&amp;ContinuousStatsTable[[#This Row],[Name]]&amp;ContinuousStatsTable[[#This Row],[Type]]&amp;ContinuousStatsTable[[#This Row],[Source]]</f>
        <v>Unnamed ProjectwelderInstantaneous UtilizationResource</v>
      </c>
      <c r="N594" s="5">
        <f t="array" ref="N594">MAX(IF((ProjectInfoTable[ProjectName]=ContinuousStatsTable[[#This Row],[ProjectName]]),(ProjectInfoTable[ProjectName]=ContinuousStatsTable[[#This Row],[ProjectName]])*ProjectInfoTable[NumberOfReplications]))</f>
        <v>15</v>
      </c>
      <c r="O594" s="5">
        <f t="array" ref="O594">IFERROR(AVERAGE(IF((ContinuousStatsTable[GroupByKey]=ContinuousStatsTable[[#This Row],[GroupByKey]]),(ContinuousStatsTable[GroupByKey]=ContinuousStatsTable[[#This Row],[GroupByKey]])*ContinuousStatsTable[Average])),0)</f>
        <v>0</v>
      </c>
      <c r="P594" s="5">
        <f t="array" ref="P594">IFERROR(_xlfn.STDEV.S(IF((ContinuousStatsTable[GroupByKey]=ContinuousStatsTable[[#This Row],[GroupByKey]]),(ContinuousStatsTable[GroupByKey]=ContinuousStatsTable[[#This Row],[GroupByKey]])*ContinuousStatsTable[Average])),0)</f>
        <v>0</v>
      </c>
      <c r="Q594" s="5">
        <f t="array" ref="Q594">MAX(IF((ProjectInfoTable[ProjectName]=ContinuousStatsTable[[#This Row],[ProjectName]]),(ProjectInfoTable[ProjectName]=ContinuousStatsTable[[#This Row],[ProjectName]])*ProjectInfoTable[ConfidenceInterval]))</f>
        <v>0.95</v>
      </c>
      <c r="R5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4" s="5">
        <f t="array" ref="S594">MIN(IF((ContinuousStatsTable[GroupByKey]=ContinuousStatsTable[[#This Row],[GroupByKey]]),(ContinuousStatsTable[GroupByKey]=ContinuousStatsTable[[#This Row],[GroupByKey]])*ContinuousStatsTable[Average]))</f>
        <v>0</v>
      </c>
      <c r="T594" s="5">
        <f t="array" ref="T594">MAX(IF((ContinuousStatsTable[GroupByKey]=ContinuousStatsTable[[#This Row],[GroupByKey]]),(ContinuousStatsTable[GroupByKey]=ContinuousStatsTable[[#This Row],[GroupByKey]])*ContinuousStatsTable[Average]))</f>
        <v>0</v>
      </c>
      <c r="U594" s="5">
        <f>IF((ContinuousStatsTable[[#This Row],[RepsRequested]]&gt;1),ContinuousStatsTable[[#This Row],[HalfWidth]],ContinuousStatsTable[[#This Row],[BatchMeansHalfWidth]])</f>
        <v>0</v>
      </c>
    </row>
    <row r="595" spans="1:21" x14ac:dyDescent="0.25">
      <c r="A595" t="s">
        <v>67</v>
      </c>
      <c r="B595" t="s">
        <v>70</v>
      </c>
      <c r="C595">
        <v>13</v>
      </c>
      <c r="D595" t="s">
        <v>101</v>
      </c>
      <c r="E595" t="s">
        <v>74</v>
      </c>
      <c r="F595" t="s">
        <v>73</v>
      </c>
      <c r="G595">
        <v>0</v>
      </c>
      <c r="H595">
        <v>2E+20</v>
      </c>
      <c r="I595">
        <v>0</v>
      </c>
      <c r="J595">
        <v>0</v>
      </c>
      <c r="K595">
        <v>0</v>
      </c>
      <c r="L595">
        <v>0</v>
      </c>
      <c r="M595" s="5" t="str">
        <f>ContinuousStatsTable[[#This Row],[ProjectName]]&amp;ContinuousStatsTable[[#This Row],[Name]]&amp;ContinuousStatsTable[[#This Row],[Type]]&amp;ContinuousStatsTable[[#This Row],[Source]]</f>
        <v>Unnamed ProjectwelderNumber BusyResource</v>
      </c>
      <c r="N595" s="5">
        <f t="array" ref="N595">MAX(IF((ProjectInfoTable[ProjectName]=ContinuousStatsTable[[#This Row],[ProjectName]]),(ProjectInfoTable[ProjectName]=ContinuousStatsTable[[#This Row],[ProjectName]])*ProjectInfoTable[NumberOfReplications]))</f>
        <v>15</v>
      </c>
      <c r="O595" s="5">
        <f t="array" ref="O595">IFERROR(AVERAGE(IF((ContinuousStatsTable[GroupByKey]=ContinuousStatsTable[[#This Row],[GroupByKey]]),(ContinuousStatsTable[GroupByKey]=ContinuousStatsTable[[#This Row],[GroupByKey]])*ContinuousStatsTable[Average])),0)</f>
        <v>0</v>
      </c>
      <c r="P595" s="5">
        <f t="array" ref="P595">IFERROR(_xlfn.STDEV.S(IF((ContinuousStatsTable[GroupByKey]=ContinuousStatsTable[[#This Row],[GroupByKey]]),(ContinuousStatsTable[GroupByKey]=ContinuousStatsTable[[#This Row],[GroupByKey]])*ContinuousStatsTable[Average])),0)</f>
        <v>0</v>
      </c>
      <c r="Q595" s="5">
        <f t="array" ref="Q595">MAX(IF((ProjectInfoTable[ProjectName]=ContinuousStatsTable[[#This Row],[ProjectName]]),(ProjectInfoTable[ProjectName]=ContinuousStatsTable[[#This Row],[ProjectName]])*ProjectInfoTable[ConfidenceInterval]))</f>
        <v>0.95</v>
      </c>
      <c r="R5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5" s="5">
        <f t="array" ref="S595">MIN(IF((ContinuousStatsTable[GroupByKey]=ContinuousStatsTable[[#This Row],[GroupByKey]]),(ContinuousStatsTable[GroupByKey]=ContinuousStatsTable[[#This Row],[GroupByKey]])*ContinuousStatsTable[Average]))</f>
        <v>0</v>
      </c>
      <c r="T595" s="5">
        <f t="array" ref="T595">MAX(IF((ContinuousStatsTable[GroupByKey]=ContinuousStatsTable[[#This Row],[GroupByKey]]),(ContinuousStatsTable[GroupByKey]=ContinuousStatsTable[[#This Row],[GroupByKey]])*ContinuousStatsTable[Average]))</f>
        <v>0</v>
      </c>
      <c r="U595" s="5">
        <f>IF((ContinuousStatsTable[[#This Row],[RepsRequested]]&gt;1),ContinuousStatsTable[[#This Row],[HalfWidth]],ContinuousStatsTable[[#This Row],[BatchMeansHalfWidth]])</f>
        <v>0</v>
      </c>
    </row>
    <row r="596" spans="1:21" x14ac:dyDescent="0.25">
      <c r="A596" t="s">
        <v>67</v>
      </c>
      <c r="B596" t="s">
        <v>70</v>
      </c>
      <c r="C596">
        <v>13</v>
      </c>
      <c r="D596" t="s">
        <v>101</v>
      </c>
      <c r="E596" t="s">
        <v>75</v>
      </c>
      <c r="F596" t="s">
        <v>73</v>
      </c>
      <c r="G596">
        <v>1.5834999999999999</v>
      </c>
      <c r="H596">
        <v>3E+20</v>
      </c>
      <c r="I596">
        <v>1</v>
      </c>
      <c r="J596">
        <v>2</v>
      </c>
      <c r="K596">
        <v>2</v>
      </c>
      <c r="L596">
        <v>0</v>
      </c>
      <c r="M596" s="5" t="str">
        <f>ContinuousStatsTable[[#This Row],[ProjectName]]&amp;ContinuousStatsTable[[#This Row],[Name]]&amp;ContinuousStatsTable[[#This Row],[Type]]&amp;ContinuousStatsTable[[#This Row],[Source]]</f>
        <v>Unnamed ProjectwelderNumber ScheduledResource</v>
      </c>
      <c r="N596" s="5">
        <f t="array" ref="N596">MAX(IF((ProjectInfoTable[ProjectName]=ContinuousStatsTable[[#This Row],[ProjectName]]),(ProjectInfoTable[ProjectName]=ContinuousStatsTable[[#This Row],[ProjectName]])*ProjectInfoTable[NumberOfReplications]))</f>
        <v>15</v>
      </c>
      <c r="O596" s="5">
        <f t="array" ref="O596">IFERROR(AVERAGE(IF((ContinuousStatsTable[GroupByKey]=ContinuousStatsTable[[#This Row],[GroupByKey]]),(ContinuousStatsTable[GroupByKey]=ContinuousStatsTable[[#This Row],[GroupByKey]])*ContinuousStatsTable[Average])),0)</f>
        <v>1.5334531146777051</v>
      </c>
      <c r="P596" s="5">
        <f t="array" ref="P596">IFERROR(_xlfn.STDEV.S(IF((ContinuousStatsTable[GroupByKey]=ContinuousStatsTable[[#This Row],[GroupByKey]]),(ContinuousStatsTable[GroupByKey]=ContinuousStatsTable[[#This Row],[GroupByKey]])*ContinuousStatsTable[Average])),0)</f>
        <v>0.24154952363702747</v>
      </c>
      <c r="Q596" s="5">
        <f t="array" ref="Q596">MAX(IF((ProjectInfoTable[ProjectName]=ContinuousStatsTable[[#This Row],[ProjectName]]),(ProjectInfoTable[ProjectName]=ContinuousStatsTable[[#This Row],[ProjectName]])*ProjectInfoTable[ConfidenceInterval]))</f>
        <v>0.95</v>
      </c>
      <c r="R5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0.13376566756397254</v>
      </c>
      <c r="S596" s="5">
        <f t="array" ref="S596">MIN(IF((ContinuousStatsTable[GroupByKey]=ContinuousStatsTable[[#This Row],[GroupByKey]]),(ContinuousStatsTable[GroupByKey]=ContinuousStatsTable[[#This Row],[GroupByKey]])*ContinuousStatsTable[Average]))</f>
        <v>1</v>
      </c>
      <c r="T596" s="5">
        <f t="array" ref="T596">MAX(IF((ContinuousStatsTable[GroupByKey]=ContinuousStatsTable[[#This Row],[GroupByKey]]),(ContinuousStatsTable[GroupByKey]=ContinuousStatsTable[[#This Row],[GroupByKey]])*ContinuousStatsTable[Average]))</f>
        <v>2</v>
      </c>
      <c r="U596" s="5">
        <f>IF((ContinuousStatsTable[[#This Row],[RepsRequested]]&gt;1),ContinuousStatsTable[[#This Row],[HalfWidth]],ContinuousStatsTable[[#This Row],[BatchMeansHalfWidth]])</f>
        <v>0.13376566756397254</v>
      </c>
    </row>
    <row r="597" spans="1:21" x14ac:dyDescent="0.25">
      <c r="A597" t="s">
        <v>67</v>
      </c>
      <c r="B597" t="s">
        <v>70</v>
      </c>
      <c r="C597">
        <v>13</v>
      </c>
      <c r="D597" t="s">
        <v>102</v>
      </c>
      <c r="E597" t="s">
        <v>72</v>
      </c>
      <c r="F597" t="s">
        <v>73</v>
      </c>
      <c r="G597">
        <v>0</v>
      </c>
      <c r="H597">
        <v>2E+20</v>
      </c>
      <c r="I597">
        <v>0</v>
      </c>
      <c r="J597">
        <v>0</v>
      </c>
      <c r="K597">
        <v>0</v>
      </c>
      <c r="L597">
        <v>0</v>
      </c>
      <c r="M597" s="5" t="str">
        <f>ContinuousStatsTable[[#This Row],[ProjectName]]&amp;ContinuousStatsTable[[#This Row],[Name]]&amp;ContinuousStatsTable[[#This Row],[Type]]&amp;ContinuousStatsTable[[#This Row],[Source]]</f>
        <v>Unnamed ProjectweldingqcworkerInstantaneous UtilizationResource</v>
      </c>
      <c r="N597" s="5">
        <f t="array" ref="N597">MAX(IF((ProjectInfoTable[ProjectName]=ContinuousStatsTable[[#This Row],[ProjectName]]),(ProjectInfoTable[ProjectName]=ContinuousStatsTable[[#This Row],[ProjectName]])*ProjectInfoTable[NumberOfReplications]))</f>
        <v>15</v>
      </c>
      <c r="O597" s="5">
        <f t="array" ref="O597">IFERROR(AVERAGE(IF((ContinuousStatsTable[GroupByKey]=ContinuousStatsTable[[#This Row],[GroupByKey]]),(ContinuousStatsTable[GroupByKey]=ContinuousStatsTable[[#This Row],[GroupByKey]])*ContinuousStatsTable[Average])),0)</f>
        <v>0</v>
      </c>
      <c r="P597" s="5">
        <f t="array" ref="P597">IFERROR(_xlfn.STDEV.S(IF((ContinuousStatsTable[GroupByKey]=ContinuousStatsTable[[#This Row],[GroupByKey]]),(ContinuousStatsTable[GroupByKey]=ContinuousStatsTable[[#This Row],[GroupByKey]])*ContinuousStatsTable[Average])),0)</f>
        <v>0</v>
      </c>
      <c r="Q597" s="5">
        <f t="array" ref="Q597">MAX(IF((ProjectInfoTable[ProjectName]=ContinuousStatsTable[[#This Row],[ProjectName]]),(ProjectInfoTable[ProjectName]=ContinuousStatsTable[[#This Row],[ProjectName]])*ProjectInfoTable[ConfidenceInterval]))</f>
        <v>0.95</v>
      </c>
      <c r="R5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7" s="5">
        <f t="array" ref="S597">MIN(IF((ContinuousStatsTable[GroupByKey]=ContinuousStatsTable[[#This Row],[GroupByKey]]),(ContinuousStatsTable[GroupByKey]=ContinuousStatsTable[[#This Row],[GroupByKey]])*ContinuousStatsTable[Average]))</f>
        <v>0</v>
      </c>
      <c r="T597" s="5">
        <f t="array" ref="T597">MAX(IF((ContinuousStatsTable[GroupByKey]=ContinuousStatsTable[[#This Row],[GroupByKey]]),(ContinuousStatsTable[GroupByKey]=ContinuousStatsTable[[#This Row],[GroupByKey]])*ContinuousStatsTable[Average]))</f>
        <v>0</v>
      </c>
      <c r="U597" s="5">
        <f>IF((ContinuousStatsTable[[#This Row],[RepsRequested]]&gt;1),ContinuousStatsTable[[#This Row],[HalfWidth]],ContinuousStatsTable[[#This Row],[BatchMeansHalfWidth]])</f>
        <v>0</v>
      </c>
    </row>
    <row r="598" spans="1:21" x14ac:dyDescent="0.25">
      <c r="A598" t="s">
        <v>67</v>
      </c>
      <c r="B598" t="s">
        <v>70</v>
      </c>
      <c r="C598">
        <v>13</v>
      </c>
      <c r="D598" t="s">
        <v>102</v>
      </c>
      <c r="E598" t="s">
        <v>74</v>
      </c>
      <c r="F598" t="s">
        <v>73</v>
      </c>
      <c r="G598">
        <v>0</v>
      </c>
      <c r="H598">
        <v>2E+20</v>
      </c>
      <c r="I598">
        <v>0</v>
      </c>
      <c r="J598">
        <v>0</v>
      </c>
      <c r="K598">
        <v>0</v>
      </c>
      <c r="L598">
        <v>0</v>
      </c>
      <c r="M598" s="5" t="str">
        <f>ContinuousStatsTable[[#This Row],[ProjectName]]&amp;ContinuousStatsTable[[#This Row],[Name]]&amp;ContinuousStatsTable[[#This Row],[Type]]&amp;ContinuousStatsTable[[#This Row],[Source]]</f>
        <v>Unnamed ProjectweldingqcworkerNumber BusyResource</v>
      </c>
      <c r="N598" s="5">
        <f t="array" ref="N598">MAX(IF((ProjectInfoTable[ProjectName]=ContinuousStatsTable[[#This Row],[ProjectName]]),(ProjectInfoTable[ProjectName]=ContinuousStatsTable[[#This Row],[ProjectName]])*ProjectInfoTable[NumberOfReplications]))</f>
        <v>15</v>
      </c>
      <c r="O598" s="5">
        <f t="array" ref="O598">IFERROR(AVERAGE(IF((ContinuousStatsTable[GroupByKey]=ContinuousStatsTable[[#This Row],[GroupByKey]]),(ContinuousStatsTable[GroupByKey]=ContinuousStatsTable[[#This Row],[GroupByKey]])*ContinuousStatsTable[Average])),0)</f>
        <v>0</v>
      </c>
      <c r="P598" s="5">
        <f t="array" ref="P598">IFERROR(_xlfn.STDEV.S(IF((ContinuousStatsTable[GroupByKey]=ContinuousStatsTable[[#This Row],[GroupByKey]]),(ContinuousStatsTable[GroupByKey]=ContinuousStatsTable[[#This Row],[GroupByKey]])*ContinuousStatsTable[Average])),0)</f>
        <v>0</v>
      </c>
      <c r="Q598" s="5">
        <f t="array" ref="Q598">MAX(IF((ProjectInfoTable[ProjectName]=ContinuousStatsTable[[#This Row],[ProjectName]]),(ProjectInfoTable[ProjectName]=ContinuousStatsTable[[#This Row],[ProjectName]])*ProjectInfoTable[ConfidenceInterval]))</f>
        <v>0.95</v>
      </c>
      <c r="R5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8" s="5">
        <f t="array" ref="S598">MIN(IF((ContinuousStatsTable[GroupByKey]=ContinuousStatsTable[[#This Row],[GroupByKey]]),(ContinuousStatsTable[GroupByKey]=ContinuousStatsTable[[#This Row],[GroupByKey]])*ContinuousStatsTable[Average]))</f>
        <v>0</v>
      </c>
      <c r="T598" s="5">
        <f t="array" ref="T598">MAX(IF((ContinuousStatsTable[GroupByKey]=ContinuousStatsTable[[#This Row],[GroupByKey]]),(ContinuousStatsTable[GroupByKey]=ContinuousStatsTable[[#This Row],[GroupByKey]])*ContinuousStatsTable[Average]))</f>
        <v>0</v>
      </c>
      <c r="U598" s="5">
        <f>IF((ContinuousStatsTable[[#This Row],[RepsRequested]]&gt;1),ContinuousStatsTable[[#This Row],[HalfWidth]],ContinuousStatsTable[[#This Row],[BatchMeansHalfWidth]])</f>
        <v>0</v>
      </c>
    </row>
    <row r="599" spans="1:21" x14ac:dyDescent="0.25">
      <c r="A599" t="s">
        <v>67</v>
      </c>
      <c r="B599" t="s">
        <v>70</v>
      </c>
      <c r="C599">
        <v>13</v>
      </c>
      <c r="D599" t="s">
        <v>102</v>
      </c>
      <c r="E599" t="s">
        <v>75</v>
      </c>
      <c r="F599" t="s">
        <v>73</v>
      </c>
      <c r="G599">
        <v>1.5834999999999999</v>
      </c>
      <c r="H599">
        <v>3E+20</v>
      </c>
      <c r="I599">
        <v>1</v>
      </c>
      <c r="J599">
        <v>2</v>
      </c>
      <c r="K599">
        <v>2</v>
      </c>
      <c r="L599">
        <v>0</v>
      </c>
      <c r="M599" s="5" t="str">
        <f>ContinuousStatsTable[[#This Row],[ProjectName]]&amp;ContinuousStatsTable[[#This Row],[Name]]&amp;ContinuousStatsTable[[#This Row],[Type]]&amp;ContinuousStatsTable[[#This Row],[Source]]</f>
        <v>Unnamed ProjectweldingqcworkerNumber ScheduledResource</v>
      </c>
      <c r="N599" s="5">
        <f t="array" ref="N599">MAX(IF((ProjectInfoTable[ProjectName]=ContinuousStatsTable[[#This Row],[ProjectName]]),(ProjectInfoTable[ProjectName]=ContinuousStatsTable[[#This Row],[ProjectName]])*ProjectInfoTable[NumberOfReplications]))</f>
        <v>15</v>
      </c>
      <c r="O599" s="5">
        <f t="array" ref="O599">IFERROR(AVERAGE(IF((ContinuousStatsTable[GroupByKey]=ContinuousStatsTable[[#This Row],[GroupByKey]]),(ContinuousStatsTable[GroupByKey]=ContinuousStatsTable[[#This Row],[GroupByKey]])*ContinuousStatsTable[Average])),0)</f>
        <v>1.5334635492504263</v>
      </c>
      <c r="P599" s="5">
        <f t="array" ref="P599">IFERROR(_xlfn.STDEV.S(IF((ContinuousStatsTable[GroupByKey]=ContinuousStatsTable[[#This Row],[GroupByKey]]),(ContinuousStatsTable[GroupByKey]=ContinuousStatsTable[[#This Row],[GroupByKey]])*ContinuousStatsTable[Average])),0)</f>
        <v>0.24155183649982462</v>
      </c>
      <c r="Q599" s="5">
        <f t="array" ref="Q599">MAX(IF((ProjectInfoTable[ProjectName]=ContinuousStatsTable[[#This Row],[ProjectName]]),(ProjectInfoTable[ProjectName]=ContinuousStatsTable[[#This Row],[ProjectName]])*ProjectInfoTable[ConfidenceInterval]))</f>
        <v>0.95</v>
      </c>
      <c r="R5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0.1337669483846978</v>
      </c>
      <c r="S599" s="5">
        <f t="array" ref="S599">MIN(IF((ContinuousStatsTable[GroupByKey]=ContinuousStatsTable[[#This Row],[GroupByKey]]),(ContinuousStatsTable[GroupByKey]=ContinuousStatsTable[[#This Row],[GroupByKey]])*ContinuousStatsTable[Average]))</f>
        <v>1</v>
      </c>
      <c r="T599" s="5">
        <f t="array" ref="T599">MAX(IF((ContinuousStatsTable[GroupByKey]=ContinuousStatsTable[[#This Row],[GroupByKey]]),(ContinuousStatsTable[GroupByKey]=ContinuousStatsTable[[#This Row],[GroupByKey]])*ContinuousStatsTable[Average]))</f>
        <v>2</v>
      </c>
      <c r="U599" s="5">
        <f>IF((ContinuousStatsTable[[#This Row],[RepsRequested]]&gt;1),ContinuousStatsTable[[#This Row],[HalfWidth]],ContinuousStatsTable[[#This Row],[BatchMeansHalfWidth]])</f>
        <v>0.1337669483846978</v>
      </c>
    </row>
    <row r="600" spans="1:21" x14ac:dyDescent="0.25">
      <c r="A600" t="s">
        <v>67</v>
      </c>
      <c r="B600" t="s">
        <v>70</v>
      </c>
      <c r="C600">
        <v>14</v>
      </c>
      <c r="D600" t="s">
        <v>71</v>
      </c>
      <c r="E600" t="s">
        <v>72</v>
      </c>
      <c r="F600" t="s">
        <v>73</v>
      </c>
      <c r="G600">
        <v>0</v>
      </c>
      <c r="H600">
        <v>2E+20</v>
      </c>
      <c r="I600">
        <v>0</v>
      </c>
      <c r="J600">
        <v>0</v>
      </c>
      <c r="K600">
        <v>0</v>
      </c>
      <c r="L600">
        <v>0</v>
      </c>
      <c r="M600" s="5" t="str">
        <f>ContinuousStatsTable[[#This Row],[ProjectName]]&amp;ContinuousStatsTable[[#This Row],[Name]]&amp;ContinuousStatsTable[[#This Row],[Type]]&amp;ContinuousStatsTable[[#This Row],[Source]]</f>
        <v>Unnamed ProjectassemblerInstantaneous UtilizationResource</v>
      </c>
      <c r="N600" s="5">
        <f t="array" ref="N600">MAX(IF((ProjectInfoTable[ProjectName]=ContinuousStatsTable[[#This Row],[ProjectName]]),(ProjectInfoTable[ProjectName]=ContinuousStatsTable[[#This Row],[ProjectName]])*ProjectInfoTable[NumberOfReplications]))</f>
        <v>15</v>
      </c>
      <c r="O600" s="5">
        <f t="array" ref="O600">IFERROR(AVERAGE(IF((ContinuousStatsTable[GroupByKey]=ContinuousStatsTable[[#This Row],[GroupByKey]]),(ContinuousStatsTable[GroupByKey]=ContinuousStatsTable[[#This Row],[GroupByKey]])*ContinuousStatsTable[Average])),0)</f>
        <v>0</v>
      </c>
      <c r="P600" s="5">
        <f t="array" ref="P600">IFERROR(_xlfn.STDEV.S(IF((ContinuousStatsTable[GroupByKey]=ContinuousStatsTable[[#This Row],[GroupByKey]]),(ContinuousStatsTable[GroupByKey]=ContinuousStatsTable[[#This Row],[GroupByKey]])*ContinuousStatsTable[Average])),0)</f>
        <v>0</v>
      </c>
      <c r="Q600" s="5">
        <f t="array" ref="Q600">MAX(IF((ProjectInfoTable[ProjectName]=ContinuousStatsTable[[#This Row],[ProjectName]]),(ProjectInfoTable[ProjectName]=ContinuousStatsTable[[#This Row],[ProjectName]])*ProjectInfoTable[ConfidenceInterval]))</f>
        <v>0.95</v>
      </c>
      <c r="R6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0" s="5">
        <f t="array" ref="S600">MIN(IF((ContinuousStatsTable[GroupByKey]=ContinuousStatsTable[[#This Row],[GroupByKey]]),(ContinuousStatsTable[GroupByKey]=ContinuousStatsTable[[#This Row],[GroupByKey]])*ContinuousStatsTable[Average]))</f>
        <v>0</v>
      </c>
      <c r="T600" s="5">
        <f t="array" ref="T600">MAX(IF((ContinuousStatsTable[GroupByKey]=ContinuousStatsTable[[#This Row],[GroupByKey]]),(ContinuousStatsTable[GroupByKey]=ContinuousStatsTable[[#This Row],[GroupByKey]])*ContinuousStatsTable[Average]))</f>
        <v>0</v>
      </c>
      <c r="U600" s="5">
        <f>IF((ContinuousStatsTable[[#This Row],[RepsRequested]]&gt;1),ContinuousStatsTable[[#This Row],[HalfWidth]],ContinuousStatsTable[[#This Row],[BatchMeansHalfWidth]])</f>
        <v>0</v>
      </c>
    </row>
    <row r="601" spans="1:21" x14ac:dyDescent="0.25">
      <c r="A601" t="s">
        <v>67</v>
      </c>
      <c r="B601" t="s">
        <v>70</v>
      </c>
      <c r="C601">
        <v>14</v>
      </c>
      <c r="D601" t="s">
        <v>71</v>
      </c>
      <c r="E601" t="s">
        <v>74</v>
      </c>
      <c r="F601" t="s">
        <v>73</v>
      </c>
      <c r="G601">
        <v>0</v>
      </c>
      <c r="H601">
        <v>2E+20</v>
      </c>
      <c r="I601">
        <v>0</v>
      </c>
      <c r="J601">
        <v>0</v>
      </c>
      <c r="K601">
        <v>0</v>
      </c>
      <c r="L601">
        <v>0</v>
      </c>
      <c r="M601" s="5" t="str">
        <f>ContinuousStatsTable[[#This Row],[ProjectName]]&amp;ContinuousStatsTable[[#This Row],[Name]]&amp;ContinuousStatsTable[[#This Row],[Type]]&amp;ContinuousStatsTable[[#This Row],[Source]]</f>
        <v>Unnamed ProjectassemblerNumber BusyResource</v>
      </c>
      <c r="N601" s="5">
        <f t="array" ref="N601">MAX(IF((ProjectInfoTable[ProjectName]=ContinuousStatsTable[[#This Row],[ProjectName]]),(ProjectInfoTable[ProjectName]=ContinuousStatsTable[[#This Row],[ProjectName]])*ProjectInfoTable[NumberOfReplications]))</f>
        <v>15</v>
      </c>
      <c r="O601" s="5">
        <f t="array" ref="O601">IFERROR(AVERAGE(IF((ContinuousStatsTable[GroupByKey]=ContinuousStatsTable[[#This Row],[GroupByKey]]),(ContinuousStatsTable[GroupByKey]=ContinuousStatsTable[[#This Row],[GroupByKey]])*ContinuousStatsTable[Average])),0)</f>
        <v>0</v>
      </c>
      <c r="P601" s="5">
        <f t="array" ref="P601">IFERROR(_xlfn.STDEV.S(IF((ContinuousStatsTable[GroupByKey]=ContinuousStatsTable[[#This Row],[GroupByKey]]),(ContinuousStatsTable[GroupByKey]=ContinuousStatsTable[[#This Row],[GroupByKey]])*ContinuousStatsTable[Average])),0)</f>
        <v>0</v>
      </c>
      <c r="Q601" s="5">
        <f t="array" ref="Q601">MAX(IF((ProjectInfoTable[ProjectName]=ContinuousStatsTable[[#This Row],[ProjectName]]),(ProjectInfoTable[ProjectName]=ContinuousStatsTable[[#This Row],[ProjectName]])*ProjectInfoTable[ConfidenceInterval]))</f>
        <v>0.95</v>
      </c>
      <c r="R6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1" s="5">
        <f t="array" ref="S601">MIN(IF((ContinuousStatsTable[GroupByKey]=ContinuousStatsTable[[#This Row],[GroupByKey]]),(ContinuousStatsTable[GroupByKey]=ContinuousStatsTable[[#This Row],[GroupByKey]])*ContinuousStatsTable[Average]))</f>
        <v>0</v>
      </c>
      <c r="T601" s="5">
        <f t="array" ref="T601">MAX(IF((ContinuousStatsTable[GroupByKey]=ContinuousStatsTable[[#This Row],[GroupByKey]]),(ContinuousStatsTable[GroupByKey]=ContinuousStatsTable[[#This Row],[GroupByKey]])*ContinuousStatsTable[Average]))</f>
        <v>0</v>
      </c>
      <c r="U601" s="5">
        <f>IF((ContinuousStatsTable[[#This Row],[RepsRequested]]&gt;1),ContinuousStatsTable[[#This Row],[HalfWidth]],ContinuousStatsTable[[#This Row],[BatchMeansHalfWidth]])</f>
        <v>0</v>
      </c>
    </row>
    <row r="602" spans="1:21" x14ac:dyDescent="0.25">
      <c r="A602" t="s">
        <v>67</v>
      </c>
      <c r="B602" t="s">
        <v>70</v>
      </c>
      <c r="C602">
        <v>14</v>
      </c>
      <c r="D602" t="s">
        <v>71</v>
      </c>
      <c r="E602" t="s">
        <v>75</v>
      </c>
      <c r="F602" t="s">
        <v>73</v>
      </c>
      <c r="G602">
        <v>1</v>
      </c>
      <c r="H602">
        <v>2E+20</v>
      </c>
      <c r="I602">
        <v>1</v>
      </c>
      <c r="J602">
        <v>1</v>
      </c>
      <c r="K602">
        <v>1</v>
      </c>
      <c r="L602">
        <v>0</v>
      </c>
      <c r="M602" s="5" t="str">
        <f>ContinuousStatsTable[[#This Row],[ProjectName]]&amp;ContinuousStatsTable[[#This Row],[Name]]&amp;ContinuousStatsTable[[#This Row],[Type]]&amp;ContinuousStatsTable[[#This Row],[Source]]</f>
        <v>Unnamed ProjectassemblerNumber ScheduledResource</v>
      </c>
      <c r="N602" s="5">
        <f t="array" ref="N602">MAX(IF((ProjectInfoTable[ProjectName]=ContinuousStatsTable[[#This Row],[ProjectName]]),(ProjectInfoTable[ProjectName]=ContinuousStatsTable[[#This Row],[ProjectName]])*ProjectInfoTable[NumberOfReplications]))</f>
        <v>15</v>
      </c>
      <c r="O602" s="5">
        <f t="array" ref="O602">IFERROR(AVERAGE(IF((ContinuousStatsTable[GroupByKey]=ContinuousStatsTable[[#This Row],[GroupByKey]]),(ContinuousStatsTable[GroupByKey]=ContinuousStatsTable[[#This Row],[GroupByKey]])*ContinuousStatsTable[Average])),0)</f>
        <v>1.5333142680768803</v>
      </c>
      <c r="P602" s="5">
        <f t="array" ref="P602">IFERROR(_xlfn.STDEV.S(IF((ContinuousStatsTable[GroupByKey]=ContinuousStatsTable[[#This Row],[GroupByKey]]),(ContinuousStatsTable[GroupByKey]=ContinuousStatsTable[[#This Row],[GroupByKey]])*ContinuousStatsTable[Average])),0)</f>
        <v>0.24151891999367611</v>
      </c>
      <c r="Q602" s="5">
        <f t="array" ref="Q602">MAX(IF((ProjectInfoTable[ProjectName]=ContinuousStatsTable[[#This Row],[ProjectName]]),(ProjectInfoTable[ProjectName]=ContinuousStatsTable[[#This Row],[ProjectName]])*ProjectInfoTable[ConfidenceInterval]))</f>
        <v>0.95</v>
      </c>
      <c r="R6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0.13374871983117992</v>
      </c>
      <c r="S602" s="5">
        <f t="array" ref="S602">MIN(IF((ContinuousStatsTable[GroupByKey]=ContinuousStatsTable[[#This Row],[GroupByKey]]),(ContinuousStatsTable[GroupByKey]=ContinuousStatsTable[[#This Row],[GroupByKey]])*ContinuousStatsTable[Average]))</f>
        <v>1</v>
      </c>
      <c r="T602" s="5">
        <f t="array" ref="T602">MAX(IF((ContinuousStatsTable[GroupByKey]=ContinuousStatsTable[[#This Row],[GroupByKey]]),(ContinuousStatsTable[GroupByKey]=ContinuousStatsTable[[#This Row],[GroupByKey]])*ContinuousStatsTable[Average]))</f>
        <v>2</v>
      </c>
      <c r="U602" s="5">
        <f>IF((ContinuousStatsTable[[#This Row],[RepsRequested]]&gt;1),ContinuousStatsTable[[#This Row],[HalfWidth]],ContinuousStatsTable[[#This Row],[BatchMeansHalfWidth]])</f>
        <v>0.13374871983117992</v>
      </c>
    </row>
    <row r="603" spans="1:21" x14ac:dyDescent="0.25">
      <c r="A603" t="s">
        <v>67</v>
      </c>
      <c r="B603" t="s">
        <v>70</v>
      </c>
      <c r="C603">
        <v>14</v>
      </c>
      <c r="D603" t="s">
        <v>76</v>
      </c>
      <c r="E603" t="s">
        <v>72</v>
      </c>
      <c r="F603" t="s">
        <v>73</v>
      </c>
      <c r="G603">
        <v>0</v>
      </c>
      <c r="H603">
        <v>2E+20</v>
      </c>
      <c r="I603">
        <v>0</v>
      </c>
      <c r="J603">
        <v>0</v>
      </c>
      <c r="K603">
        <v>0</v>
      </c>
      <c r="L603">
        <v>0</v>
      </c>
      <c r="M603" s="5" t="str">
        <f>ContinuousStatsTable[[#This Row],[ProjectName]]&amp;ContinuousStatsTable[[#This Row],[Name]]&amp;ContinuousStatsTable[[#This Row],[Type]]&amp;ContinuousStatsTable[[#This Row],[Source]]</f>
        <v>Unnamed ProjectassemblyqcworkerInstantaneous UtilizationResource</v>
      </c>
      <c r="N603" s="5">
        <f t="array" ref="N603">MAX(IF((ProjectInfoTable[ProjectName]=ContinuousStatsTable[[#This Row],[ProjectName]]),(ProjectInfoTable[ProjectName]=ContinuousStatsTable[[#This Row],[ProjectName]])*ProjectInfoTable[NumberOfReplications]))</f>
        <v>15</v>
      </c>
      <c r="O603" s="5">
        <f t="array" ref="O603">IFERROR(AVERAGE(IF((ContinuousStatsTable[GroupByKey]=ContinuousStatsTable[[#This Row],[GroupByKey]]),(ContinuousStatsTable[GroupByKey]=ContinuousStatsTable[[#This Row],[GroupByKey]])*ContinuousStatsTable[Average])),0)</f>
        <v>0</v>
      </c>
      <c r="P603" s="5">
        <f t="array" ref="P603">IFERROR(_xlfn.STDEV.S(IF((ContinuousStatsTable[GroupByKey]=ContinuousStatsTable[[#This Row],[GroupByKey]]),(ContinuousStatsTable[GroupByKey]=ContinuousStatsTable[[#This Row],[GroupByKey]])*ContinuousStatsTable[Average])),0)</f>
        <v>0</v>
      </c>
      <c r="Q603" s="5">
        <f t="array" ref="Q603">MAX(IF((ProjectInfoTable[ProjectName]=ContinuousStatsTable[[#This Row],[ProjectName]]),(ProjectInfoTable[ProjectName]=ContinuousStatsTable[[#This Row],[ProjectName]])*ProjectInfoTable[ConfidenceInterval]))</f>
        <v>0.95</v>
      </c>
      <c r="R6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3" s="5">
        <f t="array" ref="S603">MIN(IF((ContinuousStatsTable[GroupByKey]=ContinuousStatsTable[[#This Row],[GroupByKey]]),(ContinuousStatsTable[GroupByKey]=ContinuousStatsTable[[#This Row],[GroupByKey]])*ContinuousStatsTable[Average]))</f>
        <v>0</v>
      </c>
      <c r="T603" s="5">
        <f t="array" ref="T603">MAX(IF((ContinuousStatsTable[GroupByKey]=ContinuousStatsTable[[#This Row],[GroupByKey]]),(ContinuousStatsTable[GroupByKey]=ContinuousStatsTable[[#This Row],[GroupByKey]])*ContinuousStatsTable[Average]))</f>
        <v>0</v>
      </c>
      <c r="U603" s="5">
        <f>IF((ContinuousStatsTable[[#This Row],[RepsRequested]]&gt;1),ContinuousStatsTable[[#This Row],[HalfWidth]],ContinuousStatsTable[[#This Row],[BatchMeansHalfWidth]])</f>
        <v>0</v>
      </c>
    </row>
    <row r="604" spans="1:21" x14ac:dyDescent="0.25">
      <c r="A604" t="s">
        <v>67</v>
      </c>
      <c r="B604" t="s">
        <v>70</v>
      </c>
      <c r="C604">
        <v>14</v>
      </c>
      <c r="D604" t="s">
        <v>76</v>
      </c>
      <c r="E604" t="s">
        <v>74</v>
      </c>
      <c r="F604" t="s">
        <v>73</v>
      </c>
      <c r="G604">
        <v>0</v>
      </c>
      <c r="H604">
        <v>2E+20</v>
      </c>
      <c r="I604">
        <v>0</v>
      </c>
      <c r="J604">
        <v>0</v>
      </c>
      <c r="K604">
        <v>0</v>
      </c>
      <c r="L604">
        <v>0</v>
      </c>
      <c r="M604" s="5" t="str">
        <f>ContinuousStatsTable[[#This Row],[ProjectName]]&amp;ContinuousStatsTable[[#This Row],[Name]]&amp;ContinuousStatsTable[[#This Row],[Type]]&amp;ContinuousStatsTable[[#This Row],[Source]]</f>
        <v>Unnamed ProjectassemblyqcworkerNumber BusyResource</v>
      </c>
      <c r="N604" s="5">
        <f t="array" ref="N604">MAX(IF((ProjectInfoTable[ProjectName]=ContinuousStatsTable[[#This Row],[ProjectName]]),(ProjectInfoTable[ProjectName]=ContinuousStatsTable[[#This Row],[ProjectName]])*ProjectInfoTable[NumberOfReplications]))</f>
        <v>15</v>
      </c>
      <c r="O604" s="5">
        <f t="array" ref="O604">IFERROR(AVERAGE(IF((ContinuousStatsTable[GroupByKey]=ContinuousStatsTable[[#This Row],[GroupByKey]]),(ContinuousStatsTable[GroupByKey]=ContinuousStatsTable[[#This Row],[GroupByKey]])*ContinuousStatsTable[Average])),0)</f>
        <v>0</v>
      </c>
      <c r="P604" s="5">
        <f t="array" ref="P604">IFERROR(_xlfn.STDEV.S(IF((ContinuousStatsTable[GroupByKey]=ContinuousStatsTable[[#This Row],[GroupByKey]]),(ContinuousStatsTable[GroupByKey]=ContinuousStatsTable[[#This Row],[GroupByKey]])*ContinuousStatsTable[Average])),0)</f>
        <v>0</v>
      </c>
      <c r="Q604" s="5">
        <f t="array" ref="Q604">MAX(IF((ProjectInfoTable[ProjectName]=ContinuousStatsTable[[#This Row],[ProjectName]]),(ProjectInfoTable[ProjectName]=ContinuousStatsTable[[#This Row],[ProjectName]])*ProjectInfoTable[ConfidenceInterval]))</f>
        <v>0.95</v>
      </c>
      <c r="R6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4" s="5">
        <f t="array" ref="S604">MIN(IF((ContinuousStatsTable[GroupByKey]=ContinuousStatsTable[[#This Row],[GroupByKey]]),(ContinuousStatsTable[GroupByKey]=ContinuousStatsTable[[#This Row],[GroupByKey]])*ContinuousStatsTable[Average]))</f>
        <v>0</v>
      </c>
      <c r="T604" s="5">
        <f t="array" ref="T604">MAX(IF((ContinuousStatsTable[GroupByKey]=ContinuousStatsTable[[#This Row],[GroupByKey]]),(ContinuousStatsTable[GroupByKey]=ContinuousStatsTable[[#This Row],[GroupByKey]])*ContinuousStatsTable[Average]))</f>
        <v>0</v>
      </c>
      <c r="U604" s="5">
        <f>IF((ContinuousStatsTable[[#This Row],[RepsRequested]]&gt;1),ContinuousStatsTable[[#This Row],[HalfWidth]],ContinuousStatsTable[[#This Row],[BatchMeansHalfWidth]])</f>
        <v>0</v>
      </c>
    </row>
    <row r="605" spans="1:21" x14ac:dyDescent="0.25">
      <c r="A605" t="s">
        <v>67</v>
      </c>
      <c r="B605" t="s">
        <v>70</v>
      </c>
      <c r="C605">
        <v>14</v>
      </c>
      <c r="D605" t="s">
        <v>76</v>
      </c>
      <c r="E605" t="s">
        <v>75</v>
      </c>
      <c r="F605" t="s">
        <v>73</v>
      </c>
      <c r="G605">
        <v>2</v>
      </c>
      <c r="H605">
        <v>2E+20</v>
      </c>
      <c r="I605">
        <v>2</v>
      </c>
      <c r="J605">
        <v>2</v>
      </c>
      <c r="K605">
        <v>2</v>
      </c>
      <c r="L605">
        <v>0</v>
      </c>
      <c r="M605" s="5" t="str">
        <f>ContinuousStatsTable[[#This Row],[ProjectName]]&amp;ContinuousStatsTable[[#This Row],[Name]]&amp;ContinuousStatsTable[[#This Row],[Type]]&amp;ContinuousStatsTable[[#This Row],[Source]]</f>
        <v>Unnamed ProjectassemblyqcworkerNumber ScheduledResource</v>
      </c>
      <c r="N605" s="5">
        <f t="array" ref="N605">MAX(IF((ProjectInfoTable[ProjectName]=ContinuousStatsTable[[#This Row],[ProjectName]]),(ProjectInfoTable[ProjectName]=ContinuousStatsTable[[#This Row],[ProjectName]])*ProjectInfoTable[NumberOfReplications]))</f>
        <v>15</v>
      </c>
      <c r="O605" s="5">
        <f t="array" ref="O605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605" s="5">
        <f t="array" ref="P605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605" s="5">
        <f t="array" ref="Q605">MAX(IF((ProjectInfoTable[ProjectName]=ContinuousStatsTable[[#This Row],[ProjectName]]),(ProjectInfoTable[ProjectName]=ContinuousStatsTable[[#This Row],[ProjectName]])*ProjectInfoTable[ConfidenceInterval]))</f>
        <v>0.95</v>
      </c>
      <c r="R6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605" s="5">
        <f t="array" ref="S605">MIN(IF((ContinuousStatsTable[GroupByKey]=ContinuousStatsTable[[#This Row],[GroupByKey]]),(ContinuousStatsTable[GroupByKey]=ContinuousStatsTable[[#This Row],[GroupByKey]])*ContinuousStatsTable[Average]))</f>
        <v>1</v>
      </c>
      <c r="T605" s="5">
        <f t="array" ref="T605">MAX(IF((ContinuousStatsTable[GroupByKey]=ContinuousStatsTable[[#This Row],[GroupByKey]]),(ContinuousStatsTable[GroupByKey]=ContinuousStatsTable[[#This Row],[GroupByKey]])*ContinuousStatsTable[Average]))</f>
        <v>2</v>
      </c>
      <c r="U605" s="5">
        <f>IF((ContinuousStatsTable[[#This Row],[RepsRequested]]&gt;1),ContinuousStatsTable[[#This Row],[HalfWidth]],ContinuousStatsTable[[#This Row],[BatchMeansHalfWidth]])</f>
        <v>0.13376733135491528</v>
      </c>
    </row>
    <row r="606" spans="1:21" x14ac:dyDescent="0.25">
      <c r="A606" t="s">
        <v>67</v>
      </c>
      <c r="B606" t="s">
        <v>70</v>
      </c>
      <c r="C606">
        <v>14</v>
      </c>
      <c r="D606" t="s">
        <v>77</v>
      </c>
      <c r="E606" t="s">
        <v>78</v>
      </c>
      <c r="F606" t="s">
        <v>79</v>
      </c>
      <c r="G606">
        <v>0</v>
      </c>
      <c r="H606">
        <v>2E+20</v>
      </c>
      <c r="I606">
        <v>0</v>
      </c>
      <c r="J606">
        <v>0</v>
      </c>
      <c r="K606">
        <v>0</v>
      </c>
      <c r="L606">
        <v>0</v>
      </c>
      <c r="M606" s="5" t="str">
        <f>ContinuousStatsTable[[#This Row],[ProjectName]]&amp;ContinuousStatsTable[[#This Row],[Name]]&amp;ContinuousStatsTable[[#This Row],[Type]]&amp;ContinuousStatsTable[[#This Row],[Source]]</f>
        <v>Unnamed Projectbatched_partsWIPEntity</v>
      </c>
      <c r="N606" s="5">
        <f t="array" ref="N606">MAX(IF((ProjectInfoTable[ProjectName]=ContinuousStatsTable[[#This Row],[ProjectName]]),(ProjectInfoTable[ProjectName]=ContinuousStatsTable[[#This Row],[ProjectName]])*ProjectInfoTable[NumberOfReplications]))</f>
        <v>15</v>
      </c>
      <c r="O606" s="5">
        <f t="array" ref="O606">IFERROR(AVERAGE(IF((ContinuousStatsTable[GroupByKey]=ContinuousStatsTable[[#This Row],[GroupByKey]]),(ContinuousStatsTable[GroupByKey]=ContinuousStatsTable[[#This Row],[GroupByKey]])*ContinuousStatsTable[Average])),0)</f>
        <v>0</v>
      </c>
      <c r="P606" s="5">
        <f t="array" ref="P606">IFERROR(_xlfn.STDEV.S(IF((ContinuousStatsTable[GroupByKey]=ContinuousStatsTable[[#This Row],[GroupByKey]]),(ContinuousStatsTable[GroupByKey]=ContinuousStatsTable[[#This Row],[GroupByKey]])*ContinuousStatsTable[Average])),0)</f>
        <v>0</v>
      </c>
      <c r="Q606" s="5">
        <f t="array" ref="Q606">MAX(IF((ProjectInfoTable[ProjectName]=ContinuousStatsTable[[#This Row],[ProjectName]]),(ProjectInfoTable[ProjectName]=ContinuousStatsTable[[#This Row],[ProjectName]])*ProjectInfoTable[ConfidenceInterval]))</f>
        <v>0.95</v>
      </c>
      <c r="R6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6" s="5">
        <f t="array" ref="S606">MIN(IF((ContinuousStatsTable[GroupByKey]=ContinuousStatsTable[[#This Row],[GroupByKey]]),(ContinuousStatsTable[GroupByKey]=ContinuousStatsTable[[#This Row],[GroupByKey]])*ContinuousStatsTable[Average]))</f>
        <v>0</v>
      </c>
      <c r="T606" s="5">
        <f t="array" ref="T606">MAX(IF((ContinuousStatsTable[GroupByKey]=ContinuousStatsTable[[#This Row],[GroupByKey]]),(ContinuousStatsTable[GroupByKey]=ContinuousStatsTable[[#This Row],[GroupByKey]])*ContinuousStatsTable[Average]))</f>
        <v>0</v>
      </c>
      <c r="U606" s="5">
        <f>IF((ContinuousStatsTable[[#This Row],[RepsRequested]]&gt;1),ContinuousStatsTable[[#This Row],[HalfWidth]],ContinuousStatsTable[[#This Row],[BatchMeansHalfWidth]])</f>
        <v>0</v>
      </c>
    </row>
    <row r="607" spans="1:21" x14ac:dyDescent="0.25">
      <c r="A607" t="s">
        <v>67</v>
      </c>
      <c r="B607" t="s">
        <v>70</v>
      </c>
      <c r="C607">
        <v>14</v>
      </c>
      <c r="D607" t="s">
        <v>80</v>
      </c>
      <c r="E607" t="s">
        <v>72</v>
      </c>
      <c r="F607" t="s">
        <v>73</v>
      </c>
      <c r="G607">
        <v>0</v>
      </c>
      <c r="H607">
        <v>2E+20</v>
      </c>
      <c r="I607">
        <v>0</v>
      </c>
      <c r="J607">
        <v>0</v>
      </c>
      <c r="K607">
        <v>0</v>
      </c>
      <c r="L607">
        <v>0</v>
      </c>
      <c r="M607" s="5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607" s="5">
        <f t="array" ref="N607">MAX(IF((ProjectInfoTable[ProjectName]=ContinuousStatsTable[[#This Row],[ProjectName]]),(ProjectInfoTable[ProjectName]=ContinuousStatsTable[[#This Row],[ProjectName]])*ProjectInfoTable[NumberOfReplications]))</f>
        <v>15</v>
      </c>
      <c r="O607" s="5">
        <f t="array" ref="O607">IFERROR(AVERAGE(IF((ContinuousStatsTable[GroupByKey]=ContinuousStatsTable[[#This Row],[GroupByKey]]),(ContinuousStatsTable[GroupByKey]=ContinuousStatsTable[[#This Row],[GroupByKey]])*ContinuousStatsTable[Average])),0)</f>
        <v>0</v>
      </c>
      <c r="P607" s="5">
        <f t="array" ref="P607">IFERROR(_xlfn.STDEV.S(IF((ContinuousStatsTable[GroupByKey]=ContinuousStatsTable[[#This Row],[GroupByKey]]),(ContinuousStatsTable[GroupByKey]=ContinuousStatsTable[[#This Row],[GroupByKey]])*ContinuousStatsTable[Average])),0)</f>
        <v>0</v>
      </c>
      <c r="Q607" s="5">
        <f t="array" ref="Q607">MAX(IF((ProjectInfoTable[ProjectName]=ContinuousStatsTable[[#This Row],[ProjectName]]),(ProjectInfoTable[ProjectName]=ContinuousStatsTable[[#This Row],[ProjectName]])*ProjectInfoTable[ConfidenceInterval]))</f>
        <v>0.95</v>
      </c>
      <c r="R6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7" s="5">
        <f t="array" ref="S607">MIN(IF((ContinuousStatsTable[GroupByKey]=ContinuousStatsTable[[#This Row],[GroupByKey]]),(ContinuousStatsTable[GroupByKey]=ContinuousStatsTable[[#This Row],[GroupByKey]])*ContinuousStatsTable[Average]))</f>
        <v>0</v>
      </c>
      <c r="T607" s="5">
        <f t="array" ref="T607">MAX(IF((ContinuousStatsTable[GroupByKey]=ContinuousStatsTable[[#This Row],[GroupByKey]]),(ContinuousStatsTable[GroupByKey]=ContinuousStatsTable[[#This Row],[GroupByKey]])*ContinuousStatsTable[Average]))</f>
        <v>0</v>
      </c>
      <c r="U607" s="5">
        <f>IF((ContinuousStatsTable[[#This Row],[RepsRequested]]&gt;1),ContinuousStatsTable[[#This Row],[HalfWidth]],ContinuousStatsTable[[#This Row],[BatchMeansHalfWidth]])</f>
        <v>0</v>
      </c>
    </row>
    <row r="608" spans="1:21" x14ac:dyDescent="0.25">
      <c r="A608" t="s">
        <v>67</v>
      </c>
      <c r="B608" t="s">
        <v>70</v>
      </c>
      <c r="C608">
        <v>14</v>
      </c>
      <c r="D608" t="s">
        <v>80</v>
      </c>
      <c r="E608" t="s">
        <v>74</v>
      </c>
      <c r="F608" t="s">
        <v>73</v>
      </c>
      <c r="G608">
        <v>0</v>
      </c>
      <c r="H608">
        <v>2E+20</v>
      </c>
      <c r="I608">
        <v>0</v>
      </c>
      <c r="J608">
        <v>0</v>
      </c>
      <c r="K608">
        <v>0</v>
      </c>
      <c r="L608">
        <v>0</v>
      </c>
      <c r="M608" s="5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608" s="5">
        <f t="array" ref="N608">MAX(IF((ProjectInfoTable[ProjectName]=ContinuousStatsTable[[#This Row],[ProjectName]]),(ProjectInfoTable[ProjectName]=ContinuousStatsTable[[#This Row],[ProjectName]])*ProjectInfoTable[NumberOfReplications]))</f>
        <v>15</v>
      </c>
      <c r="O608" s="5">
        <f t="array" ref="O608">IFERROR(AVERAGE(IF((ContinuousStatsTable[GroupByKey]=ContinuousStatsTable[[#This Row],[GroupByKey]]),(ContinuousStatsTable[GroupByKey]=ContinuousStatsTable[[#This Row],[GroupByKey]])*ContinuousStatsTable[Average])),0)</f>
        <v>0</v>
      </c>
      <c r="P608" s="5">
        <f t="array" ref="P608">IFERROR(_xlfn.STDEV.S(IF((ContinuousStatsTable[GroupByKey]=ContinuousStatsTable[[#This Row],[GroupByKey]]),(ContinuousStatsTable[GroupByKey]=ContinuousStatsTable[[#This Row],[GroupByKey]])*ContinuousStatsTable[Average])),0)</f>
        <v>0</v>
      </c>
      <c r="Q608" s="5">
        <f t="array" ref="Q608">MAX(IF((ProjectInfoTable[ProjectName]=ContinuousStatsTable[[#This Row],[ProjectName]]),(ProjectInfoTable[ProjectName]=ContinuousStatsTable[[#This Row],[ProjectName]])*ProjectInfoTable[ConfidenceInterval]))</f>
        <v>0.95</v>
      </c>
      <c r="R6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8" s="5">
        <f t="array" ref="S608">MIN(IF((ContinuousStatsTable[GroupByKey]=ContinuousStatsTable[[#This Row],[GroupByKey]]),(ContinuousStatsTable[GroupByKey]=ContinuousStatsTable[[#This Row],[GroupByKey]])*ContinuousStatsTable[Average]))</f>
        <v>0</v>
      </c>
      <c r="T608" s="5">
        <f t="array" ref="T608">MAX(IF((ContinuousStatsTable[GroupByKey]=ContinuousStatsTable[[#This Row],[GroupByKey]]),(ContinuousStatsTable[GroupByKey]=ContinuousStatsTable[[#This Row],[GroupByKey]])*ContinuousStatsTable[Average]))</f>
        <v>0</v>
      </c>
      <c r="U608" s="5">
        <f>IF((ContinuousStatsTable[[#This Row],[RepsRequested]]&gt;1),ContinuousStatsTable[[#This Row],[HalfWidth]],ContinuousStatsTable[[#This Row],[BatchMeansHalfWidth]])</f>
        <v>0</v>
      </c>
    </row>
    <row r="609" spans="1:21" x14ac:dyDescent="0.25">
      <c r="A609" t="s">
        <v>67</v>
      </c>
      <c r="B609" t="s">
        <v>70</v>
      </c>
      <c r="C609">
        <v>14</v>
      </c>
      <c r="D609" t="s">
        <v>80</v>
      </c>
      <c r="E609" t="s">
        <v>75</v>
      </c>
      <c r="F609" t="s">
        <v>73</v>
      </c>
      <c r="G609">
        <v>2</v>
      </c>
      <c r="H609">
        <v>2E+20</v>
      </c>
      <c r="I609">
        <v>2</v>
      </c>
      <c r="J609">
        <v>2</v>
      </c>
      <c r="K609">
        <v>2</v>
      </c>
      <c r="L609">
        <v>0</v>
      </c>
      <c r="M609" s="5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609" s="5">
        <f t="array" ref="N609">MAX(IF((ProjectInfoTable[ProjectName]=ContinuousStatsTable[[#This Row],[ProjectName]]),(ProjectInfoTable[ProjectName]=ContinuousStatsTable[[#This Row],[ProjectName]])*ProjectInfoTable[NumberOfReplications]))</f>
        <v>15</v>
      </c>
      <c r="O609" s="5">
        <f t="array" ref="O609">IFERROR(AVERAGE(IF((ContinuousStatsTable[GroupByKey]=ContinuousStatsTable[[#This Row],[GroupByKey]]),(ContinuousStatsTable[GroupByKey]=ContinuousStatsTable[[#This Row],[GroupByKey]])*ContinuousStatsTable[Average])),0)</f>
        <v>1.5334471868881776</v>
      </c>
      <c r="P609" s="5">
        <f t="array" ref="P609">IFERROR(_xlfn.STDEV.S(IF((ContinuousStatsTable[GroupByKey]=ContinuousStatsTable[[#This Row],[GroupByKey]]),(ContinuousStatsTable[GroupByKey]=ContinuousStatsTable[[#This Row],[GroupByKey]])*ContinuousStatsTable[Average])),0)</f>
        <v>0.24154821158553658</v>
      </c>
      <c r="Q609" s="5">
        <f t="array" ref="Q609">MAX(IF((ProjectInfoTable[ProjectName]=ContinuousStatsTable[[#This Row],[ProjectName]]),(ProjectInfoTable[ProjectName]=ContinuousStatsTable[[#This Row],[ProjectName]])*ProjectInfoTable[ConfidenceInterval]))</f>
        <v>0.95</v>
      </c>
      <c r="R6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0.13376494097407529</v>
      </c>
      <c r="S609" s="5">
        <f t="array" ref="S609">MIN(IF((ContinuousStatsTable[GroupByKey]=ContinuousStatsTable[[#This Row],[GroupByKey]]),(ContinuousStatsTable[GroupByKey]=ContinuousStatsTable[[#This Row],[GroupByKey]])*ContinuousStatsTable[Average]))</f>
        <v>1</v>
      </c>
      <c r="T609" s="5">
        <f t="array" ref="T609">MAX(IF((ContinuousStatsTable[GroupByKey]=ContinuousStatsTable[[#This Row],[GroupByKey]]),(ContinuousStatsTable[GroupByKey]=ContinuousStatsTable[[#This Row],[GroupByKey]])*ContinuousStatsTable[Average]))</f>
        <v>2</v>
      </c>
      <c r="U609" s="5">
        <f>IF((ContinuousStatsTable[[#This Row],[RepsRequested]]&gt;1),ContinuousStatsTable[[#This Row],[HalfWidth]],ContinuousStatsTable[[#This Row],[BatchMeansHalfWidth]])</f>
        <v>0.13376494097407529</v>
      </c>
    </row>
    <row r="610" spans="1:21" x14ac:dyDescent="0.25">
      <c r="A610" t="s">
        <v>67</v>
      </c>
      <c r="B610" t="s">
        <v>70</v>
      </c>
      <c r="C610">
        <v>14</v>
      </c>
      <c r="D610" t="s">
        <v>81</v>
      </c>
      <c r="E610" t="s">
        <v>72</v>
      </c>
      <c r="F610" t="s">
        <v>73</v>
      </c>
      <c r="G610">
        <v>0</v>
      </c>
      <c r="H610">
        <v>2E+20</v>
      </c>
      <c r="I610">
        <v>0</v>
      </c>
      <c r="J610">
        <v>0</v>
      </c>
      <c r="K610">
        <v>0</v>
      </c>
      <c r="L610">
        <v>0</v>
      </c>
      <c r="M610" s="5" t="str">
        <f>ContinuousStatsTable[[#This Row],[ProjectName]]&amp;ContinuousStatsTable[[#This Row],[Name]]&amp;ContinuousStatsTable[[#This Row],[Type]]&amp;ContinuousStatsTable[[#This Row],[Source]]</f>
        <v>Unnamed ProjectcutterInstantaneous UtilizationResource</v>
      </c>
      <c r="N610" s="5">
        <f t="array" ref="N610">MAX(IF((ProjectInfoTable[ProjectName]=ContinuousStatsTable[[#This Row],[ProjectName]]),(ProjectInfoTable[ProjectName]=ContinuousStatsTable[[#This Row],[ProjectName]])*ProjectInfoTable[NumberOfReplications]))</f>
        <v>15</v>
      </c>
      <c r="O610" s="5">
        <f t="array" ref="O610">IFERROR(AVERAGE(IF((ContinuousStatsTable[GroupByKey]=ContinuousStatsTable[[#This Row],[GroupByKey]]),(ContinuousStatsTable[GroupByKey]=ContinuousStatsTable[[#This Row],[GroupByKey]])*ContinuousStatsTable[Average])),0)</f>
        <v>0</v>
      </c>
      <c r="P610" s="5">
        <f t="array" ref="P610">IFERROR(_xlfn.STDEV.S(IF((ContinuousStatsTable[GroupByKey]=ContinuousStatsTable[[#This Row],[GroupByKey]]),(ContinuousStatsTable[GroupByKey]=ContinuousStatsTable[[#This Row],[GroupByKey]])*ContinuousStatsTable[Average])),0)</f>
        <v>0</v>
      </c>
      <c r="Q610" s="5">
        <f t="array" ref="Q610">MAX(IF((ProjectInfoTable[ProjectName]=ContinuousStatsTable[[#This Row],[ProjectName]]),(ProjectInfoTable[ProjectName]=ContinuousStatsTable[[#This Row],[ProjectName]])*ProjectInfoTable[ConfidenceInterval]))</f>
        <v>0.95</v>
      </c>
      <c r="R6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0" s="5">
        <f t="array" ref="S610">MIN(IF((ContinuousStatsTable[GroupByKey]=ContinuousStatsTable[[#This Row],[GroupByKey]]),(ContinuousStatsTable[GroupByKey]=ContinuousStatsTable[[#This Row],[GroupByKey]])*ContinuousStatsTable[Average]))</f>
        <v>0</v>
      </c>
      <c r="T610" s="5">
        <f t="array" ref="T610">MAX(IF((ContinuousStatsTable[GroupByKey]=ContinuousStatsTable[[#This Row],[GroupByKey]]),(ContinuousStatsTable[GroupByKey]=ContinuousStatsTable[[#This Row],[GroupByKey]])*ContinuousStatsTable[Average]))</f>
        <v>0</v>
      </c>
      <c r="U610" s="5">
        <f>IF((ContinuousStatsTable[[#This Row],[RepsRequested]]&gt;1),ContinuousStatsTable[[#This Row],[HalfWidth]],ContinuousStatsTable[[#This Row],[BatchMeansHalfWidth]])</f>
        <v>0</v>
      </c>
    </row>
    <row r="611" spans="1:21" x14ac:dyDescent="0.25">
      <c r="A611" t="s">
        <v>67</v>
      </c>
      <c r="B611" t="s">
        <v>70</v>
      </c>
      <c r="C611">
        <v>14</v>
      </c>
      <c r="D611" t="s">
        <v>81</v>
      </c>
      <c r="E611" t="s">
        <v>74</v>
      </c>
      <c r="F611" t="s">
        <v>73</v>
      </c>
      <c r="G611">
        <v>0</v>
      </c>
      <c r="H611">
        <v>2E+20</v>
      </c>
      <c r="I611">
        <v>0</v>
      </c>
      <c r="J611">
        <v>0</v>
      </c>
      <c r="K611">
        <v>0</v>
      </c>
      <c r="L611">
        <v>0</v>
      </c>
      <c r="M611" s="5" t="str">
        <f>ContinuousStatsTable[[#This Row],[ProjectName]]&amp;ContinuousStatsTable[[#This Row],[Name]]&amp;ContinuousStatsTable[[#This Row],[Type]]&amp;ContinuousStatsTable[[#This Row],[Source]]</f>
        <v>Unnamed ProjectcutterNumber BusyResource</v>
      </c>
      <c r="N611" s="5">
        <f t="array" ref="N611">MAX(IF((ProjectInfoTable[ProjectName]=ContinuousStatsTable[[#This Row],[ProjectName]]),(ProjectInfoTable[ProjectName]=ContinuousStatsTable[[#This Row],[ProjectName]])*ProjectInfoTable[NumberOfReplications]))</f>
        <v>15</v>
      </c>
      <c r="O611" s="5">
        <f t="array" ref="O611">IFERROR(AVERAGE(IF((ContinuousStatsTable[GroupByKey]=ContinuousStatsTable[[#This Row],[GroupByKey]]),(ContinuousStatsTable[GroupByKey]=ContinuousStatsTable[[#This Row],[GroupByKey]])*ContinuousStatsTable[Average])),0)</f>
        <v>0</v>
      </c>
      <c r="P611" s="5">
        <f t="array" ref="P611">IFERROR(_xlfn.STDEV.S(IF((ContinuousStatsTable[GroupByKey]=ContinuousStatsTable[[#This Row],[GroupByKey]]),(ContinuousStatsTable[GroupByKey]=ContinuousStatsTable[[#This Row],[GroupByKey]])*ContinuousStatsTable[Average])),0)</f>
        <v>0</v>
      </c>
      <c r="Q611" s="5">
        <f t="array" ref="Q611">MAX(IF((ProjectInfoTable[ProjectName]=ContinuousStatsTable[[#This Row],[ProjectName]]),(ProjectInfoTable[ProjectName]=ContinuousStatsTable[[#This Row],[ProjectName]])*ProjectInfoTable[ConfidenceInterval]))</f>
        <v>0.95</v>
      </c>
      <c r="R6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1" s="5">
        <f t="array" ref="S611">MIN(IF((ContinuousStatsTable[GroupByKey]=ContinuousStatsTable[[#This Row],[GroupByKey]]),(ContinuousStatsTable[GroupByKey]=ContinuousStatsTable[[#This Row],[GroupByKey]])*ContinuousStatsTable[Average]))</f>
        <v>0</v>
      </c>
      <c r="T611" s="5">
        <f t="array" ref="T611">MAX(IF((ContinuousStatsTable[GroupByKey]=ContinuousStatsTable[[#This Row],[GroupByKey]]),(ContinuousStatsTable[GroupByKey]=ContinuousStatsTable[[#This Row],[GroupByKey]])*ContinuousStatsTable[Average]))</f>
        <v>0</v>
      </c>
      <c r="U611" s="5">
        <f>IF((ContinuousStatsTable[[#This Row],[RepsRequested]]&gt;1),ContinuousStatsTable[[#This Row],[HalfWidth]],ContinuousStatsTable[[#This Row],[BatchMeansHalfWidth]])</f>
        <v>0</v>
      </c>
    </row>
    <row r="612" spans="1:21" x14ac:dyDescent="0.25">
      <c r="A612" t="s">
        <v>67</v>
      </c>
      <c r="B612" t="s">
        <v>70</v>
      </c>
      <c r="C612">
        <v>14</v>
      </c>
      <c r="D612" t="s">
        <v>81</v>
      </c>
      <c r="E612" t="s">
        <v>75</v>
      </c>
      <c r="F612" t="s">
        <v>73</v>
      </c>
      <c r="G612">
        <v>2</v>
      </c>
      <c r="H612">
        <v>2E+20</v>
      </c>
      <c r="I612">
        <v>2</v>
      </c>
      <c r="J612">
        <v>2</v>
      </c>
      <c r="K612">
        <v>2</v>
      </c>
      <c r="L612">
        <v>0</v>
      </c>
      <c r="M612" s="5" t="str">
        <f>ContinuousStatsTable[[#This Row],[ProjectName]]&amp;ContinuousStatsTable[[#This Row],[Name]]&amp;ContinuousStatsTable[[#This Row],[Type]]&amp;ContinuousStatsTable[[#This Row],[Source]]</f>
        <v>Unnamed ProjectcutterNumber ScheduledResource</v>
      </c>
      <c r="N612" s="5">
        <f t="array" ref="N612">MAX(IF((ProjectInfoTable[ProjectName]=ContinuousStatsTable[[#This Row],[ProjectName]]),(ProjectInfoTable[ProjectName]=ContinuousStatsTable[[#This Row],[ProjectName]])*ProjectInfoTable[NumberOfReplications]))</f>
        <v>15</v>
      </c>
      <c r="O612" s="5">
        <f t="array" ref="O612">IFERROR(AVERAGE(IF((ContinuousStatsTable[GroupByKey]=ContinuousStatsTable[[#This Row],[GroupByKey]]),(ContinuousStatsTable[GroupByKey]=ContinuousStatsTable[[#This Row],[GroupByKey]])*ContinuousStatsTable[Average])),0)</f>
        <v>1.5332999999999999</v>
      </c>
      <c r="P612" s="5">
        <f t="array" ref="P612">IFERROR(_xlfn.STDEV.S(IF((ContinuousStatsTable[GroupByKey]=ContinuousStatsTable[[#This Row],[GroupByKey]]),(ContinuousStatsTable[GroupByKey]=ContinuousStatsTable[[#This Row],[GroupByKey]])*ContinuousStatsTable[Average])),0)</f>
        <v>0.24151556349584294</v>
      </c>
      <c r="Q612" s="5">
        <f t="array" ref="Q612">MAX(IF((ProjectInfoTable[ProjectName]=ContinuousStatsTable[[#This Row],[ProjectName]]),(ProjectInfoTable[ProjectName]=ContinuousStatsTable[[#This Row],[ProjectName]])*ProjectInfoTable[ConfidenceInterval]))</f>
        <v>0.95</v>
      </c>
      <c r="R6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0.1337468610646356</v>
      </c>
      <c r="S612" s="5">
        <f t="array" ref="S612">MIN(IF((ContinuousStatsTable[GroupByKey]=ContinuousStatsTable[[#This Row],[GroupByKey]]),(ContinuousStatsTable[GroupByKey]=ContinuousStatsTable[[#This Row],[GroupByKey]])*ContinuousStatsTable[Average]))</f>
        <v>1</v>
      </c>
      <c r="T612" s="5">
        <f t="array" ref="T612">MAX(IF((ContinuousStatsTable[GroupByKey]=ContinuousStatsTable[[#This Row],[GroupByKey]]),(ContinuousStatsTable[GroupByKey]=ContinuousStatsTable[[#This Row],[GroupByKey]])*ContinuousStatsTable[Average]))</f>
        <v>2</v>
      </c>
      <c r="U612" s="5">
        <f>IF((ContinuousStatsTable[[#This Row],[RepsRequested]]&gt;1),ContinuousStatsTable[[#This Row],[HalfWidth]],ContinuousStatsTable[[#This Row],[BatchMeansHalfWidth]])</f>
        <v>0.1337468610646356</v>
      </c>
    </row>
    <row r="613" spans="1:21" x14ac:dyDescent="0.25">
      <c r="A613" t="s">
        <v>67</v>
      </c>
      <c r="B613" t="s">
        <v>70</v>
      </c>
      <c r="C613">
        <v>14</v>
      </c>
      <c r="D613" t="s">
        <v>82</v>
      </c>
      <c r="E613" t="s">
        <v>72</v>
      </c>
      <c r="F613" t="s">
        <v>73</v>
      </c>
      <c r="G613">
        <v>0</v>
      </c>
      <c r="H613">
        <v>2E+20</v>
      </c>
      <c r="I613">
        <v>0</v>
      </c>
      <c r="J613">
        <v>0</v>
      </c>
      <c r="K613">
        <v>0</v>
      </c>
      <c r="L613">
        <v>0</v>
      </c>
      <c r="M613" s="5" t="str">
        <f>ContinuousStatsTable[[#This Row],[ProjectName]]&amp;ContinuousStatsTable[[#This Row],[Name]]&amp;ContinuousStatsTable[[#This Row],[Type]]&amp;ContinuousStatsTable[[#This Row],[Source]]</f>
        <v>Unnamed ProjectfinalqcmanInstantaneous UtilizationResource</v>
      </c>
      <c r="N613" s="5">
        <f t="array" ref="N613">MAX(IF((ProjectInfoTable[ProjectName]=ContinuousStatsTable[[#This Row],[ProjectName]]),(ProjectInfoTable[ProjectName]=ContinuousStatsTable[[#This Row],[ProjectName]])*ProjectInfoTable[NumberOfReplications]))</f>
        <v>15</v>
      </c>
      <c r="O613" s="5">
        <f t="array" ref="O613">IFERROR(AVERAGE(IF((ContinuousStatsTable[GroupByKey]=ContinuousStatsTable[[#This Row],[GroupByKey]]),(ContinuousStatsTable[GroupByKey]=ContinuousStatsTable[[#This Row],[GroupByKey]])*ContinuousStatsTable[Average])),0)</f>
        <v>0</v>
      </c>
      <c r="P613" s="5">
        <f t="array" ref="P613">IFERROR(_xlfn.STDEV.S(IF((ContinuousStatsTable[GroupByKey]=ContinuousStatsTable[[#This Row],[GroupByKey]]),(ContinuousStatsTable[GroupByKey]=ContinuousStatsTable[[#This Row],[GroupByKey]])*ContinuousStatsTable[Average])),0)</f>
        <v>0</v>
      </c>
      <c r="Q613" s="5">
        <f t="array" ref="Q613">MAX(IF((ProjectInfoTable[ProjectName]=ContinuousStatsTable[[#This Row],[ProjectName]]),(ProjectInfoTable[ProjectName]=ContinuousStatsTable[[#This Row],[ProjectName]])*ProjectInfoTable[ConfidenceInterval]))</f>
        <v>0.95</v>
      </c>
      <c r="R6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3" s="5">
        <f t="array" ref="S613">MIN(IF((ContinuousStatsTable[GroupByKey]=ContinuousStatsTable[[#This Row],[GroupByKey]]),(ContinuousStatsTable[GroupByKey]=ContinuousStatsTable[[#This Row],[GroupByKey]])*ContinuousStatsTable[Average]))</f>
        <v>0</v>
      </c>
      <c r="T613" s="5">
        <f t="array" ref="T613">MAX(IF((ContinuousStatsTable[GroupByKey]=ContinuousStatsTable[[#This Row],[GroupByKey]]),(ContinuousStatsTable[GroupByKey]=ContinuousStatsTable[[#This Row],[GroupByKey]])*ContinuousStatsTable[Average]))</f>
        <v>0</v>
      </c>
      <c r="U613" s="5">
        <f>IF((ContinuousStatsTable[[#This Row],[RepsRequested]]&gt;1),ContinuousStatsTable[[#This Row],[HalfWidth]],ContinuousStatsTable[[#This Row],[BatchMeansHalfWidth]])</f>
        <v>0</v>
      </c>
    </row>
    <row r="614" spans="1:21" x14ac:dyDescent="0.25">
      <c r="A614" t="s">
        <v>67</v>
      </c>
      <c r="B614" t="s">
        <v>70</v>
      </c>
      <c r="C614">
        <v>14</v>
      </c>
      <c r="D614" t="s">
        <v>82</v>
      </c>
      <c r="E614" t="s">
        <v>74</v>
      </c>
      <c r="F614" t="s">
        <v>73</v>
      </c>
      <c r="G614">
        <v>0</v>
      </c>
      <c r="H614">
        <v>2E+20</v>
      </c>
      <c r="I614">
        <v>0</v>
      </c>
      <c r="J614">
        <v>0</v>
      </c>
      <c r="K614">
        <v>0</v>
      </c>
      <c r="L614">
        <v>0</v>
      </c>
      <c r="M614" s="5" t="str">
        <f>ContinuousStatsTable[[#This Row],[ProjectName]]&amp;ContinuousStatsTable[[#This Row],[Name]]&amp;ContinuousStatsTable[[#This Row],[Type]]&amp;ContinuousStatsTable[[#This Row],[Source]]</f>
        <v>Unnamed ProjectfinalqcmanNumber BusyResource</v>
      </c>
      <c r="N614" s="5">
        <f t="array" ref="N614">MAX(IF((ProjectInfoTable[ProjectName]=ContinuousStatsTable[[#This Row],[ProjectName]]),(ProjectInfoTable[ProjectName]=ContinuousStatsTable[[#This Row],[ProjectName]])*ProjectInfoTable[NumberOfReplications]))</f>
        <v>15</v>
      </c>
      <c r="O614" s="5">
        <f t="array" ref="O614">IFERROR(AVERAGE(IF((ContinuousStatsTable[GroupByKey]=ContinuousStatsTable[[#This Row],[GroupByKey]]),(ContinuousStatsTable[GroupByKey]=ContinuousStatsTable[[#This Row],[GroupByKey]])*ContinuousStatsTable[Average])),0)</f>
        <v>0</v>
      </c>
      <c r="P614" s="5">
        <f t="array" ref="P614">IFERROR(_xlfn.STDEV.S(IF((ContinuousStatsTable[GroupByKey]=ContinuousStatsTable[[#This Row],[GroupByKey]]),(ContinuousStatsTable[GroupByKey]=ContinuousStatsTable[[#This Row],[GroupByKey]])*ContinuousStatsTable[Average])),0)</f>
        <v>0</v>
      </c>
      <c r="Q614" s="5">
        <f t="array" ref="Q614">MAX(IF((ProjectInfoTable[ProjectName]=ContinuousStatsTable[[#This Row],[ProjectName]]),(ProjectInfoTable[ProjectName]=ContinuousStatsTable[[#This Row],[ProjectName]])*ProjectInfoTable[ConfidenceInterval]))</f>
        <v>0.95</v>
      </c>
      <c r="R6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4" s="5">
        <f t="array" ref="S614">MIN(IF((ContinuousStatsTable[GroupByKey]=ContinuousStatsTable[[#This Row],[GroupByKey]]),(ContinuousStatsTable[GroupByKey]=ContinuousStatsTable[[#This Row],[GroupByKey]])*ContinuousStatsTable[Average]))</f>
        <v>0</v>
      </c>
      <c r="T614" s="5">
        <f t="array" ref="T614">MAX(IF((ContinuousStatsTable[GroupByKey]=ContinuousStatsTable[[#This Row],[GroupByKey]]),(ContinuousStatsTable[GroupByKey]=ContinuousStatsTable[[#This Row],[GroupByKey]])*ContinuousStatsTable[Average]))</f>
        <v>0</v>
      </c>
      <c r="U614" s="5">
        <f>IF((ContinuousStatsTable[[#This Row],[RepsRequested]]&gt;1),ContinuousStatsTable[[#This Row],[HalfWidth]],ContinuousStatsTable[[#This Row],[BatchMeansHalfWidth]])</f>
        <v>0</v>
      </c>
    </row>
    <row r="615" spans="1:21" x14ac:dyDescent="0.25">
      <c r="A615" t="s">
        <v>67</v>
      </c>
      <c r="B615" t="s">
        <v>70</v>
      </c>
      <c r="C615">
        <v>14</v>
      </c>
      <c r="D615" t="s">
        <v>82</v>
      </c>
      <c r="E615" t="s">
        <v>75</v>
      </c>
      <c r="F615" t="s">
        <v>73</v>
      </c>
      <c r="G615">
        <v>2</v>
      </c>
      <c r="H615">
        <v>2E+20</v>
      </c>
      <c r="I615">
        <v>2</v>
      </c>
      <c r="J615">
        <v>2</v>
      </c>
      <c r="K615">
        <v>2</v>
      </c>
      <c r="L615">
        <v>0</v>
      </c>
      <c r="M615" s="5" t="str">
        <f>ContinuousStatsTable[[#This Row],[ProjectName]]&amp;ContinuousStatsTable[[#This Row],[Name]]&amp;ContinuousStatsTable[[#This Row],[Type]]&amp;ContinuousStatsTable[[#This Row],[Source]]</f>
        <v>Unnamed ProjectfinalqcmanNumber ScheduledResource</v>
      </c>
      <c r="N615" s="5">
        <f t="array" ref="N615">MAX(IF((ProjectInfoTable[ProjectName]=ContinuousStatsTable[[#This Row],[ProjectName]]),(ProjectInfoTable[ProjectName]=ContinuousStatsTable[[#This Row],[ProjectName]])*ProjectInfoTable[NumberOfReplications]))</f>
        <v>15</v>
      </c>
      <c r="O615" s="5">
        <f t="array" ref="O615">IFERROR(AVERAGE(IF((ContinuousStatsTable[GroupByKey]=ContinuousStatsTable[[#This Row],[GroupByKey]]),(ContinuousStatsTable[GroupByKey]=ContinuousStatsTable[[#This Row],[GroupByKey]])*ContinuousStatsTable[Average])),0)</f>
        <v>1.5334510661643974</v>
      </c>
      <c r="P615" s="5">
        <f t="array" ref="P615">IFERROR(_xlfn.STDEV.S(IF((ContinuousStatsTable[GroupByKey]=ContinuousStatsTable[[#This Row],[GroupByKey]]),(ContinuousStatsTable[GroupByKey]=ContinuousStatsTable[[#This Row],[GroupByKey]])*ContinuousStatsTable[Average])),0)</f>
        <v>0.24154906725932371</v>
      </c>
      <c r="Q615" s="5">
        <f t="array" ref="Q615">MAX(IF((ProjectInfoTable[ProjectName]=ContinuousStatsTable[[#This Row],[ProjectName]]),(ProjectInfoTable[ProjectName]=ContinuousStatsTable[[#This Row],[ProjectName]])*ProjectInfoTable[ConfidenceInterval]))</f>
        <v>0.95</v>
      </c>
      <c r="R6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0.13376541483042423</v>
      </c>
      <c r="S615" s="5">
        <f t="array" ref="S615">MIN(IF((ContinuousStatsTable[GroupByKey]=ContinuousStatsTable[[#This Row],[GroupByKey]]),(ContinuousStatsTable[GroupByKey]=ContinuousStatsTable[[#This Row],[GroupByKey]])*ContinuousStatsTable[Average]))</f>
        <v>1</v>
      </c>
      <c r="T615" s="5">
        <f t="array" ref="T615">MAX(IF((ContinuousStatsTable[GroupByKey]=ContinuousStatsTable[[#This Row],[GroupByKey]]),(ContinuousStatsTable[GroupByKey]=ContinuousStatsTable[[#This Row],[GroupByKey]])*ContinuousStatsTable[Average]))</f>
        <v>2</v>
      </c>
      <c r="U615" s="5">
        <f>IF((ContinuousStatsTable[[#This Row],[RepsRequested]]&gt;1),ContinuousStatsTable[[#This Row],[HalfWidth]],ContinuousStatsTable[[#This Row],[BatchMeansHalfWidth]])</f>
        <v>0.13376541483042423</v>
      </c>
    </row>
    <row r="616" spans="1:21" x14ac:dyDescent="0.25">
      <c r="A616" t="s">
        <v>67</v>
      </c>
      <c r="B616" t="s">
        <v>70</v>
      </c>
      <c r="C616">
        <v>14</v>
      </c>
      <c r="D616" t="s">
        <v>83</v>
      </c>
      <c r="E616" t="s">
        <v>84</v>
      </c>
      <c r="F616" t="s">
        <v>85</v>
      </c>
      <c r="G616">
        <v>0</v>
      </c>
      <c r="H616">
        <v>2E+20</v>
      </c>
      <c r="I616">
        <v>0</v>
      </c>
      <c r="J616">
        <v>0</v>
      </c>
      <c r="K616">
        <v>0</v>
      </c>
      <c r="L616">
        <v>0</v>
      </c>
      <c r="M616" s="5" t="str">
        <f>ContinuousStatsTable[[#This Row],[ProjectName]]&amp;ContinuousStatsTable[[#This Row],[Name]]&amp;ContinuousStatsTable[[#This Row],[Type]]&amp;ContinuousStatsTable[[#This Row],[Source]]</f>
        <v>Unnamed Projectinspectorseize.QueueNumber WaitingQueue</v>
      </c>
      <c r="N616" s="5">
        <f t="array" ref="N616">MAX(IF((ProjectInfoTable[ProjectName]=ContinuousStatsTable[[#This Row],[ProjectName]]),(ProjectInfoTable[ProjectName]=ContinuousStatsTable[[#This Row],[ProjectName]])*ProjectInfoTable[NumberOfReplications]))</f>
        <v>15</v>
      </c>
      <c r="O616" s="5">
        <f t="array" ref="O616">IFERROR(AVERAGE(IF((ContinuousStatsTable[GroupByKey]=ContinuousStatsTable[[#This Row],[GroupByKey]]),(ContinuousStatsTable[GroupByKey]=ContinuousStatsTable[[#This Row],[GroupByKey]])*ContinuousStatsTable[Average])),0)</f>
        <v>0</v>
      </c>
      <c r="P616" s="5">
        <f t="array" ref="P616">IFERROR(_xlfn.STDEV.S(IF((ContinuousStatsTable[GroupByKey]=ContinuousStatsTable[[#This Row],[GroupByKey]]),(ContinuousStatsTable[GroupByKey]=ContinuousStatsTable[[#This Row],[GroupByKey]])*ContinuousStatsTable[Average])),0)</f>
        <v>0</v>
      </c>
      <c r="Q616" s="5">
        <f t="array" ref="Q616">MAX(IF((ProjectInfoTable[ProjectName]=ContinuousStatsTable[[#This Row],[ProjectName]]),(ProjectInfoTable[ProjectName]=ContinuousStatsTable[[#This Row],[ProjectName]])*ProjectInfoTable[ConfidenceInterval]))</f>
        <v>0.95</v>
      </c>
      <c r="R6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6" s="5">
        <f t="array" ref="S616">MIN(IF((ContinuousStatsTable[GroupByKey]=ContinuousStatsTable[[#This Row],[GroupByKey]]),(ContinuousStatsTable[GroupByKey]=ContinuousStatsTable[[#This Row],[GroupByKey]])*ContinuousStatsTable[Average]))</f>
        <v>0</v>
      </c>
      <c r="T616" s="5">
        <f t="array" ref="T616">MAX(IF((ContinuousStatsTable[GroupByKey]=ContinuousStatsTable[[#This Row],[GroupByKey]]),(ContinuousStatsTable[GroupByKey]=ContinuousStatsTable[[#This Row],[GroupByKey]])*ContinuousStatsTable[Average]))</f>
        <v>0</v>
      </c>
      <c r="U616" s="5">
        <f>IF((ContinuousStatsTable[[#This Row],[RepsRequested]]&gt;1),ContinuousStatsTable[[#This Row],[HalfWidth]],ContinuousStatsTable[[#This Row],[BatchMeansHalfWidth]])</f>
        <v>0</v>
      </c>
    </row>
    <row r="617" spans="1:21" x14ac:dyDescent="0.25">
      <c r="A617" t="s">
        <v>67</v>
      </c>
      <c r="B617" t="s">
        <v>70</v>
      </c>
      <c r="C617">
        <v>14</v>
      </c>
      <c r="D617" t="s">
        <v>86</v>
      </c>
      <c r="E617" t="s">
        <v>84</v>
      </c>
      <c r="F617" t="s">
        <v>85</v>
      </c>
      <c r="G617">
        <v>0</v>
      </c>
      <c r="H617">
        <v>2E+20</v>
      </c>
      <c r="I617">
        <v>0</v>
      </c>
      <c r="J617">
        <v>0</v>
      </c>
      <c r="K617">
        <v>0</v>
      </c>
      <c r="L617">
        <v>0</v>
      </c>
      <c r="M617" s="5" t="str">
        <f>ContinuousStatsTable[[#This Row],[ProjectName]]&amp;ContinuousStatsTable[[#This Row],[Name]]&amp;ContinuousStatsTable[[#This Row],[Type]]&amp;ContinuousStatsTable[[#This Row],[Source]]</f>
        <v>Unnamed Projectmatch_truckcombo.Queue1Number WaitingQueue</v>
      </c>
      <c r="N617" s="5">
        <f t="array" ref="N617">MAX(IF((ProjectInfoTable[ProjectName]=ContinuousStatsTable[[#This Row],[ProjectName]]),(ProjectInfoTable[ProjectName]=ContinuousStatsTable[[#This Row],[ProjectName]])*ProjectInfoTable[NumberOfReplications]))</f>
        <v>15</v>
      </c>
      <c r="O617" s="5">
        <f t="array" ref="O617">IFERROR(AVERAGE(IF((ContinuousStatsTable[GroupByKey]=ContinuousStatsTable[[#This Row],[GroupByKey]]),(ContinuousStatsTable[GroupByKey]=ContinuousStatsTable[[#This Row],[GroupByKey]])*ContinuousStatsTable[Average])),0)</f>
        <v>3.3333333333333335</v>
      </c>
      <c r="P617" s="5">
        <f t="array" ref="P617">IFERROR(_xlfn.STDEV.S(IF((ContinuousStatsTable[GroupByKey]=ContinuousStatsTable[[#This Row],[GroupByKey]]),(ContinuousStatsTable[GroupByKey]=ContinuousStatsTable[[#This Row],[GroupByKey]])*ContinuousStatsTable[Average])),0)</f>
        <v>4.577377082170635</v>
      </c>
      <c r="Q617" s="5">
        <f t="array" ref="Q617">MAX(IF((ProjectInfoTable[ProjectName]=ContinuousStatsTable[[#This Row],[ProjectName]]),(ProjectInfoTable[ProjectName]=ContinuousStatsTable[[#This Row],[ProjectName]])*ProjectInfoTable[ConfidenceInterval]))</f>
        <v>0.95</v>
      </c>
      <c r="R6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2.5348669368881507</v>
      </c>
      <c r="S617" s="5">
        <f t="array" ref="S617">MIN(IF((ContinuousStatsTable[GroupByKey]=ContinuousStatsTable[[#This Row],[GroupByKey]]),(ContinuousStatsTable[GroupByKey]=ContinuousStatsTable[[#This Row],[GroupByKey]])*ContinuousStatsTable[Average]))</f>
        <v>0</v>
      </c>
      <c r="T617" s="5">
        <f t="array" ref="T617">MAX(IF((ContinuousStatsTable[GroupByKey]=ContinuousStatsTable[[#This Row],[GroupByKey]]),(ContinuousStatsTable[GroupByKey]=ContinuousStatsTable[[#This Row],[GroupByKey]])*ContinuousStatsTable[Average]))</f>
        <v>12</v>
      </c>
      <c r="U617" s="5">
        <f>IF((ContinuousStatsTable[[#This Row],[RepsRequested]]&gt;1),ContinuousStatsTable[[#This Row],[HalfWidth]],ContinuousStatsTable[[#This Row],[BatchMeansHalfWidth]])</f>
        <v>2.5348669368881507</v>
      </c>
    </row>
    <row r="618" spans="1:21" x14ac:dyDescent="0.25">
      <c r="A618" t="s">
        <v>67</v>
      </c>
      <c r="B618" t="s">
        <v>70</v>
      </c>
      <c r="C618">
        <v>14</v>
      </c>
      <c r="D618" t="s">
        <v>87</v>
      </c>
      <c r="E618" t="s">
        <v>84</v>
      </c>
      <c r="F618" t="s">
        <v>85</v>
      </c>
      <c r="G618">
        <v>0</v>
      </c>
      <c r="H618">
        <v>2E+20</v>
      </c>
      <c r="I618">
        <v>0</v>
      </c>
      <c r="J618">
        <v>0</v>
      </c>
      <c r="K618">
        <v>0</v>
      </c>
      <c r="L618">
        <v>0</v>
      </c>
      <c r="M618" s="5" t="str">
        <f>ContinuousStatsTable[[#This Row],[ProjectName]]&amp;ContinuousStatsTable[[#This Row],[Name]]&amp;ContinuousStatsTable[[#This Row],[Type]]&amp;ContinuousStatsTable[[#This Row],[Source]]</f>
        <v>Unnamed Projectmatch_truckcombo.Queue2Number WaitingQueue</v>
      </c>
      <c r="N618" s="5">
        <f t="array" ref="N618">MAX(IF((ProjectInfoTable[ProjectName]=ContinuousStatsTable[[#This Row],[ProjectName]]),(ProjectInfoTable[ProjectName]=ContinuousStatsTable[[#This Row],[ProjectName]])*ProjectInfoTable[NumberOfReplications]))</f>
        <v>15</v>
      </c>
      <c r="O618" s="5">
        <f t="array" ref="O618">IFERROR(AVERAGE(IF((ContinuousStatsTable[GroupByKey]=ContinuousStatsTable[[#This Row],[GroupByKey]]),(ContinuousStatsTable[GroupByKey]=ContinuousStatsTable[[#This Row],[GroupByKey]])*ContinuousStatsTable[Average])),0)</f>
        <v>2.8</v>
      </c>
      <c r="P618" s="5">
        <f t="array" ref="P618">IFERROR(_xlfn.STDEV.S(IF((ContinuousStatsTable[GroupByKey]=ContinuousStatsTable[[#This Row],[GroupByKey]]),(ContinuousStatsTable[GroupByKey]=ContinuousStatsTable[[#This Row],[GroupByKey]])*ContinuousStatsTable[Average])),0)</f>
        <v>5.226307081896902</v>
      </c>
      <c r="Q618" s="5">
        <f t="array" ref="Q618">MAX(IF((ProjectInfoTable[ProjectName]=ContinuousStatsTable[[#This Row],[ProjectName]]),(ProjectInfoTable[ProjectName]=ContinuousStatsTable[[#This Row],[ProjectName]])*ProjectInfoTable[ConfidenceInterval]))</f>
        <v>0.95</v>
      </c>
      <c r="R6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2.8942323925042523</v>
      </c>
      <c r="S618" s="5">
        <f t="array" ref="S618">MIN(IF((ContinuousStatsTable[GroupByKey]=ContinuousStatsTable[[#This Row],[GroupByKey]]),(ContinuousStatsTable[GroupByKey]=ContinuousStatsTable[[#This Row],[GroupByKey]])*ContinuousStatsTable[Average]))</f>
        <v>0</v>
      </c>
      <c r="T618" s="5">
        <f t="array" ref="T618">MAX(IF((ContinuousStatsTable[GroupByKey]=ContinuousStatsTable[[#This Row],[GroupByKey]]),(ContinuousStatsTable[GroupByKey]=ContinuousStatsTable[[#This Row],[GroupByKey]])*ContinuousStatsTable[Average]))</f>
        <v>16</v>
      </c>
      <c r="U618" s="5">
        <f>IF((ContinuousStatsTable[[#This Row],[RepsRequested]]&gt;1),ContinuousStatsTable[[#This Row],[HalfWidth]],ContinuousStatsTable[[#This Row],[BatchMeansHalfWidth]])</f>
        <v>2.8942323925042523</v>
      </c>
    </row>
    <row r="619" spans="1:21" x14ac:dyDescent="0.25">
      <c r="A619" t="s">
        <v>67</v>
      </c>
      <c r="B619" t="s">
        <v>70</v>
      </c>
      <c r="C619">
        <v>14</v>
      </c>
      <c r="D619" t="s">
        <v>88</v>
      </c>
      <c r="E619" t="s">
        <v>72</v>
      </c>
      <c r="F619" t="s">
        <v>73</v>
      </c>
      <c r="G619">
        <v>0</v>
      </c>
      <c r="H619">
        <v>2E+20</v>
      </c>
      <c r="I619">
        <v>0</v>
      </c>
      <c r="J619">
        <v>0</v>
      </c>
      <c r="K619">
        <v>0</v>
      </c>
      <c r="L619">
        <v>0</v>
      </c>
      <c r="M619" s="5" t="str">
        <f>ContinuousStatsTable[[#This Row],[ProjectName]]&amp;ContinuousStatsTable[[#This Row],[Name]]&amp;ContinuousStatsTable[[#This Row],[Type]]&amp;ContinuousStatsTable[[#This Row],[Source]]</f>
        <v>Unnamed ProjectpaintingmachineInstantaneous UtilizationResource</v>
      </c>
      <c r="N619" s="5">
        <f t="array" ref="N619">MAX(IF((ProjectInfoTable[ProjectName]=ContinuousStatsTable[[#This Row],[ProjectName]]),(ProjectInfoTable[ProjectName]=ContinuousStatsTable[[#This Row],[ProjectName]])*ProjectInfoTable[NumberOfReplications]))</f>
        <v>15</v>
      </c>
      <c r="O619" s="5">
        <f t="array" ref="O619">IFERROR(AVERAGE(IF((ContinuousStatsTable[GroupByKey]=ContinuousStatsTable[[#This Row],[GroupByKey]]),(ContinuousStatsTable[GroupByKey]=ContinuousStatsTable[[#This Row],[GroupByKey]])*ContinuousStatsTable[Average])),0)</f>
        <v>0</v>
      </c>
      <c r="P619" s="5">
        <f t="array" ref="P619">IFERROR(_xlfn.STDEV.S(IF((ContinuousStatsTable[GroupByKey]=ContinuousStatsTable[[#This Row],[GroupByKey]]),(ContinuousStatsTable[GroupByKey]=ContinuousStatsTable[[#This Row],[GroupByKey]])*ContinuousStatsTable[Average])),0)</f>
        <v>0</v>
      </c>
      <c r="Q619" s="5">
        <f t="array" ref="Q619">MAX(IF((ProjectInfoTable[ProjectName]=ContinuousStatsTable[[#This Row],[ProjectName]]),(ProjectInfoTable[ProjectName]=ContinuousStatsTable[[#This Row],[ProjectName]])*ProjectInfoTable[ConfidenceInterval]))</f>
        <v>0.95</v>
      </c>
      <c r="R6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9" s="5">
        <f t="array" ref="S619">MIN(IF((ContinuousStatsTable[GroupByKey]=ContinuousStatsTable[[#This Row],[GroupByKey]]),(ContinuousStatsTable[GroupByKey]=ContinuousStatsTable[[#This Row],[GroupByKey]])*ContinuousStatsTable[Average]))</f>
        <v>0</v>
      </c>
      <c r="T619" s="5">
        <f t="array" ref="T619">MAX(IF((ContinuousStatsTable[GroupByKey]=ContinuousStatsTable[[#This Row],[GroupByKey]]),(ContinuousStatsTable[GroupByKey]=ContinuousStatsTable[[#This Row],[GroupByKey]])*ContinuousStatsTable[Average]))</f>
        <v>0</v>
      </c>
      <c r="U619" s="5">
        <f>IF((ContinuousStatsTable[[#This Row],[RepsRequested]]&gt;1),ContinuousStatsTable[[#This Row],[HalfWidth]],ContinuousStatsTable[[#This Row],[BatchMeansHalfWidth]])</f>
        <v>0</v>
      </c>
    </row>
    <row r="620" spans="1:21" x14ac:dyDescent="0.25">
      <c r="A620" t="s">
        <v>67</v>
      </c>
      <c r="B620" t="s">
        <v>70</v>
      </c>
      <c r="C620">
        <v>14</v>
      </c>
      <c r="D620" t="s">
        <v>88</v>
      </c>
      <c r="E620" t="s">
        <v>74</v>
      </c>
      <c r="F620" t="s">
        <v>73</v>
      </c>
      <c r="G620">
        <v>0</v>
      </c>
      <c r="H620">
        <v>2E+20</v>
      </c>
      <c r="I620">
        <v>0</v>
      </c>
      <c r="J620">
        <v>0</v>
      </c>
      <c r="K620">
        <v>0</v>
      </c>
      <c r="L620">
        <v>0</v>
      </c>
      <c r="M620" s="5" t="str">
        <f>ContinuousStatsTable[[#This Row],[ProjectName]]&amp;ContinuousStatsTable[[#This Row],[Name]]&amp;ContinuousStatsTable[[#This Row],[Type]]&amp;ContinuousStatsTable[[#This Row],[Source]]</f>
        <v>Unnamed ProjectpaintingmachineNumber BusyResource</v>
      </c>
      <c r="N620" s="5">
        <f t="array" ref="N620">MAX(IF((ProjectInfoTable[ProjectName]=ContinuousStatsTable[[#This Row],[ProjectName]]),(ProjectInfoTable[ProjectName]=ContinuousStatsTable[[#This Row],[ProjectName]])*ProjectInfoTable[NumberOfReplications]))</f>
        <v>15</v>
      </c>
      <c r="O620" s="5">
        <f t="array" ref="O620">IFERROR(AVERAGE(IF((ContinuousStatsTable[GroupByKey]=ContinuousStatsTable[[#This Row],[GroupByKey]]),(ContinuousStatsTable[GroupByKey]=ContinuousStatsTable[[#This Row],[GroupByKey]])*ContinuousStatsTable[Average])),0)</f>
        <v>0</v>
      </c>
      <c r="P620" s="5">
        <f t="array" ref="P620">IFERROR(_xlfn.STDEV.S(IF((ContinuousStatsTable[GroupByKey]=ContinuousStatsTable[[#This Row],[GroupByKey]]),(ContinuousStatsTable[GroupByKey]=ContinuousStatsTable[[#This Row],[GroupByKey]])*ContinuousStatsTable[Average])),0)</f>
        <v>0</v>
      </c>
      <c r="Q620" s="5">
        <f t="array" ref="Q620">MAX(IF((ProjectInfoTable[ProjectName]=ContinuousStatsTable[[#This Row],[ProjectName]]),(ProjectInfoTable[ProjectName]=ContinuousStatsTable[[#This Row],[ProjectName]])*ProjectInfoTable[ConfidenceInterval]))</f>
        <v>0.95</v>
      </c>
      <c r="R6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0" s="5">
        <f t="array" ref="S620">MIN(IF((ContinuousStatsTable[GroupByKey]=ContinuousStatsTable[[#This Row],[GroupByKey]]),(ContinuousStatsTable[GroupByKey]=ContinuousStatsTable[[#This Row],[GroupByKey]])*ContinuousStatsTable[Average]))</f>
        <v>0</v>
      </c>
      <c r="T620" s="5">
        <f t="array" ref="T620">MAX(IF((ContinuousStatsTable[GroupByKey]=ContinuousStatsTable[[#This Row],[GroupByKey]]),(ContinuousStatsTable[GroupByKey]=ContinuousStatsTable[[#This Row],[GroupByKey]])*ContinuousStatsTable[Average]))</f>
        <v>0</v>
      </c>
      <c r="U620" s="5">
        <f>IF((ContinuousStatsTable[[#This Row],[RepsRequested]]&gt;1),ContinuousStatsTable[[#This Row],[HalfWidth]],ContinuousStatsTable[[#This Row],[BatchMeansHalfWidth]])</f>
        <v>0</v>
      </c>
    </row>
    <row r="621" spans="1:21" x14ac:dyDescent="0.25">
      <c r="A621" t="s">
        <v>67</v>
      </c>
      <c r="B621" t="s">
        <v>70</v>
      </c>
      <c r="C621">
        <v>14</v>
      </c>
      <c r="D621" t="s">
        <v>88</v>
      </c>
      <c r="E621" t="s">
        <v>75</v>
      </c>
      <c r="F621" t="s">
        <v>73</v>
      </c>
      <c r="G621">
        <v>1</v>
      </c>
      <c r="H621">
        <v>2E+20</v>
      </c>
      <c r="I621">
        <v>1</v>
      </c>
      <c r="J621">
        <v>1</v>
      </c>
      <c r="K621">
        <v>1</v>
      </c>
      <c r="L621">
        <v>0</v>
      </c>
      <c r="M621" s="5" t="str">
        <f>ContinuousStatsTable[[#This Row],[ProjectName]]&amp;ContinuousStatsTable[[#This Row],[Name]]&amp;ContinuousStatsTable[[#This Row],[Type]]&amp;ContinuousStatsTable[[#This Row],[Source]]</f>
        <v>Unnamed ProjectpaintingmachineNumber ScheduledResource</v>
      </c>
      <c r="N621" s="5">
        <f t="array" ref="N621">MAX(IF((ProjectInfoTable[ProjectName]=ContinuousStatsTable[[#This Row],[ProjectName]]),(ProjectInfoTable[ProjectName]=ContinuousStatsTable[[#This Row],[ProjectName]])*ProjectInfoTable[NumberOfReplications]))</f>
        <v>15</v>
      </c>
      <c r="O621" s="5">
        <f t="array" ref="O621">IFERROR(AVERAGE(IF((ContinuousStatsTable[GroupByKey]=ContinuousStatsTable[[#This Row],[GroupByKey]]),(ContinuousStatsTable[GroupByKey]=ContinuousStatsTable[[#This Row],[GroupByKey]])*ContinuousStatsTable[Average])),0)</f>
        <v>1</v>
      </c>
      <c r="P621" s="5">
        <f t="array" ref="P621">IFERROR(_xlfn.STDEV.S(IF((ContinuousStatsTable[GroupByKey]=ContinuousStatsTable[[#This Row],[GroupByKey]]),(ContinuousStatsTable[GroupByKey]=ContinuousStatsTable[[#This Row],[GroupByKey]])*ContinuousStatsTable[Average])),0)</f>
        <v>0</v>
      </c>
      <c r="Q621" s="5">
        <f t="array" ref="Q621">MAX(IF((ProjectInfoTable[ProjectName]=ContinuousStatsTable[[#This Row],[ProjectName]]),(ProjectInfoTable[ProjectName]=ContinuousStatsTable[[#This Row],[ProjectName]])*ProjectInfoTable[ConfidenceInterval]))</f>
        <v>0.95</v>
      </c>
      <c r="R6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1" s="5">
        <f t="array" ref="S621">MIN(IF((ContinuousStatsTable[GroupByKey]=ContinuousStatsTable[[#This Row],[GroupByKey]]),(ContinuousStatsTable[GroupByKey]=ContinuousStatsTable[[#This Row],[GroupByKey]])*ContinuousStatsTable[Average]))</f>
        <v>1</v>
      </c>
      <c r="T621" s="5">
        <f t="array" ref="T621">MAX(IF((ContinuousStatsTable[GroupByKey]=ContinuousStatsTable[[#This Row],[GroupByKey]]),(ContinuousStatsTable[GroupByKey]=ContinuousStatsTable[[#This Row],[GroupByKey]])*ContinuousStatsTable[Average]))</f>
        <v>1</v>
      </c>
      <c r="U621" s="5">
        <f>IF((ContinuousStatsTable[[#This Row],[RepsRequested]]&gt;1),ContinuousStatsTable[[#This Row],[HalfWidth]],ContinuousStatsTable[[#This Row],[BatchMeansHalfWidth]])</f>
        <v>0</v>
      </c>
    </row>
    <row r="622" spans="1:21" x14ac:dyDescent="0.25">
      <c r="A622" t="s">
        <v>67</v>
      </c>
      <c r="B622" t="s">
        <v>70</v>
      </c>
      <c r="C622">
        <v>14</v>
      </c>
      <c r="D622" t="s">
        <v>89</v>
      </c>
      <c r="E622" t="s">
        <v>72</v>
      </c>
      <c r="F622" t="s">
        <v>73</v>
      </c>
      <c r="G622">
        <v>0</v>
      </c>
      <c r="H622">
        <v>2E+20</v>
      </c>
      <c r="I622">
        <v>0</v>
      </c>
      <c r="J622">
        <v>0</v>
      </c>
      <c r="K622">
        <v>0</v>
      </c>
      <c r="L622">
        <v>0</v>
      </c>
      <c r="M622" s="5" t="str">
        <f>ContinuousStatsTable[[#This Row],[ProjectName]]&amp;ContinuousStatsTable[[#This Row],[Name]]&amp;ContinuousStatsTable[[#This Row],[Type]]&amp;ContinuousStatsTable[[#This Row],[Source]]</f>
        <v>Unnamed ProjectpaintingoperatorInstantaneous UtilizationResource</v>
      </c>
      <c r="N622" s="5">
        <f t="array" ref="N622">MAX(IF((ProjectInfoTable[ProjectName]=ContinuousStatsTable[[#This Row],[ProjectName]]),(ProjectInfoTable[ProjectName]=ContinuousStatsTable[[#This Row],[ProjectName]])*ProjectInfoTable[NumberOfReplications]))</f>
        <v>15</v>
      </c>
      <c r="O622" s="5">
        <f t="array" ref="O622">IFERROR(AVERAGE(IF((ContinuousStatsTable[GroupByKey]=ContinuousStatsTable[[#This Row],[GroupByKey]]),(ContinuousStatsTable[GroupByKey]=ContinuousStatsTable[[#This Row],[GroupByKey]])*ContinuousStatsTable[Average])),0)</f>
        <v>0</v>
      </c>
      <c r="P622" s="5">
        <f t="array" ref="P622">IFERROR(_xlfn.STDEV.S(IF((ContinuousStatsTable[GroupByKey]=ContinuousStatsTable[[#This Row],[GroupByKey]]),(ContinuousStatsTable[GroupByKey]=ContinuousStatsTable[[#This Row],[GroupByKey]])*ContinuousStatsTable[Average])),0)</f>
        <v>0</v>
      </c>
      <c r="Q622" s="5">
        <f t="array" ref="Q622">MAX(IF((ProjectInfoTable[ProjectName]=ContinuousStatsTable[[#This Row],[ProjectName]]),(ProjectInfoTable[ProjectName]=ContinuousStatsTable[[#This Row],[ProjectName]])*ProjectInfoTable[ConfidenceInterval]))</f>
        <v>0.95</v>
      </c>
      <c r="R6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2" s="5">
        <f t="array" ref="S622">MIN(IF((ContinuousStatsTable[GroupByKey]=ContinuousStatsTable[[#This Row],[GroupByKey]]),(ContinuousStatsTable[GroupByKey]=ContinuousStatsTable[[#This Row],[GroupByKey]])*ContinuousStatsTable[Average]))</f>
        <v>0</v>
      </c>
      <c r="T622" s="5">
        <f t="array" ref="T622">MAX(IF((ContinuousStatsTable[GroupByKey]=ContinuousStatsTable[[#This Row],[GroupByKey]]),(ContinuousStatsTable[GroupByKey]=ContinuousStatsTable[[#This Row],[GroupByKey]])*ContinuousStatsTable[Average]))</f>
        <v>0</v>
      </c>
      <c r="U622" s="5">
        <f>IF((ContinuousStatsTable[[#This Row],[RepsRequested]]&gt;1),ContinuousStatsTable[[#This Row],[HalfWidth]],ContinuousStatsTable[[#This Row],[BatchMeansHalfWidth]])</f>
        <v>0</v>
      </c>
    </row>
    <row r="623" spans="1:21" x14ac:dyDescent="0.25">
      <c r="A623" t="s">
        <v>67</v>
      </c>
      <c r="B623" t="s">
        <v>70</v>
      </c>
      <c r="C623">
        <v>14</v>
      </c>
      <c r="D623" t="s">
        <v>89</v>
      </c>
      <c r="E623" t="s">
        <v>74</v>
      </c>
      <c r="F623" t="s">
        <v>73</v>
      </c>
      <c r="G623">
        <v>0</v>
      </c>
      <c r="H623">
        <v>2E+20</v>
      </c>
      <c r="I623">
        <v>0</v>
      </c>
      <c r="J623">
        <v>0</v>
      </c>
      <c r="K623">
        <v>0</v>
      </c>
      <c r="L623">
        <v>0</v>
      </c>
      <c r="M623" s="5" t="str">
        <f>ContinuousStatsTable[[#This Row],[ProjectName]]&amp;ContinuousStatsTable[[#This Row],[Name]]&amp;ContinuousStatsTable[[#This Row],[Type]]&amp;ContinuousStatsTable[[#This Row],[Source]]</f>
        <v>Unnamed ProjectpaintingoperatorNumber BusyResource</v>
      </c>
      <c r="N623" s="5">
        <f t="array" ref="N623">MAX(IF((ProjectInfoTable[ProjectName]=ContinuousStatsTable[[#This Row],[ProjectName]]),(ProjectInfoTable[ProjectName]=ContinuousStatsTable[[#This Row],[ProjectName]])*ProjectInfoTable[NumberOfReplications]))</f>
        <v>15</v>
      </c>
      <c r="O623" s="5">
        <f t="array" ref="O623">IFERROR(AVERAGE(IF((ContinuousStatsTable[GroupByKey]=ContinuousStatsTable[[#This Row],[GroupByKey]]),(ContinuousStatsTable[GroupByKey]=ContinuousStatsTable[[#This Row],[GroupByKey]])*ContinuousStatsTable[Average])),0)</f>
        <v>0</v>
      </c>
      <c r="P623" s="5">
        <f t="array" ref="P623">IFERROR(_xlfn.STDEV.S(IF((ContinuousStatsTable[GroupByKey]=ContinuousStatsTable[[#This Row],[GroupByKey]]),(ContinuousStatsTable[GroupByKey]=ContinuousStatsTable[[#This Row],[GroupByKey]])*ContinuousStatsTable[Average])),0)</f>
        <v>0</v>
      </c>
      <c r="Q623" s="5">
        <f t="array" ref="Q623">MAX(IF((ProjectInfoTable[ProjectName]=ContinuousStatsTable[[#This Row],[ProjectName]]),(ProjectInfoTable[ProjectName]=ContinuousStatsTable[[#This Row],[ProjectName]])*ProjectInfoTable[ConfidenceInterval]))</f>
        <v>0.95</v>
      </c>
      <c r="R6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3" s="5">
        <f t="array" ref="S623">MIN(IF((ContinuousStatsTable[GroupByKey]=ContinuousStatsTable[[#This Row],[GroupByKey]]),(ContinuousStatsTable[GroupByKey]=ContinuousStatsTable[[#This Row],[GroupByKey]])*ContinuousStatsTable[Average]))</f>
        <v>0</v>
      </c>
      <c r="T623" s="5">
        <f t="array" ref="T623">MAX(IF((ContinuousStatsTable[GroupByKey]=ContinuousStatsTable[[#This Row],[GroupByKey]]),(ContinuousStatsTable[GroupByKey]=ContinuousStatsTable[[#This Row],[GroupByKey]])*ContinuousStatsTable[Average]))</f>
        <v>0</v>
      </c>
      <c r="U623" s="5">
        <f>IF((ContinuousStatsTable[[#This Row],[RepsRequested]]&gt;1),ContinuousStatsTable[[#This Row],[HalfWidth]],ContinuousStatsTable[[#This Row],[BatchMeansHalfWidth]])</f>
        <v>0</v>
      </c>
    </row>
    <row r="624" spans="1:21" x14ac:dyDescent="0.25">
      <c r="A624" t="s">
        <v>67</v>
      </c>
      <c r="B624" t="s">
        <v>70</v>
      </c>
      <c r="C624">
        <v>14</v>
      </c>
      <c r="D624" t="s">
        <v>89</v>
      </c>
      <c r="E624" t="s">
        <v>75</v>
      </c>
      <c r="F624" t="s">
        <v>73</v>
      </c>
      <c r="G624">
        <v>2</v>
      </c>
      <c r="H624">
        <v>2E+20</v>
      </c>
      <c r="I624">
        <v>2</v>
      </c>
      <c r="J624">
        <v>2</v>
      </c>
      <c r="K624">
        <v>2</v>
      </c>
      <c r="L624">
        <v>0</v>
      </c>
      <c r="M624" s="5" t="str">
        <f>ContinuousStatsTable[[#This Row],[ProjectName]]&amp;ContinuousStatsTable[[#This Row],[Name]]&amp;ContinuousStatsTable[[#This Row],[Type]]&amp;ContinuousStatsTable[[#This Row],[Source]]</f>
        <v>Unnamed ProjectpaintingoperatorNumber ScheduledResource</v>
      </c>
      <c r="N624" s="5">
        <f t="array" ref="N624">MAX(IF((ProjectInfoTable[ProjectName]=ContinuousStatsTable[[#This Row],[ProjectName]]),(ProjectInfoTable[ProjectName]=ContinuousStatsTable[[#This Row],[ProjectName]])*ProjectInfoTable[NumberOfReplications]))</f>
        <v>15</v>
      </c>
      <c r="O624" s="5">
        <f t="array" ref="O624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624" s="5">
        <f t="array" ref="P624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624" s="5">
        <f t="array" ref="Q624">MAX(IF((ProjectInfoTable[ProjectName]=ContinuousStatsTable[[#This Row],[ProjectName]]),(ProjectInfoTable[ProjectName]=ContinuousStatsTable[[#This Row],[ProjectName]])*ProjectInfoTable[ConfidenceInterval]))</f>
        <v>0.95</v>
      </c>
      <c r="R6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624" s="5">
        <f t="array" ref="S624">MIN(IF((ContinuousStatsTable[GroupByKey]=ContinuousStatsTable[[#This Row],[GroupByKey]]),(ContinuousStatsTable[GroupByKey]=ContinuousStatsTable[[#This Row],[GroupByKey]])*ContinuousStatsTable[Average]))</f>
        <v>1</v>
      </c>
      <c r="T624" s="5">
        <f t="array" ref="T624">MAX(IF((ContinuousStatsTable[GroupByKey]=ContinuousStatsTable[[#This Row],[GroupByKey]]),(ContinuousStatsTable[GroupByKey]=ContinuousStatsTable[[#This Row],[GroupByKey]])*ContinuousStatsTable[Average]))</f>
        <v>2</v>
      </c>
      <c r="U624" s="5">
        <f>IF((ContinuousStatsTable[[#This Row],[RepsRequested]]&gt;1),ContinuousStatsTable[[#This Row],[HalfWidth]],ContinuousStatsTable[[#This Row],[BatchMeansHalfWidth]])</f>
        <v>0.13376733135491528</v>
      </c>
    </row>
    <row r="625" spans="1:21" x14ac:dyDescent="0.25">
      <c r="A625" t="s">
        <v>67</v>
      </c>
      <c r="B625" t="s">
        <v>70</v>
      </c>
      <c r="C625">
        <v>14</v>
      </c>
      <c r="D625" t="s">
        <v>90</v>
      </c>
      <c r="E625" t="s">
        <v>72</v>
      </c>
      <c r="F625" t="s">
        <v>73</v>
      </c>
      <c r="G625">
        <v>0</v>
      </c>
      <c r="H625">
        <v>2E+20</v>
      </c>
      <c r="I625">
        <v>0</v>
      </c>
      <c r="J625">
        <v>0</v>
      </c>
      <c r="K625">
        <v>0</v>
      </c>
      <c r="L625">
        <v>0</v>
      </c>
      <c r="M625" s="5" t="str">
        <f>ContinuousStatsTable[[#This Row],[ProjectName]]&amp;ContinuousStatsTable[[#This Row],[Name]]&amp;ContinuousStatsTable[[#This Row],[Type]]&amp;ContinuousStatsTable[[#This Row],[Source]]</f>
        <v>Unnamed ProjectsandblastmachineInstantaneous UtilizationResource</v>
      </c>
      <c r="N625" s="5">
        <f t="array" ref="N625">MAX(IF((ProjectInfoTable[ProjectName]=ContinuousStatsTable[[#This Row],[ProjectName]]),(ProjectInfoTable[ProjectName]=ContinuousStatsTable[[#This Row],[ProjectName]])*ProjectInfoTable[NumberOfReplications]))</f>
        <v>15</v>
      </c>
      <c r="O625" s="5">
        <f t="array" ref="O625">IFERROR(AVERAGE(IF((ContinuousStatsTable[GroupByKey]=ContinuousStatsTable[[#This Row],[GroupByKey]]),(ContinuousStatsTable[GroupByKey]=ContinuousStatsTable[[#This Row],[GroupByKey]])*ContinuousStatsTable[Average])),0)</f>
        <v>0</v>
      </c>
      <c r="P625" s="5">
        <f t="array" ref="P625">IFERROR(_xlfn.STDEV.S(IF((ContinuousStatsTable[GroupByKey]=ContinuousStatsTable[[#This Row],[GroupByKey]]),(ContinuousStatsTable[GroupByKey]=ContinuousStatsTable[[#This Row],[GroupByKey]])*ContinuousStatsTable[Average])),0)</f>
        <v>0</v>
      </c>
      <c r="Q625" s="5">
        <f t="array" ref="Q625">MAX(IF((ProjectInfoTable[ProjectName]=ContinuousStatsTable[[#This Row],[ProjectName]]),(ProjectInfoTable[ProjectName]=ContinuousStatsTable[[#This Row],[ProjectName]])*ProjectInfoTable[ConfidenceInterval]))</f>
        <v>0.95</v>
      </c>
      <c r="R6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5" s="5">
        <f t="array" ref="S625">MIN(IF((ContinuousStatsTable[GroupByKey]=ContinuousStatsTable[[#This Row],[GroupByKey]]),(ContinuousStatsTable[GroupByKey]=ContinuousStatsTable[[#This Row],[GroupByKey]])*ContinuousStatsTable[Average]))</f>
        <v>0</v>
      </c>
      <c r="T625" s="5">
        <f t="array" ref="T625">MAX(IF((ContinuousStatsTable[GroupByKey]=ContinuousStatsTable[[#This Row],[GroupByKey]]),(ContinuousStatsTable[GroupByKey]=ContinuousStatsTable[[#This Row],[GroupByKey]])*ContinuousStatsTable[Average]))</f>
        <v>0</v>
      </c>
      <c r="U625" s="5">
        <f>IF((ContinuousStatsTable[[#This Row],[RepsRequested]]&gt;1),ContinuousStatsTable[[#This Row],[HalfWidth]],ContinuousStatsTable[[#This Row],[BatchMeansHalfWidth]])</f>
        <v>0</v>
      </c>
    </row>
    <row r="626" spans="1:21" x14ac:dyDescent="0.25">
      <c r="A626" t="s">
        <v>67</v>
      </c>
      <c r="B626" t="s">
        <v>70</v>
      </c>
      <c r="C626">
        <v>14</v>
      </c>
      <c r="D626" t="s">
        <v>90</v>
      </c>
      <c r="E626" t="s">
        <v>74</v>
      </c>
      <c r="F626" t="s">
        <v>73</v>
      </c>
      <c r="G626">
        <v>0</v>
      </c>
      <c r="H626">
        <v>2E+20</v>
      </c>
      <c r="I626">
        <v>0</v>
      </c>
      <c r="J626">
        <v>0</v>
      </c>
      <c r="K626">
        <v>0</v>
      </c>
      <c r="L626">
        <v>0</v>
      </c>
      <c r="M626" s="5" t="str">
        <f>ContinuousStatsTable[[#This Row],[ProjectName]]&amp;ContinuousStatsTable[[#This Row],[Name]]&amp;ContinuousStatsTable[[#This Row],[Type]]&amp;ContinuousStatsTable[[#This Row],[Source]]</f>
        <v>Unnamed ProjectsandblastmachineNumber BusyResource</v>
      </c>
      <c r="N626" s="5">
        <f t="array" ref="N626">MAX(IF((ProjectInfoTable[ProjectName]=ContinuousStatsTable[[#This Row],[ProjectName]]),(ProjectInfoTable[ProjectName]=ContinuousStatsTable[[#This Row],[ProjectName]])*ProjectInfoTable[NumberOfReplications]))</f>
        <v>15</v>
      </c>
      <c r="O626" s="5">
        <f t="array" ref="O626">IFERROR(AVERAGE(IF((ContinuousStatsTable[GroupByKey]=ContinuousStatsTable[[#This Row],[GroupByKey]]),(ContinuousStatsTable[GroupByKey]=ContinuousStatsTable[[#This Row],[GroupByKey]])*ContinuousStatsTable[Average])),0)</f>
        <v>0</v>
      </c>
      <c r="P626" s="5">
        <f t="array" ref="P626">IFERROR(_xlfn.STDEV.S(IF((ContinuousStatsTable[GroupByKey]=ContinuousStatsTable[[#This Row],[GroupByKey]]),(ContinuousStatsTable[GroupByKey]=ContinuousStatsTable[[#This Row],[GroupByKey]])*ContinuousStatsTable[Average])),0)</f>
        <v>0</v>
      </c>
      <c r="Q626" s="5">
        <f t="array" ref="Q626">MAX(IF((ProjectInfoTable[ProjectName]=ContinuousStatsTable[[#This Row],[ProjectName]]),(ProjectInfoTable[ProjectName]=ContinuousStatsTable[[#This Row],[ProjectName]])*ProjectInfoTable[ConfidenceInterval]))</f>
        <v>0.95</v>
      </c>
      <c r="R6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6" s="5">
        <f t="array" ref="S626">MIN(IF((ContinuousStatsTable[GroupByKey]=ContinuousStatsTable[[#This Row],[GroupByKey]]),(ContinuousStatsTable[GroupByKey]=ContinuousStatsTable[[#This Row],[GroupByKey]])*ContinuousStatsTable[Average]))</f>
        <v>0</v>
      </c>
      <c r="T626" s="5">
        <f t="array" ref="T626">MAX(IF((ContinuousStatsTable[GroupByKey]=ContinuousStatsTable[[#This Row],[GroupByKey]]),(ContinuousStatsTable[GroupByKey]=ContinuousStatsTable[[#This Row],[GroupByKey]])*ContinuousStatsTable[Average]))</f>
        <v>0</v>
      </c>
      <c r="U626" s="5">
        <f>IF((ContinuousStatsTable[[#This Row],[RepsRequested]]&gt;1),ContinuousStatsTable[[#This Row],[HalfWidth]],ContinuousStatsTable[[#This Row],[BatchMeansHalfWidth]])</f>
        <v>0</v>
      </c>
    </row>
    <row r="627" spans="1:21" x14ac:dyDescent="0.25">
      <c r="A627" t="s">
        <v>67</v>
      </c>
      <c r="B627" t="s">
        <v>70</v>
      </c>
      <c r="C627">
        <v>14</v>
      </c>
      <c r="D627" t="s">
        <v>90</v>
      </c>
      <c r="E627" t="s">
        <v>75</v>
      </c>
      <c r="F627" t="s">
        <v>73</v>
      </c>
      <c r="G627">
        <v>1</v>
      </c>
      <c r="H627">
        <v>2E+20</v>
      </c>
      <c r="I627">
        <v>1</v>
      </c>
      <c r="J627">
        <v>1</v>
      </c>
      <c r="K627">
        <v>1</v>
      </c>
      <c r="L627">
        <v>0</v>
      </c>
      <c r="M627" s="5" t="str">
        <f>ContinuousStatsTable[[#This Row],[ProjectName]]&amp;ContinuousStatsTable[[#This Row],[Name]]&amp;ContinuousStatsTable[[#This Row],[Type]]&amp;ContinuousStatsTable[[#This Row],[Source]]</f>
        <v>Unnamed ProjectsandblastmachineNumber ScheduledResource</v>
      </c>
      <c r="N627" s="5">
        <f t="array" ref="N627">MAX(IF((ProjectInfoTable[ProjectName]=ContinuousStatsTable[[#This Row],[ProjectName]]),(ProjectInfoTable[ProjectName]=ContinuousStatsTable[[#This Row],[ProjectName]])*ProjectInfoTable[NumberOfReplications]))</f>
        <v>15</v>
      </c>
      <c r="O627" s="5">
        <f t="array" ref="O627">IFERROR(AVERAGE(IF((ContinuousStatsTable[GroupByKey]=ContinuousStatsTable[[#This Row],[GroupByKey]]),(ContinuousStatsTable[GroupByKey]=ContinuousStatsTable[[#This Row],[GroupByKey]])*ContinuousStatsTable[Average])),0)</f>
        <v>1</v>
      </c>
      <c r="P627" s="5">
        <f t="array" ref="P627">IFERROR(_xlfn.STDEV.S(IF((ContinuousStatsTable[GroupByKey]=ContinuousStatsTable[[#This Row],[GroupByKey]]),(ContinuousStatsTable[GroupByKey]=ContinuousStatsTable[[#This Row],[GroupByKey]])*ContinuousStatsTable[Average])),0)</f>
        <v>0</v>
      </c>
      <c r="Q627" s="5">
        <f t="array" ref="Q627">MAX(IF((ProjectInfoTable[ProjectName]=ContinuousStatsTable[[#This Row],[ProjectName]]),(ProjectInfoTable[ProjectName]=ContinuousStatsTable[[#This Row],[ProjectName]])*ProjectInfoTable[ConfidenceInterval]))</f>
        <v>0.95</v>
      </c>
      <c r="R6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7" s="5">
        <f t="array" ref="S627">MIN(IF((ContinuousStatsTable[GroupByKey]=ContinuousStatsTable[[#This Row],[GroupByKey]]),(ContinuousStatsTable[GroupByKey]=ContinuousStatsTable[[#This Row],[GroupByKey]])*ContinuousStatsTable[Average]))</f>
        <v>1</v>
      </c>
      <c r="T627" s="5">
        <f t="array" ref="T627">MAX(IF((ContinuousStatsTable[GroupByKey]=ContinuousStatsTable[[#This Row],[GroupByKey]]),(ContinuousStatsTable[GroupByKey]=ContinuousStatsTable[[#This Row],[GroupByKey]])*ContinuousStatsTable[Average]))</f>
        <v>1</v>
      </c>
      <c r="U627" s="5">
        <f>IF((ContinuousStatsTable[[#This Row],[RepsRequested]]&gt;1),ContinuousStatsTable[[#This Row],[HalfWidth]],ContinuousStatsTable[[#This Row],[BatchMeansHalfWidth]])</f>
        <v>0</v>
      </c>
    </row>
    <row r="628" spans="1:21" x14ac:dyDescent="0.25">
      <c r="A628" t="s">
        <v>67</v>
      </c>
      <c r="B628" t="s">
        <v>70</v>
      </c>
      <c r="C628">
        <v>14</v>
      </c>
      <c r="D628" t="s">
        <v>91</v>
      </c>
      <c r="E628" t="s">
        <v>72</v>
      </c>
      <c r="F628" t="s">
        <v>73</v>
      </c>
      <c r="G628">
        <v>0</v>
      </c>
      <c r="H628">
        <v>2E+20</v>
      </c>
      <c r="I628">
        <v>0</v>
      </c>
      <c r="J628">
        <v>0</v>
      </c>
      <c r="K628">
        <v>0</v>
      </c>
      <c r="L628">
        <v>0</v>
      </c>
      <c r="M628" s="5" t="str">
        <f>ContinuousStatsTable[[#This Row],[ProjectName]]&amp;ContinuousStatsTable[[#This Row],[Name]]&amp;ContinuousStatsTable[[#This Row],[Type]]&amp;ContinuousStatsTable[[#This Row],[Source]]</f>
        <v>Unnamed ProjectsandblastoperatorInstantaneous UtilizationResource</v>
      </c>
      <c r="N628" s="5">
        <f t="array" ref="N628">MAX(IF((ProjectInfoTable[ProjectName]=ContinuousStatsTable[[#This Row],[ProjectName]]),(ProjectInfoTable[ProjectName]=ContinuousStatsTable[[#This Row],[ProjectName]])*ProjectInfoTable[NumberOfReplications]))</f>
        <v>15</v>
      </c>
      <c r="O628" s="5">
        <f t="array" ref="O628">IFERROR(AVERAGE(IF((ContinuousStatsTable[GroupByKey]=ContinuousStatsTable[[#This Row],[GroupByKey]]),(ContinuousStatsTable[GroupByKey]=ContinuousStatsTable[[#This Row],[GroupByKey]])*ContinuousStatsTable[Average])),0)</f>
        <v>0</v>
      </c>
      <c r="P628" s="5">
        <f t="array" ref="P628">IFERROR(_xlfn.STDEV.S(IF((ContinuousStatsTable[GroupByKey]=ContinuousStatsTable[[#This Row],[GroupByKey]]),(ContinuousStatsTable[GroupByKey]=ContinuousStatsTable[[#This Row],[GroupByKey]])*ContinuousStatsTable[Average])),0)</f>
        <v>0</v>
      </c>
      <c r="Q628" s="5">
        <f t="array" ref="Q628">MAX(IF((ProjectInfoTable[ProjectName]=ContinuousStatsTable[[#This Row],[ProjectName]]),(ProjectInfoTable[ProjectName]=ContinuousStatsTable[[#This Row],[ProjectName]])*ProjectInfoTable[ConfidenceInterval]))</f>
        <v>0.95</v>
      </c>
      <c r="R6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8" s="5">
        <f t="array" ref="S628">MIN(IF((ContinuousStatsTable[GroupByKey]=ContinuousStatsTable[[#This Row],[GroupByKey]]),(ContinuousStatsTable[GroupByKey]=ContinuousStatsTable[[#This Row],[GroupByKey]])*ContinuousStatsTable[Average]))</f>
        <v>0</v>
      </c>
      <c r="T628" s="5">
        <f t="array" ref="T628">MAX(IF((ContinuousStatsTable[GroupByKey]=ContinuousStatsTable[[#This Row],[GroupByKey]]),(ContinuousStatsTable[GroupByKey]=ContinuousStatsTable[[#This Row],[GroupByKey]])*ContinuousStatsTable[Average]))</f>
        <v>0</v>
      </c>
      <c r="U628" s="5">
        <f>IF((ContinuousStatsTable[[#This Row],[RepsRequested]]&gt;1),ContinuousStatsTable[[#This Row],[HalfWidth]],ContinuousStatsTable[[#This Row],[BatchMeansHalfWidth]])</f>
        <v>0</v>
      </c>
    </row>
    <row r="629" spans="1:21" x14ac:dyDescent="0.25">
      <c r="A629" t="s">
        <v>67</v>
      </c>
      <c r="B629" t="s">
        <v>70</v>
      </c>
      <c r="C629">
        <v>14</v>
      </c>
      <c r="D629" t="s">
        <v>91</v>
      </c>
      <c r="E629" t="s">
        <v>74</v>
      </c>
      <c r="F629" t="s">
        <v>73</v>
      </c>
      <c r="G629">
        <v>0</v>
      </c>
      <c r="H629">
        <v>2E+20</v>
      </c>
      <c r="I629">
        <v>0</v>
      </c>
      <c r="J629">
        <v>0</v>
      </c>
      <c r="K629">
        <v>0</v>
      </c>
      <c r="L629">
        <v>0</v>
      </c>
      <c r="M629" s="5" t="str">
        <f>ContinuousStatsTable[[#This Row],[ProjectName]]&amp;ContinuousStatsTable[[#This Row],[Name]]&amp;ContinuousStatsTable[[#This Row],[Type]]&amp;ContinuousStatsTable[[#This Row],[Source]]</f>
        <v>Unnamed ProjectsandblastoperatorNumber BusyResource</v>
      </c>
      <c r="N629" s="5">
        <f t="array" ref="N629">MAX(IF((ProjectInfoTable[ProjectName]=ContinuousStatsTable[[#This Row],[ProjectName]]),(ProjectInfoTable[ProjectName]=ContinuousStatsTable[[#This Row],[ProjectName]])*ProjectInfoTable[NumberOfReplications]))</f>
        <v>15</v>
      </c>
      <c r="O629" s="5">
        <f t="array" ref="O629">IFERROR(AVERAGE(IF((ContinuousStatsTable[GroupByKey]=ContinuousStatsTable[[#This Row],[GroupByKey]]),(ContinuousStatsTable[GroupByKey]=ContinuousStatsTable[[#This Row],[GroupByKey]])*ContinuousStatsTable[Average])),0)</f>
        <v>0</v>
      </c>
      <c r="P629" s="5">
        <f t="array" ref="P629">IFERROR(_xlfn.STDEV.S(IF((ContinuousStatsTable[GroupByKey]=ContinuousStatsTable[[#This Row],[GroupByKey]]),(ContinuousStatsTable[GroupByKey]=ContinuousStatsTable[[#This Row],[GroupByKey]])*ContinuousStatsTable[Average])),0)</f>
        <v>0</v>
      </c>
      <c r="Q629" s="5">
        <f t="array" ref="Q629">MAX(IF((ProjectInfoTable[ProjectName]=ContinuousStatsTable[[#This Row],[ProjectName]]),(ProjectInfoTable[ProjectName]=ContinuousStatsTable[[#This Row],[ProjectName]])*ProjectInfoTable[ConfidenceInterval]))</f>
        <v>0.95</v>
      </c>
      <c r="R6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9" s="5">
        <f t="array" ref="S629">MIN(IF((ContinuousStatsTable[GroupByKey]=ContinuousStatsTable[[#This Row],[GroupByKey]]),(ContinuousStatsTable[GroupByKey]=ContinuousStatsTable[[#This Row],[GroupByKey]])*ContinuousStatsTable[Average]))</f>
        <v>0</v>
      </c>
      <c r="T629" s="5">
        <f t="array" ref="T629">MAX(IF((ContinuousStatsTable[GroupByKey]=ContinuousStatsTable[[#This Row],[GroupByKey]]),(ContinuousStatsTable[GroupByKey]=ContinuousStatsTable[[#This Row],[GroupByKey]])*ContinuousStatsTable[Average]))</f>
        <v>0</v>
      </c>
      <c r="U629" s="5">
        <f>IF((ContinuousStatsTable[[#This Row],[RepsRequested]]&gt;1),ContinuousStatsTable[[#This Row],[HalfWidth]],ContinuousStatsTable[[#This Row],[BatchMeansHalfWidth]])</f>
        <v>0</v>
      </c>
    </row>
    <row r="630" spans="1:21" x14ac:dyDescent="0.25">
      <c r="A630" t="s">
        <v>67</v>
      </c>
      <c r="B630" t="s">
        <v>70</v>
      </c>
      <c r="C630">
        <v>14</v>
      </c>
      <c r="D630" t="s">
        <v>91</v>
      </c>
      <c r="E630" t="s">
        <v>75</v>
      </c>
      <c r="F630" t="s">
        <v>73</v>
      </c>
      <c r="G630">
        <v>2</v>
      </c>
      <c r="H630">
        <v>2E+20</v>
      </c>
      <c r="I630">
        <v>2</v>
      </c>
      <c r="J630">
        <v>2</v>
      </c>
      <c r="K630">
        <v>2</v>
      </c>
      <c r="L630">
        <v>0</v>
      </c>
      <c r="M630" s="5" t="str">
        <f>ContinuousStatsTable[[#This Row],[ProjectName]]&amp;ContinuousStatsTable[[#This Row],[Name]]&amp;ContinuousStatsTable[[#This Row],[Type]]&amp;ContinuousStatsTable[[#This Row],[Source]]</f>
        <v>Unnamed ProjectsandblastoperatorNumber ScheduledResource</v>
      </c>
      <c r="N630" s="5">
        <f t="array" ref="N630">MAX(IF((ProjectInfoTable[ProjectName]=ContinuousStatsTable[[#This Row],[ProjectName]]),(ProjectInfoTable[ProjectName]=ContinuousStatsTable[[#This Row],[ProjectName]])*ProjectInfoTable[NumberOfReplications]))</f>
        <v>15</v>
      </c>
      <c r="O630" s="5">
        <f t="array" ref="O630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630" s="5">
        <f t="array" ref="P630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630" s="5">
        <f t="array" ref="Q630">MAX(IF((ProjectInfoTable[ProjectName]=ContinuousStatsTable[[#This Row],[ProjectName]]),(ProjectInfoTable[ProjectName]=ContinuousStatsTable[[#This Row],[ProjectName]])*ProjectInfoTable[ConfidenceInterval]))</f>
        <v>0.95</v>
      </c>
      <c r="R6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630" s="5">
        <f t="array" ref="S630">MIN(IF((ContinuousStatsTable[GroupByKey]=ContinuousStatsTable[[#This Row],[GroupByKey]]),(ContinuousStatsTable[GroupByKey]=ContinuousStatsTable[[#This Row],[GroupByKey]])*ContinuousStatsTable[Average]))</f>
        <v>1</v>
      </c>
      <c r="T630" s="5">
        <f t="array" ref="T630">MAX(IF((ContinuousStatsTable[GroupByKey]=ContinuousStatsTable[[#This Row],[GroupByKey]]),(ContinuousStatsTable[GroupByKey]=ContinuousStatsTable[[#This Row],[GroupByKey]])*ContinuousStatsTable[Average]))</f>
        <v>2</v>
      </c>
      <c r="U630" s="5">
        <f>IF((ContinuousStatsTable[[#This Row],[RepsRequested]]&gt;1),ContinuousStatsTable[[#This Row],[HalfWidth]],ContinuousStatsTable[[#This Row],[BatchMeansHalfWidth]])</f>
        <v>0.13376733135491528</v>
      </c>
    </row>
    <row r="631" spans="1:21" x14ac:dyDescent="0.25">
      <c r="A631" t="s">
        <v>67</v>
      </c>
      <c r="B631" t="s">
        <v>70</v>
      </c>
      <c r="C631">
        <v>14</v>
      </c>
      <c r="D631" t="s">
        <v>92</v>
      </c>
      <c r="E631" t="s">
        <v>84</v>
      </c>
      <c r="F631" t="s">
        <v>85</v>
      </c>
      <c r="G631">
        <v>0</v>
      </c>
      <c r="H631">
        <v>2E+20</v>
      </c>
      <c r="I631">
        <v>0</v>
      </c>
      <c r="J631">
        <v>0</v>
      </c>
      <c r="K631">
        <v>0</v>
      </c>
      <c r="L631">
        <v>0</v>
      </c>
      <c r="M631" s="5" t="str">
        <f>ContinuousStatsTable[[#This Row],[ProjectName]]&amp;ContinuousStatsTable[[#This Row],[Name]]&amp;ContinuousStatsTable[[#This Row],[Type]]&amp;ContinuousStatsTable[[#This Row],[Source]]</f>
        <v>Unnamed Projectseize_assembler.QueueNumber WaitingQueue</v>
      </c>
      <c r="N631" s="5">
        <f t="array" ref="N631">MAX(IF((ProjectInfoTable[ProjectName]=ContinuousStatsTable[[#This Row],[ProjectName]]),(ProjectInfoTable[ProjectName]=ContinuousStatsTable[[#This Row],[ProjectName]])*ProjectInfoTable[NumberOfReplications]))</f>
        <v>15</v>
      </c>
      <c r="O631" s="5">
        <f t="array" ref="O631">IFERROR(AVERAGE(IF((ContinuousStatsTable[GroupByKey]=ContinuousStatsTable[[#This Row],[GroupByKey]]),(ContinuousStatsTable[GroupByKey]=ContinuousStatsTable[[#This Row],[GroupByKey]])*ContinuousStatsTable[Average])),0)</f>
        <v>0</v>
      </c>
      <c r="P631" s="5">
        <f t="array" ref="P631">IFERROR(_xlfn.STDEV.S(IF((ContinuousStatsTable[GroupByKey]=ContinuousStatsTable[[#This Row],[GroupByKey]]),(ContinuousStatsTable[GroupByKey]=ContinuousStatsTable[[#This Row],[GroupByKey]])*ContinuousStatsTable[Average])),0)</f>
        <v>0</v>
      </c>
      <c r="Q631" s="5">
        <f t="array" ref="Q631">MAX(IF((ProjectInfoTable[ProjectName]=ContinuousStatsTable[[#This Row],[ProjectName]]),(ProjectInfoTable[ProjectName]=ContinuousStatsTable[[#This Row],[ProjectName]])*ProjectInfoTable[ConfidenceInterval]))</f>
        <v>0.95</v>
      </c>
      <c r="R6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1" s="5">
        <f t="array" ref="S631">MIN(IF((ContinuousStatsTable[GroupByKey]=ContinuousStatsTable[[#This Row],[GroupByKey]]),(ContinuousStatsTable[GroupByKey]=ContinuousStatsTable[[#This Row],[GroupByKey]])*ContinuousStatsTable[Average]))</f>
        <v>0</v>
      </c>
      <c r="T631" s="5">
        <f t="array" ref="T631">MAX(IF((ContinuousStatsTable[GroupByKey]=ContinuousStatsTable[[#This Row],[GroupByKey]]),(ContinuousStatsTable[GroupByKey]=ContinuousStatsTable[[#This Row],[GroupByKey]])*ContinuousStatsTable[Average]))</f>
        <v>0</v>
      </c>
      <c r="U631" s="5">
        <f>IF((ContinuousStatsTable[[#This Row],[RepsRequested]]&gt;1),ContinuousStatsTable[[#This Row],[HalfWidth]],ContinuousStatsTable[[#This Row],[BatchMeansHalfWidth]])</f>
        <v>0</v>
      </c>
    </row>
    <row r="632" spans="1:21" x14ac:dyDescent="0.25">
      <c r="A632" t="s">
        <v>67</v>
      </c>
      <c r="B632" t="s">
        <v>70</v>
      </c>
      <c r="C632">
        <v>14</v>
      </c>
      <c r="D632" t="s">
        <v>93</v>
      </c>
      <c r="E632" t="s">
        <v>84</v>
      </c>
      <c r="F632" t="s">
        <v>85</v>
      </c>
      <c r="G632">
        <v>0</v>
      </c>
      <c r="H632">
        <v>2E+20</v>
      </c>
      <c r="I632">
        <v>0</v>
      </c>
      <c r="J632">
        <v>0</v>
      </c>
      <c r="K632">
        <v>0</v>
      </c>
      <c r="L632">
        <v>0</v>
      </c>
      <c r="M632" s="5" t="str">
        <f>ContinuousStatsTable[[#This Row],[ProjectName]]&amp;ContinuousStatsTable[[#This Row],[Name]]&amp;ContinuousStatsTable[[#This Row],[Type]]&amp;ContinuousStatsTable[[#This Row],[Source]]</f>
        <v>Unnamed Projectseize_cutter.QueueNumber WaitingQueue</v>
      </c>
      <c r="N632" s="5">
        <f t="array" ref="N632">MAX(IF((ProjectInfoTable[ProjectName]=ContinuousStatsTable[[#This Row],[ProjectName]]),(ProjectInfoTable[ProjectName]=ContinuousStatsTable[[#This Row],[ProjectName]])*ProjectInfoTable[NumberOfReplications]))</f>
        <v>15</v>
      </c>
      <c r="O632" s="5">
        <f t="array" ref="O632">IFERROR(AVERAGE(IF((ContinuousStatsTable[GroupByKey]=ContinuousStatsTable[[#This Row],[GroupByKey]]),(ContinuousStatsTable[GroupByKey]=ContinuousStatsTable[[#This Row],[GroupByKey]])*ContinuousStatsTable[Average])),0)</f>
        <v>0</v>
      </c>
      <c r="P632" s="5">
        <f t="array" ref="P632">IFERROR(_xlfn.STDEV.S(IF((ContinuousStatsTable[GroupByKey]=ContinuousStatsTable[[#This Row],[GroupByKey]]),(ContinuousStatsTable[GroupByKey]=ContinuousStatsTable[[#This Row],[GroupByKey]])*ContinuousStatsTable[Average])),0)</f>
        <v>0</v>
      </c>
      <c r="Q632" s="5">
        <f t="array" ref="Q632">MAX(IF((ProjectInfoTable[ProjectName]=ContinuousStatsTable[[#This Row],[ProjectName]]),(ProjectInfoTable[ProjectName]=ContinuousStatsTable[[#This Row],[ProjectName]])*ProjectInfoTable[ConfidenceInterval]))</f>
        <v>0.95</v>
      </c>
      <c r="R6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2" s="5">
        <f t="array" ref="S632">MIN(IF((ContinuousStatsTable[GroupByKey]=ContinuousStatsTable[[#This Row],[GroupByKey]]),(ContinuousStatsTable[GroupByKey]=ContinuousStatsTable[[#This Row],[GroupByKey]])*ContinuousStatsTable[Average]))</f>
        <v>0</v>
      </c>
      <c r="T632" s="5">
        <f t="array" ref="T632">MAX(IF((ContinuousStatsTable[GroupByKey]=ContinuousStatsTable[[#This Row],[GroupByKey]]),(ContinuousStatsTable[GroupByKey]=ContinuousStatsTable[[#This Row],[GroupByKey]])*ContinuousStatsTable[Average]))</f>
        <v>0</v>
      </c>
      <c r="U632" s="5">
        <f>IF((ContinuousStatsTable[[#This Row],[RepsRequested]]&gt;1),ContinuousStatsTable[[#This Row],[HalfWidth]],ContinuousStatsTable[[#This Row],[BatchMeansHalfWidth]])</f>
        <v>0</v>
      </c>
    </row>
    <row r="633" spans="1:21" x14ac:dyDescent="0.25">
      <c r="A633" t="s">
        <v>67</v>
      </c>
      <c r="B633" t="s">
        <v>70</v>
      </c>
      <c r="C633">
        <v>14</v>
      </c>
      <c r="D633" t="s">
        <v>94</v>
      </c>
      <c r="E633" t="s">
        <v>84</v>
      </c>
      <c r="F633" t="s">
        <v>85</v>
      </c>
      <c r="G633">
        <v>0</v>
      </c>
      <c r="H633">
        <v>2E+20</v>
      </c>
      <c r="I633">
        <v>0</v>
      </c>
      <c r="J633">
        <v>0</v>
      </c>
      <c r="K633">
        <v>0</v>
      </c>
      <c r="L633">
        <v>0</v>
      </c>
      <c r="M633" s="5" t="str">
        <f>ContinuousStatsTable[[#This Row],[ProjectName]]&amp;ContinuousStatsTable[[#This Row],[Name]]&amp;ContinuousStatsTable[[#This Row],[Type]]&amp;ContinuousStatsTable[[#This Row],[Source]]</f>
        <v>Unnamed Projectseizeassemblyqcman.QueueNumber WaitingQueue</v>
      </c>
      <c r="N633" s="5">
        <f t="array" ref="N633">MAX(IF((ProjectInfoTable[ProjectName]=ContinuousStatsTable[[#This Row],[ProjectName]]),(ProjectInfoTable[ProjectName]=ContinuousStatsTable[[#This Row],[ProjectName]])*ProjectInfoTable[NumberOfReplications]))</f>
        <v>15</v>
      </c>
      <c r="O633" s="5">
        <f t="array" ref="O633">IFERROR(AVERAGE(IF((ContinuousStatsTable[GroupByKey]=ContinuousStatsTable[[#This Row],[GroupByKey]]),(ContinuousStatsTable[GroupByKey]=ContinuousStatsTable[[#This Row],[GroupByKey]])*ContinuousStatsTable[Average])),0)</f>
        <v>0</v>
      </c>
      <c r="P633" s="5">
        <f t="array" ref="P633">IFERROR(_xlfn.STDEV.S(IF((ContinuousStatsTable[GroupByKey]=ContinuousStatsTable[[#This Row],[GroupByKey]]),(ContinuousStatsTable[GroupByKey]=ContinuousStatsTable[[#This Row],[GroupByKey]])*ContinuousStatsTable[Average])),0)</f>
        <v>0</v>
      </c>
      <c r="Q633" s="5">
        <f t="array" ref="Q633">MAX(IF((ProjectInfoTable[ProjectName]=ContinuousStatsTable[[#This Row],[ProjectName]]),(ProjectInfoTable[ProjectName]=ContinuousStatsTable[[#This Row],[ProjectName]])*ProjectInfoTable[ConfidenceInterval]))</f>
        <v>0.95</v>
      </c>
      <c r="R6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3" s="5">
        <f t="array" ref="S633">MIN(IF((ContinuousStatsTable[GroupByKey]=ContinuousStatsTable[[#This Row],[GroupByKey]]),(ContinuousStatsTable[GroupByKey]=ContinuousStatsTable[[#This Row],[GroupByKey]])*ContinuousStatsTable[Average]))</f>
        <v>0</v>
      </c>
      <c r="T633" s="5">
        <f t="array" ref="T633">MAX(IF((ContinuousStatsTable[GroupByKey]=ContinuousStatsTable[[#This Row],[GroupByKey]]),(ContinuousStatsTable[GroupByKey]=ContinuousStatsTable[[#This Row],[GroupByKey]])*ContinuousStatsTable[Average]))</f>
        <v>0</v>
      </c>
      <c r="U633" s="5">
        <f>IF((ContinuousStatsTable[[#This Row],[RepsRequested]]&gt;1),ContinuousStatsTable[[#This Row],[HalfWidth]],ContinuousStatsTable[[#This Row],[BatchMeansHalfWidth]])</f>
        <v>0</v>
      </c>
    </row>
    <row r="634" spans="1:21" x14ac:dyDescent="0.25">
      <c r="A634" t="s">
        <v>67</v>
      </c>
      <c r="B634" t="s">
        <v>70</v>
      </c>
      <c r="C634">
        <v>14</v>
      </c>
      <c r="D634" t="s">
        <v>95</v>
      </c>
      <c r="E634" t="s">
        <v>84</v>
      </c>
      <c r="F634" t="s">
        <v>85</v>
      </c>
      <c r="G634">
        <v>0</v>
      </c>
      <c r="H634">
        <v>2E+20</v>
      </c>
      <c r="I634">
        <v>0</v>
      </c>
      <c r="J634">
        <v>0</v>
      </c>
      <c r="K634">
        <v>0</v>
      </c>
      <c r="L634">
        <v>0</v>
      </c>
      <c r="M634" s="5" t="str">
        <f>ContinuousStatsTable[[#This Row],[ProjectName]]&amp;ContinuousStatsTable[[#This Row],[Name]]&amp;ContinuousStatsTable[[#This Row],[Type]]&amp;ContinuousStatsTable[[#This Row],[Source]]</f>
        <v>Unnamed Projectseizecleaner.QueueNumber WaitingQueue</v>
      </c>
      <c r="N634" s="5">
        <f t="array" ref="N634">MAX(IF((ProjectInfoTable[ProjectName]=ContinuousStatsTable[[#This Row],[ProjectName]]),(ProjectInfoTable[ProjectName]=ContinuousStatsTable[[#This Row],[ProjectName]])*ProjectInfoTable[NumberOfReplications]))</f>
        <v>15</v>
      </c>
      <c r="O634" s="5">
        <f t="array" ref="O634">IFERROR(AVERAGE(IF((ContinuousStatsTable[GroupByKey]=ContinuousStatsTable[[#This Row],[GroupByKey]]),(ContinuousStatsTable[GroupByKey]=ContinuousStatsTable[[#This Row],[GroupByKey]])*ContinuousStatsTable[Average])),0)</f>
        <v>0</v>
      </c>
      <c r="P634" s="5">
        <f t="array" ref="P634">IFERROR(_xlfn.STDEV.S(IF((ContinuousStatsTable[GroupByKey]=ContinuousStatsTable[[#This Row],[GroupByKey]]),(ContinuousStatsTable[GroupByKey]=ContinuousStatsTable[[#This Row],[GroupByKey]])*ContinuousStatsTable[Average])),0)</f>
        <v>0</v>
      </c>
      <c r="Q634" s="5">
        <f t="array" ref="Q634">MAX(IF((ProjectInfoTable[ProjectName]=ContinuousStatsTable[[#This Row],[ProjectName]]),(ProjectInfoTable[ProjectName]=ContinuousStatsTable[[#This Row],[ProjectName]])*ProjectInfoTable[ConfidenceInterval]))</f>
        <v>0.95</v>
      </c>
      <c r="R6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4" s="5">
        <f t="array" ref="S634">MIN(IF((ContinuousStatsTable[GroupByKey]=ContinuousStatsTable[[#This Row],[GroupByKey]]),(ContinuousStatsTable[GroupByKey]=ContinuousStatsTable[[#This Row],[GroupByKey]])*ContinuousStatsTable[Average]))</f>
        <v>0</v>
      </c>
      <c r="T634" s="5">
        <f t="array" ref="T634">MAX(IF((ContinuousStatsTable[GroupByKey]=ContinuousStatsTable[[#This Row],[GroupByKey]]),(ContinuousStatsTable[GroupByKey]=ContinuousStatsTable[[#This Row],[GroupByKey]])*ContinuousStatsTable[Average]))</f>
        <v>0</v>
      </c>
      <c r="U634" s="5">
        <f>IF((ContinuousStatsTable[[#This Row],[RepsRequested]]&gt;1),ContinuousStatsTable[[#This Row],[HalfWidth]],ContinuousStatsTable[[#This Row],[BatchMeansHalfWidth]])</f>
        <v>0</v>
      </c>
    </row>
    <row r="635" spans="1:21" x14ac:dyDescent="0.25">
      <c r="A635" t="s">
        <v>67</v>
      </c>
      <c r="B635" t="s">
        <v>70</v>
      </c>
      <c r="C635">
        <v>14</v>
      </c>
      <c r="D635" t="s">
        <v>96</v>
      </c>
      <c r="E635" t="s">
        <v>84</v>
      </c>
      <c r="F635" t="s">
        <v>85</v>
      </c>
      <c r="G635">
        <v>0</v>
      </c>
      <c r="H635">
        <v>2E+20</v>
      </c>
      <c r="I635">
        <v>0</v>
      </c>
      <c r="J635">
        <v>0</v>
      </c>
      <c r="K635">
        <v>0</v>
      </c>
      <c r="L635">
        <v>0</v>
      </c>
      <c r="M635" s="5" t="str">
        <f>ContinuousStatsTable[[#This Row],[ProjectName]]&amp;ContinuousStatsTable[[#This Row],[Name]]&amp;ContinuousStatsTable[[#This Row],[Type]]&amp;ContinuousStatsTable[[#This Row],[Source]]</f>
        <v>Unnamed Projectseizepainter.QueueNumber WaitingQueue</v>
      </c>
      <c r="N635" s="5">
        <f t="array" ref="N635">MAX(IF((ProjectInfoTable[ProjectName]=ContinuousStatsTable[[#This Row],[ProjectName]]),(ProjectInfoTable[ProjectName]=ContinuousStatsTable[[#This Row],[ProjectName]])*ProjectInfoTable[NumberOfReplications]))</f>
        <v>15</v>
      </c>
      <c r="O635" s="5">
        <f t="array" ref="O635">IFERROR(AVERAGE(IF((ContinuousStatsTable[GroupByKey]=ContinuousStatsTable[[#This Row],[GroupByKey]]),(ContinuousStatsTable[GroupByKey]=ContinuousStatsTable[[#This Row],[GroupByKey]])*ContinuousStatsTable[Average])),0)</f>
        <v>0</v>
      </c>
      <c r="P635" s="5">
        <f t="array" ref="P635">IFERROR(_xlfn.STDEV.S(IF((ContinuousStatsTable[GroupByKey]=ContinuousStatsTable[[#This Row],[GroupByKey]]),(ContinuousStatsTable[GroupByKey]=ContinuousStatsTable[[#This Row],[GroupByKey]])*ContinuousStatsTable[Average])),0)</f>
        <v>0</v>
      </c>
      <c r="Q635" s="5">
        <f t="array" ref="Q635">MAX(IF((ProjectInfoTable[ProjectName]=ContinuousStatsTable[[#This Row],[ProjectName]]),(ProjectInfoTable[ProjectName]=ContinuousStatsTable[[#This Row],[ProjectName]])*ProjectInfoTable[ConfidenceInterval]))</f>
        <v>0.95</v>
      </c>
      <c r="R6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5" s="5">
        <f t="array" ref="S635">MIN(IF((ContinuousStatsTable[GroupByKey]=ContinuousStatsTable[[#This Row],[GroupByKey]]),(ContinuousStatsTable[GroupByKey]=ContinuousStatsTable[[#This Row],[GroupByKey]])*ContinuousStatsTable[Average]))</f>
        <v>0</v>
      </c>
      <c r="T635" s="5">
        <f t="array" ref="T635">MAX(IF((ContinuousStatsTable[GroupByKey]=ContinuousStatsTable[[#This Row],[GroupByKey]]),(ContinuousStatsTable[GroupByKey]=ContinuousStatsTable[[#This Row],[GroupByKey]])*ContinuousStatsTable[Average]))</f>
        <v>0</v>
      </c>
      <c r="U635" s="5">
        <f>IF((ContinuousStatsTable[[#This Row],[RepsRequested]]&gt;1),ContinuousStatsTable[[#This Row],[HalfWidth]],ContinuousStatsTable[[#This Row],[BatchMeansHalfWidth]])</f>
        <v>0</v>
      </c>
    </row>
    <row r="636" spans="1:21" x14ac:dyDescent="0.25">
      <c r="A636" t="s">
        <v>67</v>
      </c>
      <c r="B636" t="s">
        <v>70</v>
      </c>
      <c r="C636">
        <v>14</v>
      </c>
      <c r="D636" t="s">
        <v>97</v>
      </c>
      <c r="E636" t="s">
        <v>84</v>
      </c>
      <c r="F636" t="s">
        <v>85</v>
      </c>
      <c r="G636">
        <v>0</v>
      </c>
      <c r="H636">
        <v>2E+20</v>
      </c>
      <c r="I636">
        <v>0</v>
      </c>
      <c r="J636">
        <v>0</v>
      </c>
      <c r="K636">
        <v>0</v>
      </c>
      <c r="L636">
        <v>0</v>
      </c>
      <c r="M636" s="5" t="str">
        <f>ContinuousStatsTable[[#This Row],[ProjectName]]&amp;ContinuousStatsTable[[#This Row],[Name]]&amp;ContinuousStatsTable[[#This Row],[Type]]&amp;ContinuousStatsTable[[#This Row],[Source]]</f>
        <v>Unnamed Projectseizeqcman.QueueNumber WaitingQueue</v>
      </c>
      <c r="N636" s="5">
        <f t="array" ref="N636">MAX(IF((ProjectInfoTable[ProjectName]=ContinuousStatsTable[[#This Row],[ProjectName]]),(ProjectInfoTable[ProjectName]=ContinuousStatsTable[[#This Row],[ProjectName]])*ProjectInfoTable[NumberOfReplications]))</f>
        <v>15</v>
      </c>
      <c r="O636" s="5">
        <f t="array" ref="O636">IFERROR(AVERAGE(IF((ContinuousStatsTable[GroupByKey]=ContinuousStatsTable[[#This Row],[GroupByKey]]),(ContinuousStatsTable[GroupByKey]=ContinuousStatsTable[[#This Row],[GroupByKey]])*ContinuousStatsTable[Average])),0)</f>
        <v>0</v>
      </c>
      <c r="P636" s="5">
        <f t="array" ref="P636">IFERROR(_xlfn.STDEV.S(IF((ContinuousStatsTable[GroupByKey]=ContinuousStatsTable[[#This Row],[GroupByKey]]),(ContinuousStatsTable[GroupByKey]=ContinuousStatsTable[[#This Row],[GroupByKey]])*ContinuousStatsTable[Average])),0)</f>
        <v>0</v>
      </c>
      <c r="Q636" s="5">
        <f t="array" ref="Q636">MAX(IF((ProjectInfoTable[ProjectName]=ContinuousStatsTable[[#This Row],[ProjectName]]),(ProjectInfoTable[ProjectName]=ContinuousStatsTable[[#This Row],[ProjectName]])*ProjectInfoTable[ConfidenceInterval]))</f>
        <v>0.95</v>
      </c>
      <c r="R6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6" s="5">
        <f t="array" ref="S636">MIN(IF((ContinuousStatsTable[GroupByKey]=ContinuousStatsTable[[#This Row],[GroupByKey]]),(ContinuousStatsTable[GroupByKey]=ContinuousStatsTable[[#This Row],[GroupByKey]])*ContinuousStatsTable[Average]))</f>
        <v>0</v>
      </c>
      <c r="T636" s="5">
        <f t="array" ref="T636">MAX(IF((ContinuousStatsTable[GroupByKey]=ContinuousStatsTable[[#This Row],[GroupByKey]]),(ContinuousStatsTable[GroupByKey]=ContinuousStatsTable[[#This Row],[GroupByKey]])*ContinuousStatsTable[Average]))</f>
        <v>0</v>
      </c>
      <c r="U636" s="5">
        <f>IF((ContinuousStatsTable[[#This Row],[RepsRequested]]&gt;1),ContinuousStatsTable[[#This Row],[HalfWidth]],ContinuousStatsTable[[#This Row],[BatchMeansHalfWidth]])</f>
        <v>0</v>
      </c>
    </row>
    <row r="637" spans="1:21" x14ac:dyDescent="0.25">
      <c r="A637" t="s">
        <v>67</v>
      </c>
      <c r="B637" t="s">
        <v>70</v>
      </c>
      <c r="C637">
        <v>14</v>
      </c>
      <c r="D637" t="s">
        <v>98</v>
      </c>
      <c r="E637" t="s">
        <v>84</v>
      </c>
      <c r="F637" t="s">
        <v>85</v>
      </c>
      <c r="G637">
        <v>0</v>
      </c>
      <c r="H637">
        <v>2E+20</v>
      </c>
      <c r="I637">
        <v>0</v>
      </c>
      <c r="J637">
        <v>0</v>
      </c>
      <c r="K637">
        <v>0</v>
      </c>
      <c r="L637">
        <v>0</v>
      </c>
      <c r="M637" s="5" t="str">
        <f>ContinuousStatsTable[[#This Row],[ProjectName]]&amp;ContinuousStatsTable[[#This Row],[Name]]&amp;ContinuousStatsTable[[#This Row],[Type]]&amp;ContinuousStatsTable[[#This Row],[Source]]</f>
        <v>Unnamed Projectseizesandblaster.QueueNumber WaitingQueue</v>
      </c>
      <c r="N637" s="5">
        <f t="array" ref="N637">MAX(IF((ProjectInfoTable[ProjectName]=ContinuousStatsTable[[#This Row],[ProjectName]]),(ProjectInfoTable[ProjectName]=ContinuousStatsTable[[#This Row],[ProjectName]])*ProjectInfoTable[NumberOfReplications]))</f>
        <v>15</v>
      </c>
      <c r="O637" s="5">
        <f t="array" ref="O637">IFERROR(AVERAGE(IF((ContinuousStatsTable[GroupByKey]=ContinuousStatsTable[[#This Row],[GroupByKey]]),(ContinuousStatsTable[GroupByKey]=ContinuousStatsTable[[#This Row],[GroupByKey]])*ContinuousStatsTable[Average])),0)</f>
        <v>0</v>
      </c>
      <c r="P637" s="5">
        <f t="array" ref="P637">IFERROR(_xlfn.STDEV.S(IF((ContinuousStatsTable[GroupByKey]=ContinuousStatsTable[[#This Row],[GroupByKey]]),(ContinuousStatsTable[GroupByKey]=ContinuousStatsTable[[#This Row],[GroupByKey]])*ContinuousStatsTable[Average])),0)</f>
        <v>0</v>
      </c>
      <c r="Q637" s="5">
        <f t="array" ref="Q637">MAX(IF((ProjectInfoTable[ProjectName]=ContinuousStatsTable[[#This Row],[ProjectName]]),(ProjectInfoTable[ProjectName]=ContinuousStatsTable[[#This Row],[ProjectName]])*ProjectInfoTable[ConfidenceInterval]))</f>
        <v>0.95</v>
      </c>
      <c r="R6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7" s="5">
        <f t="array" ref="S637">MIN(IF((ContinuousStatsTable[GroupByKey]=ContinuousStatsTable[[#This Row],[GroupByKey]]),(ContinuousStatsTable[GroupByKey]=ContinuousStatsTable[[#This Row],[GroupByKey]])*ContinuousStatsTable[Average]))</f>
        <v>0</v>
      </c>
      <c r="T637" s="5">
        <f t="array" ref="T637">MAX(IF((ContinuousStatsTable[GroupByKey]=ContinuousStatsTable[[#This Row],[GroupByKey]]),(ContinuousStatsTable[GroupByKey]=ContinuousStatsTable[[#This Row],[GroupByKey]])*ContinuousStatsTable[Average]))</f>
        <v>0</v>
      </c>
      <c r="U637" s="5">
        <f>IF((ContinuousStatsTable[[#This Row],[RepsRequested]]&gt;1),ContinuousStatsTable[[#This Row],[HalfWidth]],ContinuousStatsTable[[#This Row],[BatchMeansHalfWidth]])</f>
        <v>0</v>
      </c>
    </row>
    <row r="638" spans="1:21" x14ac:dyDescent="0.25">
      <c r="A638" t="s">
        <v>67</v>
      </c>
      <c r="B638" t="s">
        <v>70</v>
      </c>
      <c r="C638">
        <v>14</v>
      </c>
      <c r="D638" t="s">
        <v>99</v>
      </c>
      <c r="E638" t="s">
        <v>84</v>
      </c>
      <c r="F638" t="s">
        <v>85</v>
      </c>
      <c r="G638">
        <v>0</v>
      </c>
      <c r="H638">
        <v>2E+20</v>
      </c>
      <c r="I638">
        <v>0</v>
      </c>
      <c r="J638">
        <v>0</v>
      </c>
      <c r="K638">
        <v>0</v>
      </c>
      <c r="L638">
        <v>0</v>
      </c>
      <c r="M638" s="5" t="str">
        <f>ContinuousStatsTable[[#This Row],[ProjectName]]&amp;ContinuousStatsTable[[#This Row],[Name]]&amp;ContinuousStatsTable[[#This Row],[Type]]&amp;ContinuousStatsTable[[#This Row],[Source]]</f>
        <v>Unnamed Projectseizewelder.QueueNumber WaitingQueue</v>
      </c>
      <c r="N638" s="5">
        <f t="array" ref="N638">MAX(IF((ProjectInfoTable[ProjectName]=ContinuousStatsTable[[#This Row],[ProjectName]]),(ProjectInfoTable[ProjectName]=ContinuousStatsTable[[#This Row],[ProjectName]])*ProjectInfoTable[NumberOfReplications]))</f>
        <v>15</v>
      </c>
      <c r="O638" s="5">
        <f t="array" ref="O638">IFERROR(AVERAGE(IF((ContinuousStatsTable[GroupByKey]=ContinuousStatsTable[[#This Row],[GroupByKey]]),(ContinuousStatsTable[GroupByKey]=ContinuousStatsTable[[#This Row],[GroupByKey]])*ContinuousStatsTable[Average])),0)</f>
        <v>0</v>
      </c>
      <c r="P638" s="5">
        <f t="array" ref="P638">IFERROR(_xlfn.STDEV.S(IF((ContinuousStatsTable[GroupByKey]=ContinuousStatsTable[[#This Row],[GroupByKey]]),(ContinuousStatsTable[GroupByKey]=ContinuousStatsTable[[#This Row],[GroupByKey]])*ContinuousStatsTable[Average])),0)</f>
        <v>0</v>
      </c>
      <c r="Q638" s="5">
        <f t="array" ref="Q638">MAX(IF((ProjectInfoTable[ProjectName]=ContinuousStatsTable[[#This Row],[ProjectName]]),(ProjectInfoTable[ProjectName]=ContinuousStatsTable[[#This Row],[ProjectName]])*ProjectInfoTable[ConfidenceInterval]))</f>
        <v>0.95</v>
      </c>
      <c r="R6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8" s="5">
        <f t="array" ref="S638">MIN(IF((ContinuousStatsTable[GroupByKey]=ContinuousStatsTable[[#This Row],[GroupByKey]]),(ContinuousStatsTable[GroupByKey]=ContinuousStatsTable[[#This Row],[GroupByKey]])*ContinuousStatsTable[Average]))</f>
        <v>0</v>
      </c>
      <c r="T638" s="5">
        <f t="array" ref="T638">MAX(IF((ContinuousStatsTable[GroupByKey]=ContinuousStatsTable[[#This Row],[GroupByKey]]),(ContinuousStatsTable[GroupByKey]=ContinuousStatsTable[[#This Row],[GroupByKey]])*ContinuousStatsTable[Average]))</f>
        <v>0</v>
      </c>
      <c r="U638" s="5">
        <f>IF((ContinuousStatsTable[[#This Row],[RepsRequested]]&gt;1),ContinuousStatsTable[[#This Row],[HalfWidth]],ContinuousStatsTable[[#This Row],[BatchMeansHalfWidth]])</f>
        <v>0</v>
      </c>
    </row>
    <row r="639" spans="1:21" x14ac:dyDescent="0.25">
      <c r="A639" t="s">
        <v>67</v>
      </c>
      <c r="B639" t="s">
        <v>70</v>
      </c>
      <c r="C639">
        <v>14</v>
      </c>
      <c r="D639" t="s">
        <v>100</v>
      </c>
      <c r="E639" t="s">
        <v>78</v>
      </c>
      <c r="F639" t="s">
        <v>79</v>
      </c>
      <c r="G639">
        <v>0</v>
      </c>
      <c r="H639">
        <v>2E+20</v>
      </c>
      <c r="I639">
        <v>0</v>
      </c>
      <c r="J639">
        <v>0</v>
      </c>
      <c r="K639">
        <v>0</v>
      </c>
      <c r="L639">
        <v>0</v>
      </c>
      <c r="M639" s="5" t="str">
        <f>ContinuousStatsTable[[#This Row],[ProjectName]]&amp;ContinuousStatsTable[[#This Row],[Name]]&amp;ContinuousStatsTable[[#This Row],[Type]]&amp;ContinuousStatsTable[[#This Row],[Source]]</f>
        <v>Unnamed ProjectsteelsheetWIPEntity</v>
      </c>
      <c r="N639" s="5">
        <f t="array" ref="N639">MAX(IF((ProjectInfoTable[ProjectName]=ContinuousStatsTable[[#This Row],[ProjectName]]),(ProjectInfoTable[ProjectName]=ContinuousStatsTable[[#This Row],[ProjectName]])*ProjectInfoTable[NumberOfReplications]))</f>
        <v>15</v>
      </c>
      <c r="O639" s="5">
        <f t="array" ref="O639">IFERROR(AVERAGE(IF((ContinuousStatsTable[GroupByKey]=ContinuousStatsTable[[#This Row],[GroupByKey]]),(ContinuousStatsTable[GroupByKey]=ContinuousStatsTable[[#This Row],[GroupByKey]])*ContinuousStatsTable[Average])),0)</f>
        <v>6.1333333333333337</v>
      </c>
      <c r="P639" s="5">
        <f t="array" ref="P639">IFERROR(_xlfn.STDEV.S(IF((ContinuousStatsTable[GroupByKey]=ContinuousStatsTable[[#This Row],[GroupByKey]]),(ContinuousStatsTable[GroupByKey]=ContinuousStatsTable[[#This Row],[GroupByKey]])*ContinuousStatsTable[Average])),0)</f>
        <v>5.3166405433005028</v>
      </c>
      <c r="Q639" s="5">
        <f t="array" ref="Q639">MAX(IF((ProjectInfoTable[ProjectName]=ContinuousStatsTable[[#This Row],[ProjectName]]),(ProjectInfoTable[ProjectName]=ContinuousStatsTable[[#This Row],[ProjectName]])*ProjectInfoTable[ConfidenceInterval]))</f>
        <v>0.95</v>
      </c>
      <c r="R6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2.944257396015229</v>
      </c>
      <c r="S639" s="5">
        <f t="array" ref="S639">MIN(IF((ContinuousStatsTable[GroupByKey]=ContinuousStatsTable[[#This Row],[GroupByKey]]),(ContinuousStatsTable[GroupByKey]=ContinuousStatsTable[[#This Row],[GroupByKey]])*ContinuousStatsTable[Average]))</f>
        <v>0</v>
      </c>
      <c r="T639" s="5">
        <f t="array" ref="T639">MAX(IF((ContinuousStatsTable[GroupByKey]=ContinuousStatsTable[[#This Row],[GroupByKey]]),(ContinuousStatsTable[GroupByKey]=ContinuousStatsTable[[#This Row],[GroupByKey]])*ContinuousStatsTable[Average]))</f>
        <v>16</v>
      </c>
      <c r="U639" s="5">
        <f>IF((ContinuousStatsTable[[#This Row],[RepsRequested]]&gt;1),ContinuousStatsTable[[#This Row],[HalfWidth]],ContinuousStatsTable[[#This Row],[BatchMeansHalfWidth]])</f>
        <v>2.944257396015229</v>
      </c>
    </row>
    <row r="640" spans="1:21" x14ac:dyDescent="0.25">
      <c r="A640" t="s">
        <v>67</v>
      </c>
      <c r="B640" t="s">
        <v>70</v>
      </c>
      <c r="C640">
        <v>14</v>
      </c>
      <c r="D640" t="s">
        <v>101</v>
      </c>
      <c r="E640" t="s">
        <v>72</v>
      </c>
      <c r="F640" t="s">
        <v>73</v>
      </c>
      <c r="G640">
        <v>0</v>
      </c>
      <c r="H640">
        <v>2E+20</v>
      </c>
      <c r="I640">
        <v>0</v>
      </c>
      <c r="J640">
        <v>0</v>
      </c>
      <c r="K640">
        <v>0</v>
      </c>
      <c r="L640">
        <v>0</v>
      </c>
      <c r="M640" s="5" t="str">
        <f>ContinuousStatsTable[[#This Row],[ProjectName]]&amp;ContinuousStatsTable[[#This Row],[Name]]&amp;ContinuousStatsTable[[#This Row],[Type]]&amp;ContinuousStatsTable[[#This Row],[Source]]</f>
        <v>Unnamed ProjectwelderInstantaneous UtilizationResource</v>
      </c>
      <c r="N640" s="5">
        <f t="array" ref="N640">MAX(IF((ProjectInfoTable[ProjectName]=ContinuousStatsTable[[#This Row],[ProjectName]]),(ProjectInfoTable[ProjectName]=ContinuousStatsTable[[#This Row],[ProjectName]])*ProjectInfoTable[NumberOfReplications]))</f>
        <v>15</v>
      </c>
      <c r="O640" s="5">
        <f t="array" ref="O640">IFERROR(AVERAGE(IF((ContinuousStatsTable[GroupByKey]=ContinuousStatsTable[[#This Row],[GroupByKey]]),(ContinuousStatsTable[GroupByKey]=ContinuousStatsTable[[#This Row],[GroupByKey]])*ContinuousStatsTable[Average])),0)</f>
        <v>0</v>
      </c>
      <c r="P640" s="5">
        <f t="array" ref="P640">IFERROR(_xlfn.STDEV.S(IF((ContinuousStatsTable[GroupByKey]=ContinuousStatsTable[[#This Row],[GroupByKey]]),(ContinuousStatsTable[GroupByKey]=ContinuousStatsTable[[#This Row],[GroupByKey]])*ContinuousStatsTable[Average])),0)</f>
        <v>0</v>
      </c>
      <c r="Q640" s="5">
        <f t="array" ref="Q640">MAX(IF((ProjectInfoTable[ProjectName]=ContinuousStatsTable[[#This Row],[ProjectName]]),(ProjectInfoTable[ProjectName]=ContinuousStatsTable[[#This Row],[ProjectName]])*ProjectInfoTable[ConfidenceInterval]))</f>
        <v>0.95</v>
      </c>
      <c r="R6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0" s="5">
        <f t="array" ref="S640">MIN(IF((ContinuousStatsTable[GroupByKey]=ContinuousStatsTable[[#This Row],[GroupByKey]]),(ContinuousStatsTable[GroupByKey]=ContinuousStatsTable[[#This Row],[GroupByKey]])*ContinuousStatsTable[Average]))</f>
        <v>0</v>
      </c>
      <c r="T640" s="5">
        <f t="array" ref="T640">MAX(IF((ContinuousStatsTable[GroupByKey]=ContinuousStatsTable[[#This Row],[GroupByKey]]),(ContinuousStatsTable[GroupByKey]=ContinuousStatsTable[[#This Row],[GroupByKey]])*ContinuousStatsTable[Average]))</f>
        <v>0</v>
      </c>
      <c r="U640" s="5">
        <f>IF((ContinuousStatsTable[[#This Row],[RepsRequested]]&gt;1),ContinuousStatsTable[[#This Row],[HalfWidth]],ContinuousStatsTable[[#This Row],[BatchMeansHalfWidth]])</f>
        <v>0</v>
      </c>
    </row>
    <row r="641" spans="1:21" x14ac:dyDescent="0.25">
      <c r="A641" t="s">
        <v>67</v>
      </c>
      <c r="B641" t="s">
        <v>70</v>
      </c>
      <c r="C641">
        <v>14</v>
      </c>
      <c r="D641" t="s">
        <v>101</v>
      </c>
      <c r="E641" t="s">
        <v>74</v>
      </c>
      <c r="F641" t="s">
        <v>73</v>
      </c>
      <c r="G641">
        <v>0</v>
      </c>
      <c r="H641">
        <v>2E+20</v>
      </c>
      <c r="I641">
        <v>0</v>
      </c>
      <c r="J641">
        <v>0</v>
      </c>
      <c r="K641">
        <v>0</v>
      </c>
      <c r="L641">
        <v>0</v>
      </c>
      <c r="M641" s="5" t="str">
        <f>ContinuousStatsTable[[#This Row],[ProjectName]]&amp;ContinuousStatsTable[[#This Row],[Name]]&amp;ContinuousStatsTable[[#This Row],[Type]]&amp;ContinuousStatsTable[[#This Row],[Source]]</f>
        <v>Unnamed ProjectwelderNumber BusyResource</v>
      </c>
      <c r="N641" s="5">
        <f t="array" ref="N641">MAX(IF((ProjectInfoTable[ProjectName]=ContinuousStatsTable[[#This Row],[ProjectName]]),(ProjectInfoTable[ProjectName]=ContinuousStatsTable[[#This Row],[ProjectName]])*ProjectInfoTable[NumberOfReplications]))</f>
        <v>15</v>
      </c>
      <c r="O641" s="5">
        <f t="array" ref="O641">IFERROR(AVERAGE(IF((ContinuousStatsTable[GroupByKey]=ContinuousStatsTable[[#This Row],[GroupByKey]]),(ContinuousStatsTable[GroupByKey]=ContinuousStatsTable[[#This Row],[GroupByKey]])*ContinuousStatsTable[Average])),0)</f>
        <v>0</v>
      </c>
      <c r="P641" s="5">
        <f t="array" ref="P641">IFERROR(_xlfn.STDEV.S(IF((ContinuousStatsTable[GroupByKey]=ContinuousStatsTable[[#This Row],[GroupByKey]]),(ContinuousStatsTable[GroupByKey]=ContinuousStatsTable[[#This Row],[GroupByKey]])*ContinuousStatsTable[Average])),0)</f>
        <v>0</v>
      </c>
      <c r="Q641" s="5">
        <f t="array" ref="Q641">MAX(IF((ProjectInfoTable[ProjectName]=ContinuousStatsTable[[#This Row],[ProjectName]]),(ProjectInfoTable[ProjectName]=ContinuousStatsTable[[#This Row],[ProjectName]])*ProjectInfoTable[ConfidenceInterval]))</f>
        <v>0.95</v>
      </c>
      <c r="R6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1" s="5">
        <f t="array" ref="S641">MIN(IF((ContinuousStatsTable[GroupByKey]=ContinuousStatsTable[[#This Row],[GroupByKey]]),(ContinuousStatsTable[GroupByKey]=ContinuousStatsTable[[#This Row],[GroupByKey]])*ContinuousStatsTable[Average]))</f>
        <v>0</v>
      </c>
      <c r="T641" s="5">
        <f t="array" ref="T641">MAX(IF((ContinuousStatsTable[GroupByKey]=ContinuousStatsTable[[#This Row],[GroupByKey]]),(ContinuousStatsTable[GroupByKey]=ContinuousStatsTable[[#This Row],[GroupByKey]])*ContinuousStatsTable[Average]))</f>
        <v>0</v>
      </c>
      <c r="U641" s="5">
        <f>IF((ContinuousStatsTable[[#This Row],[RepsRequested]]&gt;1),ContinuousStatsTable[[#This Row],[HalfWidth]],ContinuousStatsTable[[#This Row],[BatchMeansHalfWidth]])</f>
        <v>0</v>
      </c>
    </row>
    <row r="642" spans="1:21" x14ac:dyDescent="0.25">
      <c r="A642" t="s">
        <v>67</v>
      </c>
      <c r="B642" t="s">
        <v>70</v>
      </c>
      <c r="C642">
        <v>14</v>
      </c>
      <c r="D642" t="s">
        <v>101</v>
      </c>
      <c r="E642" t="s">
        <v>75</v>
      </c>
      <c r="F642" t="s">
        <v>73</v>
      </c>
      <c r="G642">
        <v>2</v>
      </c>
      <c r="H642">
        <v>2E+20</v>
      </c>
      <c r="I642">
        <v>2</v>
      </c>
      <c r="J642">
        <v>2</v>
      </c>
      <c r="K642">
        <v>2</v>
      </c>
      <c r="L642">
        <v>0</v>
      </c>
      <c r="M642" s="5" t="str">
        <f>ContinuousStatsTable[[#This Row],[ProjectName]]&amp;ContinuousStatsTable[[#This Row],[Name]]&amp;ContinuousStatsTable[[#This Row],[Type]]&amp;ContinuousStatsTable[[#This Row],[Source]]</f>
        <v>Unnamed ProjectwelderNumber ScheduledResource</v>
      </c>
      <c r="N642" s="5">
        <f t="array" ref="N642">MAX(IF((ProjectInfoTable[ProjectName]=ContinuousStatsTable[[#This Row],[ProjectName]]),(ProjectInfoTable[ProjectName]=ContinuousStatsTable[[#This Row],[ProjectName]])*ProjectInfoTable[NumberOfReplications]))</f>
        <v>15</v>
      </c>
      <c r="O642" s="5">
        <f t="array" ref="O642">IFERROR(AVERAGE(IF((ContinuousStatsTable[GroupByKey]=ContinuousStatsTable[[#This Row],[GroupByKey]]),(ContinuousStatsTable[GroupByKey]=ContinuousStatsTable[[#This Row],[GroupByKey]])*ContinuousStatsTable[Average])),0)</f>
        <v>1.5334531146777051</v>
      </c>
      <c r="P642" s="5">
        <f t="array" ref="P642">IFERROR(_xlfn.STDEV.S(IF((ContinuousStatsTable[GroupByKey]=ContinuousStatsTable[[#This Row],[GroupByKey]]),(ContinuousStatsTable[GroupByKey]=ContinuousStatsTable[[#This Row],[GroupByKey]])*ContinuousStatsTable[Average])),0)</f>
        <v>0.24154952363702747</v>
      </c>
      <c r="Q642" s="5">
        <f t="array" ref="Q642">MAX(IF((ProjectInfoTable[ProjectName]=ContinuousStatsTable[[#This Row],[ProjectName]]),(ProjectInfoTable[ProjectName]=ContinuousStatsTable[[#This Row],[ProjectName]])*ProjectInfoTable[ConfidenceInterval]))</f>
        <v>0.95</v>
      </c>
      <c r="R6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0.13376566756397254</v>
      </c>
      <c r="S642" s="5">
        <f t="array" ref="S642">MIN(IF((ContinuousStatsTable[GroupByKey]=ContinuousStatsTable[[#This Row],[GroupByKey]]),(ContinuousStatsTable[GroupByKey]=ContinuousStatsTable[[#This Row],[GroupByKey]])*ContinuousStatsTable[Average]))</f>
        <v>1</v>
      </c>
      <c r="T642" s="5">
        <f t="array" ref="T642">MAX(IF((ContinuousStatsTable[GroupByKey]=ContinuousStatsTable[[#This Row],[GroupByKey]]),(ContinuousStatsTable[GroupByKey]=ContinuousStatsTable[[#This Row],[GroupByKey]])*ContinuousStatsTable[Average]))</f>
        <v>2</v>
      </c>
      <c r="U642" s="5">
        <f>IF((ContinuousStatsTable[[#This Row],[RepsRequested]]&gt;1),ContinuousStatsTable[[#This Row],[HalfWidth]],ContinuousStatsTable[[#This Row],[BatchMeansHalfWidth]])</f>
        <v>0.13376566756397254</v>
      </c>
    </row>
    <row r="643" spans="1:21" x14ac:dyDescent="0.25">
      <c r="A643" t="s">
        <v>67</v>
      </c>
      <c r="B643" t="s">
        <v>70</v>
      </c>
      <c r="C643">
        <v>14</v>
      </c>
      <c r="D643" t="s">
        <v>102</v>
      </c>
      <c r="E643" t="s">
        <v>72</v>
      </c>
      <c r="F643" t="s">
        <v>73</v>
      </c>
      <c r="G643">
        <v>0</v>
      </c>
      <c r="H643">
        <v>2E+20</v>
      </c>
      <c r="I643">
        <v>0</v>
      </c>
      <c r="J643">
        <v>0</v>
      </c>
      <c r="K643">
        <v>0</v>
      </c>
      <c r="L643">
        <v>0</v>
      </c>
      <c r="M643" s="5" t="str">
        <f>ContinuousStatsTable[[#This Row],[ProjectName]]&amp;ContinuousStatsTable[[#This Row],[Name]]&amp;ContinuousStatsTable[[#This Row],[Type]]&amp;ContinuousStatsTable[[#This Row],[Source]]</f>
        <v>Unnamed ProjectweldingqcworkerInstantaneous UtilizationResource</v>
      </c>
      <c r="N643" s="5">
        <f t="array" ref="N643">MAX(IF((ProjectInfoTable[ProjectName]=ContinuousStatsTable[[#This Row],[ProjectName]]),(ProjectInfoTable[ProjectName]=ContinuousStatsTable[[#This Row],[ProjectName]])*ProjectInfoTable[NumberOfReplications]))</f>
        <v>15</v>
      </c>
      <c r="O643" s="5">
        <f t="array" ref="O643">IFERROR(AVERAGE(IF((ContinuousStatsTable[GroupByKey]=ContinuousStatsTable[[#This Row],[GroupByKey]]),(ContinuousStatsTable[GroupByKey]=ContinuousStatsTable[[#This Row],[GroupByKey]])*ContinuousStatsTable[Average])),0)</f>
        <v>0</v>
      </c>
      <c r="P643" s="5">
        <f t="array" ref="P643">IFERROR(_xlfn.STDEV.S(IF((ContinuousStatsTable[GroupByKey]=ContinuousStatsTable[[#This Row],[GroupByKey]]),(ContinuousStatsTable[GroupByKey]=ContinuousStatsTable[[#This Row],[GroupByKey]])*ContinuousStatsTable[Average])),0)</f>
        <v>0</v>
      </c>
      <c r="Q643" s="5">
        <f t="array" ref="Q643">MAX(IF((ProjectInfoTable[ProjectName]=ContinuousStatsTable[[#This Row],[ProjectName]]),(ProjectInfoTable[ProjectName]=ContinuousStatsTable[[#This Row],[ProjectName]])*ProjectInfoTable[ConfidenceInterval]))</f>
        <v>0.95</v>
      </c>
      <c r="R6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3" s="5">
        <f t="array" ref="S643">MIN(IF((ContinuousStatsTable[GroupByKey]=ContinuousStatsTable[[#This Row],[GroupByKey]]),(ContinuousStatsTable[GroupByKey]=ContinuousStatsTable[[#This Row],[GroupByKey]])*ContinuousStatsTable[Average]))</f>
        <v>0</v>
      </c>
      <c r="T643" s="5">
        <f t="array" ref="T643">MAX(IF((ContinuousStatsTable[GroupByKey]=ContinuousStatsTable[[#This Row],[GroupByKey]]),(ContinuousStatsTable[GroupByKey]=ContinuousStatsTable[[#This Row],[GroupByKey]])*ContinuousStatsTable[Average]))</f>
        <v>0</v>
      </c>
      <c r="U643" s="5">
        <f>IF((ContinuousStatsTable[[#This Row],[RepsRequested]]&gt;1),ContinuousStatsTable[[#This Row],[HalfWidth]],ContinuousStatsTable[[#This Row],[BatchMeansHalfWidth]])</f>
        <v>0</v>
      </c>
    </row>
    <row r="644" spans="1:21" x14ac:dyDescent="0.25">
      <c r="A644" t="s">
        <v>67</v>
      </c>
      <c r="B644" t="s">
        <v>70</v>
      </c>
      <c r="C644">
        <v>14</v>
      </c>
      <c r="D644" t="s">
        <v>102</v>
      </c>
      <c r="E644" t="s">
        <v>74</v>
      </c>
      <c r="F644" t="s">
        <v>73</v>
      </c>
      <c r="G644">
        <v>0</v>
      </c>
      <c r="H644">
        <v>2E+20</v>
      </c>
      <c r="I644">
        <v>0</v>
      </c>
      <c r="J644">
        <v>0</v>
      </c>
      <c r="K644">
        <v>0</v>
      </c>
      <c r="L644">
        <v>0</v>
      </c>
      <c r="M644" s="5" t="str">
        <f>ContinuousStatsTable[[#This Row],[ProjectName]]&amp;ContinuousStatsTable[[#This Row],[Name]]&amp;ContinuousStatsTable[[#This Row],[Type]]&amp;ContinuousStatsTable[[#This Row],[Source]]</f>
        <v>Unnamed ProjectweldingqcworkerNumber BusyResource</v>
      </c>
      <c r="N644" s="5">
        <f t="array" ref="N644">MAX(IF((ProjectInfoTable[ProjectName]=ContinuousStatsTable[[#This Row],[ProjectName]]),(ProjectInfoTable[ProjectName]=ContinuousStatsTable[[#This Row],[ProjectName]])*ProjectInfoTable[NumberOfReplications]))</f>
        <v>15</v>
      </c>
      <c r="O644" s="5">
        <f t="array" ref="O644">IFERROR(AVERAGE(IF((ContinuousStatsTable[GroupByKey]=ContinuousStatsTable[[#This Row],[GroupByKey]]),(ContinuousStatsTable[GroupByKey]=ContinuousStatsTable[[#This Row],[GroupByKey]])*ContinuousStatsTable[Average])),0)</f>
        <v>0</v>
      </c>
      <c r="P644" s="5">
        <f t="array" ref="P644">IFERROR(_xlfn.STDEV.S(IF((ContinuousStatsTable[GroupByKey]=ContinuousStatsTable[[#This Row],[GroupByKey]]),(ContinuousStatsTable[GroupByKey]=ContinuousStatsTable[[#This Row],[GroupByKey]])*ContinuousStatsTable[Average])),0)</f>
        <v>0</v>
      </c>
      <c r="Q644" s="5">
        <f t="array" ref="Q644">MAX(IF((ProjectInfoTable[ProjectName]=ContinuousStatsTable[[#This Row],[ProjectName]]),(ProjectInfoTable[ProjectName]=ContinuousStatsTable[[#This Row],[ProjectName]])*ProjectInfoTable[ConfidenceInterval]))</f>
        <v>0.95</v>
      </c>
      <c r="R6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4" s="5">
        <f t="array" ref="S644">MIN(IF((ContinuousStatsTable[GroupByKey]=ContinuousStatsTable[[#This Row],[GroupByKey]]),(ContinuousStatsTable[GroupByKey]=ContinuousStatsTable[[#This Row],[GroupByKey]])*ContinuousStatsTable[Average]))</f>
        <v>0</v>
      </c>
      <c r="T644" s="5">
        <f t="array" ref="T644">MAX(IF((ContinuousStatsTable[GroupByKey]=ContinuousStatsTable[[#This Row],[GroupByKey]]),(ContinuousStatsTable[GroupByKey]=ContinuousStatsTable[[#This Row],[GroupByKey]])*ContinuousStatsTable[Average]))</f>
        <v>0</v>
      </c>
      <c r="U644" s="5">
        <f>IF((ContinuousStatsTable[[#This Row],[RepsRequested]]&gt;1),ContinuousStatsTable[[#This Row],[HalfWidth]],ContinuousStatsTable[[#This Row],[BatchMeansHalfWidth]])</f>
        <v>0</v>
      </c>
    </row>
    <row r="645" spans="1:21" x14ac:dyDescent="0.25">
      <c r="A645" t="s">
        <v>67</v>
      </c>
      <c r="B645" t="s">
        <v>70</v>
      </c>
      <c r="C645">
        <v>14</v>
      </c>
      <c r="D645" t="s">
        <v>102</v>
      </c>
      <c r="E645" t="s">
        <v>75</v>
      </c>
      <c r="F645" t="s">
        <v>73</v>
      </c>
      <c r="G645">
        <v>2</v>
      </c>
      <c r="H645">
        <v>2E+20</v>
      </c>
      <c r="I645">
        <v>2</v>
      </c>
      <c r="J645">
        <v>2</v>
      </c>
      <c r="K645">
        <v>2</v>
      </c>
      <c r="L645">
        <v>0</v>
      </c>
      <c r="M645" s="5" t="str">
        <f>ContinuousStatsTable[[#This Row],[ProjectName]]&amp;ContinuousStatsTable[[#This Row],[Name]]&amp;ContinuousStatsTable[[#This Row],[Type]]&amp;ContinuousStatsTable[[#This Row],[Source]]</f>
        <v>Unnamed ProjectweldingqcworkerNumber ScheduledResource</v>
      </c>
      <c r="N645" s="5">
        <f t="array" ref="N645">MAX(IF((ProjectInfoTable[ProjectName]=ContinuousStatsTable[[#This Row],[ProjectName]]),(ProjectInfoTable[ProjectName]=ContinuousStatsTable[[#This Row],[ProjectName]])*ProjectInfoTable[NumberOfReplications]))</f>
        <v>15</v>
      </c>
      <c r="O645" s="5">
        <f t="array" ref="O645">IFERROR(AVERAGE(IF((ContinuousStatsTable[GroupByKey]=ContinuousStatsTable[[#This Row],[GroupByKey]]),(ContinuousStatsTable[GroupByKey]=ContinuousStatsTable[[#This Row],[GroupByKey]])*ContinuousStatsTable[Average])),0)</f>
        <v>1.5334635492504263</v>
      </c>
      <c r="P645" s="5">
        <f t="array" ref="P645">IFERROR(_xlfn.STDEV.S(IF((ContinuousStatsTable[GroupByKey]=ContinuousStatsTable[[#This Row],[GroupByKey]]),(ContinuousStatsTable[GroupByKey]=ContinuousStatsTable[[#This Row],[GroupByKey]])*ContinuousStatsTable[Average])),0)</f>
        <v>0.24155183649982462</v>
      </c>
      <c r="Q645" s="5">
        <f t="array" ref="Q645">MAX(IF((ProjectInfoTable[ProjectName]=ContinuousStatsTable[[#This Row],[ProjectName]]),(ProjectInfoTable[ProjectName]=ContinuousStatsTable[[#This Row],[ProjectName]])*ProjectInfoTable[ConfidenceInterval]))</f>
        <v>0.95</v>
      </c>
      <c r="R6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0.1337669483846978</v>
      </c>
      <c r="S645" s="5">
        <f t="array" ref="S645">MIN(IF((ContinuousStatsTable[GroupByKey]=ContinuousStatsTable[[#This Row],[GroupByKey]]),(ContinuousStatsTable[GroupByKey]=ContinuousStatsTable[[#This Row],[GroupByKey]])*ContinuousStatsTable[Average]))</f>
        <v>1</v>
      </c>
      <c r="T645" s="5">
        <f t="array" ref="T645">MAX(IF((ContinuousStatsTable[GroupByKey]=ContinuousStatsTable[[#This Row],[GroupByKey]]),(ContinuousStatsTable[GroupByKey]=ContinuousStatsTable[[#This Row],[GroupByKey]])*ContinuousStatsTable[Average]))</f>
        <v>2</v>
      </c>
      <c r="U645" s="5">
        <f>IF((ContinuousStatsTable[[#This Row],[RepsRequested]]&gt;1),ContinuousStatsTable[[#This Row],[HalfWidth]],ContinuousStatsTable[[#This Row],[BatchMeansHalfWidth]])</f>
        <v>0.1337669483846978</v>
      </c>
    </row>
    <row r="646" spans="1:21" x14ac:dyDescent="0.25">
      <c r="A646" t="s">
        <v>67</v>
      </c>
      <c r="B646" t="s">
        <v>70</v>
      </c>
      <c r="C646">
        <v>15</v>
      </c>
      <c r="D646" t="s">
        <v>71</v>
      </c>
      <c r="E646" t="s">
        <v>72</v>
      </c>
      <c r="F646" t="s">
        <v>73</v>
      </c>
      <c r="G646">
        <v>0</v>
      </c>
      <c r="H646">
        <v>2E+20</v>
      </c>
      <c r="I646">
        <v>0</v>
      </c>
      <c r="J646">
        <v>0</v>
      </c>
      <c r="K646">
        <v>0</v>
      </c>
      <c r="L646">
        <v>0</v>
      </c>
      <c r="M646" s="5" t="str">
        <f>ContinuousStatsTable[[#This Row],[ProjectName]]&amp;ContinuousStatsTable[[#This Row],[Name]]&amp;ContinuousStatsTable[[#This Row],[Type]]&amp;ContinuousStatsTable[[#This Row],[Source]]</f>
        <v>Unnamed ProjectassemblerInstantaneous UtilizationResource</v>
      </c>
      <c r="N646" s="5">
        <f t="array" ref="N646">MAX(IF((ProjectInfoTable[ProjectName]=ContinuousStatsTable[[#This Row],[ProjectName]]),(ProjectInfoTable[ProjectName]=ContinuousStatsTable[[#This Row],[ProjectName]])*ProjectInfoTable[NumberOfReplications]))</f>
        <v>15</v>
      </c>
      <c r="O646" s="5">
        <f t="array" ref="O646">IFERROR(AVERAGE(IF((ContinuousStatsTable[GroupByKey]=ContinuousStatsTable[[#This Row],[GroupByKey]]),(ContinuousStatsTable[GroupByKey]=ContinuousStatsTable[[#This Row],[GroupByKey]])*ContinuousStatsTable[Average])),0)</f>
        <v>0</v>
      </c>
      <c r="P646" s="5">
        <f t="array" ref="P646">IFERROR(_xlfn.STDEV.S(IF((ContinuousStatsTable[GroupByKey]=ContinuousStatsTable[[#This Row],[GroupByKey]]),(ContinuousStatsTable[GroupByKey]=ContinuousStatsTable[[#This Row],[GroupByKey]])*ContinuousStatsTable[Average])),0)</f>
        <v>0</v>
      </c>
      <c r="Q646" s="5">
        <f t="array" ref="Q646">MAX(IF((ProjectInfoTable[ProjectName]=ContinuousStatsTable[[#This Row],[ProjectName]]),(ProjectInfoTable[ProjectName]=ContinuousStatsTable[[#This Row],[ProjectName]])*ProjectInfoTable[ConfidenceInterval]))</f>
        <v>0.95</v>
      </c>
      <c r="R6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6" s="5">
        <f t="array" ref="S646">MIN(IF((ContinuousStatsTable[GroupByKey]=ContinuousStatsTable[[#This Row],[GroupByKey]]),(ContinuousStatsTable[GroupByKey]=ContinuousStatsTable[[#This Row],[GroupByKey]])*ContinuousStatsTable[Average]))</f>
        <v>0</v>
      </c>
      <c r="T646" s="5">
        <f t="array" ref="T646">MAX(IF((ContinuousStatsTable[GroupByKey]=ContinuousStatsTable[[#This Row],[GroupByKey]]),(ContinuousStatsTable[GroupByKey]=ContinuousStatsTable[[#This Row],[GroupByKey]])*ContinuousStatsTable[Average]))</f>
        <v>0</v>
      </c>
      <c r="U646" s="5">
        <f>IF((ContinuousStatsTable[[#This Row],[RepsRequested]]&gt;1),ContinuousStatsTable[[#This Row],[HalfWidth]],ContinuousStatsTable[[#This Row],[BatchMeansHalfWidth]])</f>
        <v>0</v>
      </c>
    </row>
    <row r="647" spans="1:21" x14ac:dyDescent="0.25">
      <c r="A647" t="s">
        <v>67</v>
      </c>
      <c r="B647" t="s">
        <v>70</v>
      </c>
      <c r="C647">
        <v>15</v>
      </c>
      <c r="D647" t="s">
        <v>71</v>
      </c>
      <c r="E647" t="s">
        <v>74</v>
      </c>
      <c r="F647" t="s">
        <v>73</v>
      </c>
      <c r="G647">
        <v>0</v>
      </c>
      <c r="H647">
        <v>2E+20</v>
      </c>
      <c r="I647">
        <v>0</v>
      </c>
      <c r="J647">
        <v>0</v>
      </c>
      <c r="K647">
        <v>0</v>
      </c>
      <c r="L647">
        <v>0</v>
      </c>
      <c r="M647" s="5" t="str">
        <f>ContinuousStatsTable[[#This Row],[ProjectName]]&amp;ContinuousStatsTable[[#This Row],[Name]]&amp;ContinuousStatsTable[[#This Row],[Type]]&amp;ContinuousStatsTable[[#This Row],[Source]]</f>
        <v>Unnamed ProjectassemblerNumber BusyResource</v>
      </c>
      <c r="N647" s="5">
        <f t="array" ref="N647">MAX(IF((ProjectInfoTable[ProjectName]=ContinuousStatsTable[[#This Row],[ProjectName]]),(ProjectInfoTable[ProjectName]=ContinuousStatsTable[[#This Row],[ProjectName]])*ProjectInfoTable[NumberOfReplications]))</f>
        <v>15</v>
      </c>
      <c r="O647" s="5">
        <f t="array" ref="O647">IFERROR(AVERAGE(IF((ContinuousStatsTable[GroupByKey]=ContinuousStatsTable[[#This Row],[GroupByKey]]),(ContinuousStatsTable[GroupByKey]=ContinuousStatsTable[[#This Row],[GroupByKey]])*ContinuousStatsTable[Average])),0)</f>
        <v>0</v>
      </c>
      <c r="P647" s="5">
        <f t="array" ref="P647">IFERROR(_xlfn.STDEV.S(IF((ContinuousStatsTable[GroupByKey]=ContinuousStatsTable[[#This Row],[GroupByKey]]),(ContinuousStatsTable[GroupByKey]=ContinuousStatsTable[[#This Row],[GroupByKey]])*ContinuousStatsTable[Average])),0)</f>
        <v>0</v>
      </c>
      <c r="Q647" s="5">
        <f t="array" ref="Q647">MAX(IF((ProjectInfoTable[ProjectName]=ContinuousStatsTable[[#This Row],[ProjectName]]),(ProjectInfoTable[ProjectName]=ContinuousStatsTable[[#This Row],[ProjectName]])*ProjectInfoTable[ConfidenceInterval]))</f>
        <v>0.95</v>
      </c>
      <c r="R6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7" s="5">
        <f t="array" ref="S647">MIN(IF((ContinuousStatsTable[GroupByKey]=ContinuousStatsTable[[#This Row],[GroupByKey]]),(ContinuousStatsTable[GroupByKey]=ContinuousStatsTable[[#This Row],[GroupByKey]])*ContinuousStatsTable[Average]))</f>
        <v>0</v>
      </c>
      <c r="T647" s="5">
        <f t="array" ref="T647">MAX(IF((ContinuousStatsTable[GroupByKey]=ContinuousStatsTable[[#This Row],[GroupByKey]]),(ContinuousStatsTable[GroupByKey]=ContinuousStatsTable[[#This Row],[GroupByKey]])*ContinuousStatsTable[Average]))</f>
        <v>0</v>
      </c>
      <c r="U647" s="5">
        <f>IF((ContinuousStatsTable[[#This Row],[RepsRequested]]&gt;1),ContinuousStatsTable[[#This Row],[HalfWidth]],ContinuousStatsTable[[#This Row],[BatchMeansHalfWidth]])</f>
        <v>0</v>
      </c>
    </row>
    <row r="648" spans="1:21" x14ac:dyDescent="0.25">
      <c r="A648" t="s">
        <v>67</v>
      </c>
      <c r="B648" t="s">
        <v>70</v>
      </c>
      <c r="C648">
        <v>15</v>
      </c>
      <c r="D648" t="s">
        <v>71</v>
      </c>
      <c r="E648" t="s">
        <v>75</v>
      </c>
      <c r="F648" t="s">
        <v>73</v>
      </c>
      <c r="G648">
        <v>2</v>
      </c>
      <c r="H648">
        <v>2E+20</v>
      </c>
      <c r="I648">
        <v>2</v>
      </c>
      <c r="J648">
        <v>2</v>
      </c>
      <c r="K648">
        <v>2</v>
      </c>
      <c r="L648">
        <v>0</v>
      </c>
      <c r="M648" s="5" t="str">
        <f>ContinuousStatsTable[[#This Row],[ProjectName]]&amp;ContinuousStatsTable[[#This Row],[Name]]&amp;ContinuousStatsTable[[#This Row],[Type]]&amp;ContinuousStatsTable[[#This Row],[Source]]</f>
        <v>Unnamed ProjectassemblerNumber ScheduledResource</v>
      </c>
      <c r="N648" s="5">
        <f t="array" ref="N648">MAX(IF((ProjectInfoTable[ProjectName]=ContinuousStatsTable[[#This Row],[ProjectName]]),(ProjectInfoTable[ProjectName]=ContinuousStatsTable[[#This Row],[ProjectName]])*ProjectInfoTable[NumberOfReplications]))</f>
        <v>15</v>
      </c>
      <c r="O648" s="5">
        <f t="array" ref="O648">IFERROR(AVERAGE(IF((ContinuousStatsTable[GroupByKey]=ContinuousStatsTable[[#This Row],[GroupByKey]]),(ContinuousStatsTable[GroupByKey]=ContinuousStatsTable[[#This Row],[GroupByKey]])*ContinuousStatsTable[Average])),0)</f>
        <v>1.5333142680768803</v>
      </c>
      <c r="P648" s="5">
        <f t="array" ref="P648">IFERROR(_xlfn.STDEV.S(IF((ContinuousStatsTable[GroupByKey]=ContinuousStatsTable[[#This Row],[GroupByKey]]),(ContinuousStatsTable[GroupByKey]=ContinuousStatsTable[[#This Row],[GroupByKey]])*ContinuousStatsTable[Average])),0)</f>
        <v>0.24151891999367611</v>
      </c>
      <c r="Q648" s="5">
        <f t="array" ref="Q648">MAX(IF((ProjectInfoTable[ProjectName]=ContinuousStatsTable[[#This Row],[ProjectName]]),(ProjectInfoTable[ProjectName]=ContinuousStatsTable[[#This Row],[ProjectName]])*ProjectInfoTable[ConfidenceInterval]))</f>
        <v>0.95</v>
      </c>
      <c r="R6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0.13374871983117992</v>
      </c>
      <c r="S648" s="5">
        <f t="array" ref="S648">MIN(IF((ContinuousStatsTable[GroupByKey]=ContinuousStatsTable[[#This Row],[GroupByKey]]),(ContinuousStatsTable[GroupByKey]=ContinuousStatsTable[[#This Row],[GroupByKey]])*ContinuousStatsTable[Average]))</f>
        <v>1</v>
      </c>
      <c r="T648" s="5">
        <f t="array" ref="T648">MAX(IF((ContinuousStatsTable[GroupByKey]=ContinuousStatsTable[[#This Row],[GroupByKey]]),(ContinuousStatsTable[GroupByKey]=ContinuousStatsTable[[#This Row],[GroupByKey]])*ContinuousStatsTable[Average]))</f>
        <v>2</v>
      </c>
      <c r="U648" s="5">
        <f>IF((ContinuousStatsTable[[#This Row],[RepsRequested]]&gt;1),ContinuousStatsTable[[#This Row],[HalfWidth]],ContinuousStatsTable[[#This Row],[BatchMeansHalfWidth]])</f>
        <v>0.13374871983117992</v>
      </c>
    </row>
    <row r="649" spans="1:21" x14ac:dyDescent="0.25">
      <c r="A649" t="s">
        <v>67</v>
      </c>
      <c r="B649" t="s">
        <v>70</v>
      </c>
      <c r="C649">
        <v>15</v>
      </c>
      <c r="D649" t="s">
        <v>76</v>
      </c>
      <c r="E649" t="s">
        <v>72</v>
      </c>
      <c r="F649" t="s">
        <v>73</v>
      </c>
      <c r="G649">
        <v>0</v>
      </c>
      <c r="H649">
        <v>2E+20</v>
      </c>
      <c r="I649">
        <v>0</v>
      </c>
      <c r="J649">
        <v>0</v>
      </c>
      <c r="K649">
        <v>0</v>
      </c>
      <c r="L649">
        <v>0</v>
      </c>
      <c r="M649" s="5" t="str">
        <f>ContinuousStatsTable[[#This Row],[ProjectName]]&amp;ContinuousStatsTable[[#This Row],[Name]]&amp;ContinuousStatsTable[[#This Row],[Type]]&amp;ContinuousStatsTable[[#This Row],[Source]]</f>
        <v>Unnamed ProjectassemblyqcworkerInstantaneous UtilizationResource</v>
      </c>
      <c r="N649" s="5">
        <f t="array" ref="N649">MAX(IF((ProjectInfoTable[ProjectName]=ContinuousStatsTable[[#This Row],[ProjectName]]),(ProjectInfoTable[ProjectName]=ContinuousStatsTable[[#This Row],[ProjectName]])*ProjectInfoTable[NumberOfReplications]))</f>
        <v>15</v>
      </c>
      <c r="O649" s="5">
        <f t="array" ref="O649">IFERROR(AVERAGE(IF((ContinuousStatsTable[GroupByKey]=ContinuousStatsTable[[#This Row],[GroupByKey]]),(ContinuousStatsTable[GroupByKey]=ContinuousStatsTable[[#This Row],[GroupByKey]])*ContinuousStatsTable[Average])),0)</f>
        <v>0</v>
      </c>
      <c r="P649" s="5">
        <f t="array" ref="P649">IFERROR(_xlfn.STDEV.S(IF((ContinuousStatsTable[GroupByKey]=ContinuousStatsTable[[#This Row],[GroupByKey]]),(ContinuousStatsTable[GroupByKey]=ContinuousStatsTable[[#This Row],[GroupByKey]])*ContinuousStatsTable[Average])),0)</f>
        <v>0</v>
      </c>
      <c r="Q649" s="5">
        <f t="array" ref="Q649">MAX(IF((ProjectInfoTable[ProjectName]=ContinuousStatsTable[[#This Row],[ProjectName]]),(ProjectInfoTable[ProjectName]=ContinuousStatsTable[[#This Row],[ProjectName]])*ProjectInfoTable[ConfidenceInterval]))</f>
        <v>0.95</v>
      </c>
      <c r="R6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9" s="5">
        <f t="array" ref="S649">MIN(IF((ContinuousStatsTable[GroupByKey]=ContinuousStatsTable[[#This Row],[GroupByKey]]),(ContinuousStatsTable[GroupByKey]=ContinuousStatsTable[[#This Row],[GroupByKey]])*ContinuousStatsTable[Average]))</f>
        <v>0</v>
      </c>
      <c r="T649" s="5">
        <f t="array" ref="T649">MAX(IF((ContinuousStatsTable[GroupByKey]=ContinuousStatsTable[[#This Row],[GroupByKey]]),(ContinuousStatsTable[GroupByKey]=ContinuousStatsTable[[#This Row],[GroupByKey]])*ContinuousStatsTable[Average]))</f>
        <v>0</v>
      </c>
      <c r="U649" s="5">
        <f>IF((ContinuousStatsTable[[#This Row],[RepsRequested]]&gt;1),ContinuousStatsTable[[#This Row],[HalfWidth]],ContinuousStatsTable[[#This Row],[BatchMeansHalfWidth]])</f>
        <v>0</v>
      </c>
    </row>
    <row r="650" spans="1:21" x14ac:dyDescent="0.25">
      <c r="A650" t="s">
        <v>67</v>
      </c>
      <c r="B650" t="s">
        <v>70</v>
      </c>
      <c r="C650">
        <v>15</v>
      </c>
      <c r="D650" t="s">
        <v>76</v>
      </c>
      <c r="E650" t="s">
        <v>74</v>
      </c>
      <c r="F650" t="s">
        <v>73</v>
      </c>
      <c r="G650">
        <v>0</v>
      </c>
      <c r="H650">
        <v>2E+20</v>
      </c>
      <c r="I650">
        <v>0</v>
      </c>
      <c r="J650">
        <v>0</v>
      </c>
      <c r="K650">
        <v>0</v>
      </c>
      <c r="L650">
        <v>0</v>
      </c>
      <c r="M650" s="5" t="str">
        <f>ContinuousStatsTable[[#This Row],[ProjectName]]&amp;ContinuousStatsTable[[#This Row],[Name]]&amp;ContinuousStatsTable[[#This Row],[Type]]&amp;ContinuousStatsTable[[#This Row],[Source]]</f>
        <v>Unnamed ProjectassemblyqcworkerNumber BusyResource</v>
      </c>
      <c r="N650" s="5">
        <f t="array" ref="N650">MAX(IF((ProjectInfoTable[ProjectName]=ContinuousStatsTable[[#This Row],[ProjectName]]),(ProjectInfoTable[ProjectName]=ContinuousStatsTable[[#This Row],[ProjectName]])*ProjectInfoTable[NumberOfReplications]))</f>
        <v>15</v>
      </c>
      <c r="O650" s="5">
        <f t="array" ref="O650">IFERROR(AVERAGE(IF((ContinuousStatsTable[GroupByKey]=ContinuousStatsTable[[#This Row],[GroupByKey]]),(ContinuousStatsTable[GroupByKey]=ContinuousStatsTable[[#This Row],[GroupByKey]])*ContinuousStatsTable[Average])),0)</f>
        <v>0</v>
      </c>
      <c r="P650" s="5">
        <f t="array" ref="P650">IFERROR(_xlfn.STDEV.S(IF((ContinuousStatsTable[GroupByKey]=ContinuousStatsTable[[#This Row],[GroupByKey]]),(ContinuousStatsTable[GroupByKey]=ContinuousStatsTable[[#This Row],[GroupByKey]])*ContinuousStatsTable[Average])),0)</f>
        <v>0</v>
      </c>
      <c r="Q650" s="5">
        <f t="array" ref="Q650">MAX(IF((ProjectInfoTable[ProjectName]=ContinuousStatsTable[[#This Row],[ProjectName]]),(ProjectInfoTable[ProjectName]=ContinuousStatsTable[[#This Row],[ProjectName]])*ProjectInfoTable[ConfidenceInterval]))</f>
        <v>0.95</v>
      </c>
      <c r="R6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0" s="5">
        <f t="array" ref="S650">MIN(IF((ContinuousStatsTable[GroupByKey]=ContinuousStatsTable[[#This Row],[GroupByKey]]),(ContinuousStatsTable[GroupByKey]=ContinuousStatsTable[[#This Row],[GroupByKey]])*ContinuousStatsTable[Average]))</f>
        <v>0</v>
      </c>
      <c r="T650" s="5">
        <f t="array" ref="T650">MAX(IF((ContinuousStatsTable[GroupByKey]=ContinuousStatsTable[[#This Row],[GroupByKey]]),(ContinuousStatsTable[GroupByKey]=ContinuousStatsTable[[#This Row],[GroupByKey]])*ContinuousStatsTable[Average]))</f>
        <v>0</v>
      </c>
      <c r="U650" s="5">
        <f>IF((ContinuousStatsTable[[#This Row],[RepsRequested]]&gt;1),ContinuousStatsTable[[#This Row],[HalfWidth]],ContinuousStatsTable[[#This Row],[BatchMeansHalfWidth]])</f>
        <v>0</v>
      </c>
    </row>
    <row r="651" spans="1:21" x14ac:dyDescent="0.25">
      <c r="A651" t="s">
        <v>67</v>
      </c>
      <c r="B651" t="s">
        <v>70</v>
      </c>
      <c r="C651">
        <v>15</v>
      </c>
      <c r="D651" t="s">
        <v>76</v>
      </c>
      <c r="E651" t="s">
        <v>75</v>
      </c>
      <c r="F651" t="s">
        <v>73</v>
      </c>
      <c r="G651">
        <v>1</v>
      </c>
      <c r="H651">
        <v>2E+20</v>
      </c>
      <c r="I651">
        <v>1</v>
      </c>
      <c r="J651">
        <v>1</v>
      </c>
      <c r="K651">
        <v>1</v>
      </c>
      <c r="L651">
        <v>0</v>
      </c>
      <c r="M651" s="5" t="str">
        <f>ContinuousStatsTable[[#This Row],[ProjectName]]&amp;ContinuousStatsTable[[#This Row],[Name]]&amp;ContinuousStatsTable[[#This Row],[Type]]&amp;ContinuousStatsTable[[#This Row],[Source]]</f>
        <v>Unnamed ProjectassemblyqcworkerNumber ScheduledResource</v>
      </c>
      <c r="N651" s="5">
        <f t="array" ref="N651">MAX(IF((ProjectInfoTable[ProjectName]=ContinuousStatsTable[[#This Row],[ProjectName]]),(ProjectInfoTable[ProjectName]=ContinuousStatsTable[[#This Row],[ProjectName]])*ProjectInfoTable[NumberOfReplications]))</f>
        <v>15</v>
      </c>
      <c r="O651" s="5">
        <f t="array" ref="O651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651" s="5">
        <f t="array" ref="P651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651" s="5">
        <f t="array" ref="Q651">MAX(IF((ProjectInfoTable[ProjectName]=ContinuousStatsTable[[#This Row],[ProjectName]]),(ProjectInfoTable[ProjectName]=ContinuousStatsTable[[#This Row],[ProjectName]])*ProjectInfoTable[ConfidenceInterval]))</f>
        <v>0.95</v>
      </c>
      <c r="R6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651" s="5">
        <f t="array" ref="S651">MIN(IF((ContinuousStatsTable[GroupByKey]=ContinuousStatsTable[[#This Row],[GroupByKey]]),(ContinuousStatsTable[GroupByKey]=ContinuousStatsTable[[#This Row],[GroupByKey]])*ContinuousStatsTable[Average]))</f>
        <v>1</v>
      </c>
      <c r="T651" s="5">
        <f t="array" ref="T651">MAX(IF((ContinuousStatsTable[GroupByKey]=ContinuousStatsTable[[#This Row],[GroupByKey]]),(ContinuousStatsTable[GroupByKey]=ContinuousStatsTable[[#This Row],[GroupByKey]])*ContinuousStatsTable[Average]))</f>
        <v>2</v>
      </c>
      <c r="U651" s="5">
        <f>IF((ContinuousStatsTable[[#This Row],[RepsRequested]]&gt;1),ContinuousStatsTable[[#This Row],[HalfWidth]],ContinuousStatsTable[[#This Row],[BatchMeansHalfWidth]])</f>
        <v>0.13376733135491528</v>
      </c>
    </row>
    <row r="652" spans="1:21" x14ac:dyDescent="0.25">
      <c r="A652" t="s">
        <v>67</v>
      </c>
      <c r="B652" t="s">
        <v>70</v>
      </c>
      <c r="C652">
        <v>15</v>
      </c>
      <c r="D652" t="s">
        <v>77</v>
      </c>
      <c r="E652" t="s">
        <v>78</v>
      </c>
      <c r="F652" t="s">
        <v>79</v>
      </c>
      <c r="G652">
        <v>0</v>
      </c>
      <c r="H652">
        <v>2E+20</v>
      </c>
      <c r="I652">
        <v>0</v>
      </c>
      <c r="J652">
        <v>0</v>
      </c>
      <c r="K652">
        <v>0</v>
      </c>
      <c r="L652">
        <v>0</v>
      </c>
      <c r="M652" s="5" t="str">
        <f>ContinuousStatsTable[[#This Row],[ProjectName]]&amp;ContinuousStatsTable[[#This Row],[Name]]&amp;ContinuousStatsTable[[#This Row],[Type]]&amp;ContinuousStatsTable[[#This Row],[Source]]</f>
        <v>Unnamed Projectbatched_partsWIPEntity</v>
      </c>
      <c r="N652" s="5">
        <f t="array" ref="N652">MAX(IF((ProjectInfoTable[ProjectName]=ContinuousStatsTable[[#This Row],[ProjectName]]),(ProjectInfoTable[ProjectName]=ContinuousStatsTable[[#This Row],[ProjectName]])*ProjectInfoTable[NumberOfReplications]))</f>
        <v>15</v>
      </c>
      <c r="O652" s="5">
        <f t="array" ref="O652">IFERROR(AVERAGE(IF((ContinuousStatsTable[GroupByKey]=ContinuousStatsTable[[#This Row],[GroupByKey]]),(ContinuousStatsTable[GroupByKey]=ContinuousStatsTable[[#This Row],[GroupByKey]])*ContinuousStatsTable[Average])),0)</f>
        <v>0</v>
      </c>
      <c r="P652" s="5">
        <f t="array" ref="P652">IFERROR(_xlfn.STDEV.S(IF((ContinuousStatsTable[GroupByKey]=ContinuousStatsTable[[#This Row],[GroupByKey]]),(ContinuousStatsTable[GroupByKey]=ContinuousStatsTable[[#This Row],[GroupByKey]])*ContinuousStatsTable[Average])),0)</f>
        <v>0</v>
      </c>
      <c r="Q652" s="5">
        <f t="array" ref="Q652">MAX(IF((ProjectInfoTable[ProjectName]=ContinuousStatsTable[[#This Row],[ProjectName]]),(ProjectInfoTable[ProjectName]=ContinuousStatsTable[[#This Row],[ProjectName]])*ProjectInfoTable[ConfidenceInterval]))</f>
        <v>0.95</v>
      </c>
      <c r="R6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2" s="5">
        <f t="array" ref="S652">MIN(IF((ContinuousStatsTable[GroupByKey]=ContinuousStatsTable[[#This Row],[GroupByKey]]),(ContinuousStatsTable[GroupByKey]=ContinuousStatsTable[[#This Row],[GroupByKey]])*ContinuousStatsTable[Average]))</f>
        <v>0</v>
      </c>
      <c r="T652" s="5">
        <f t="array" ref="T652">MAX(IF((ContinuousStatsTable[GroupByKey]=ContinuousStatsTable[[#This Row],[GroupByKey]]),(ContinuousStatsTable[GroupByKey]=ContinuousStatsTable[[#This Row],[GroupByKey]])*ContinuousStatsTable[Average]))</f>
        <v>0</v>
      </c>
      <c r="U652" s="5">
        <f>IF((ContinuousStatsTable[[#This Row],[RepsRequested]]&gt;1),ContinuousStatsTable[[#This Row],[HalfWidth]],ContinuousStatsTable[[#This Row],[BatchMeansHalfWidth]])</f>
        <v>0</v>
      </c>
    </row>
    <row r="653" spans="1:21" x14ac:dyDescent="0.25">
      <c r="A653" t="s">
        <v>67</v>
      </c>
      <c r="B653" t="s">
        <v>70</v>
      </c>
      <c r="C653">
        <v>15</v>
      </c>
      <c r="D653" t="s">
        <v>80</v>
      </c>
      <c r="E653" t="s">
        <v>72</v>
      </c>
      <c r="F653" t="s">
        <v>73</v>
      </c>
      <c r="G653">
        <v>0</v>
      </c>
      <c r="H653">
        <v>2E+20</v>
      </c>
      <c r="I653">
        <v>0</v>
      </c>
      <c r="J653">
        <v>0</v>
      </c>
      <c r="K653">
        <v>0</v>
      </c>
      <c r="L653">
        <v>0</v>
      </c>
      <c r="M653" s="5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653" s="5">
        <f t="array" ref="N653">MAX(IF((ProjectInfoTable[ProjectName]=ContinuousStatsTable[[#This Row],[ProjectName]]),(ProjectInfoTable[ProjectName]=ContinuousStatsTable[[#This Row],[ProjectName]])*ProjectInfoTable[NumberOfReplications]))</f>
        <v>15</v>
      </c>
      <c r="O653" s="5">
        <f t="array" ref="O653">IFERROR(AVERAGE(IF((ContinuousStatsTable[GroupByKey]=ContinuousStatsTable[[#This Row],[GroupByKey]]),(ContinuousStatsTable[GroupByKey]=ContinuousStatsTable[[#This Row],[GroupByKey]])*ContinuousStatsTable[Average])),0)</f>
        <v>0</v>
      </c>
      <c r="P653" s="5">
        <f t="array" ref="P653">IFERROR(_xlfn.STDEV.S(IF((ContinuousStatsTable[GroupByKey]=ContinuousStatsTable[[#This Row],[GroupByKey]]),(ContinuousStatsTable[GroupByKey]=ContinuousStatsTable[[#This Row],[GroupByKey]])*ContinuousStatsTable[Average])),0)</f>
        <v>0</v>
      </c>
      <c r="Q653" s="5">
        <f t="array" ref="Q653">MAX(IF((ProjectInfoTable[ProjectName]=ContinuousStatsTable[[#This Row],[ProjectName]]),(ProjectInfoTable[ProjectName]=ContinuousStatsTable[[#This Row],[ProjectName]])*ProjectInfoTable[ConfidenceInterval]))</f>
        <v>0.95</v>
      </c>
      <c r="R6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3" s="5">
        <f t="array" ref="S653">MIN(IF((ContinuousStatsTable[GroupByKey]=ContinuousStatsTable[[#This Row],[GroupByKey]]),(ContinuousStatsTable[GroupByKey]=ContinuousStatsTable[[#This Row],[GroupByKey]])*ContinuousStatsTable[Average]))</f>
        <v>0</v>
      </c>
      <c r="T653" s="5">
        <f t="array" ref="T653">MAX(IF((ContinuousStatsTable[GroupByKey]=ContinuousStatsTable[[#This Row],[GroupByKey]]),(ContinuousStatsTable[GroupByKey]=ContinuousStatsTable[[#This Row],[GroupByKey]])*ContinuousStatsTable[Average]))</f>
        <v>0</v>
      </c>
      <c r="U653" s="5">
        <f>IF((ContinuousStatsTable[[#This Row],[RepsRequested]]&gt;1),ContinuousStatsTable[[#This Row],[HalfWidth]],ContinuousStatsTable[[#This Row],[BatchMeansHalfWidth]])</f>
        <v>0</v>
      </c>
    </row>
    <row r="654" spans="1:21" x14ac:dyDescent="0.25">
      <c r="A654" t="s">
        <v>67</v>
      </c>
      <c r="B654" t="s">
        <v>70</v>
      </c>
      <c r="C654">
        <v>15</v>
      </c>
      <c r="D654" t="s">
        <v>80</v>
      </c>
      <c r="E654" t="s">
        <v>74</v>
      </c>
      <c r="F654" t="s">
        <v>73</v>
      </c>
      <c r="G654">
        <v>0</v>
      </c>
      <c r="H654">
        <v>2E+20</v>
      </c>
      <c r="I654">
        <v>0</v>
      </c>
      <c r="J654">
        <v>0</v>
      </c>
      <c r="K654">
        <v>0</v>
      </c>
      <c r="L654">
        <v>0</v>
      </c>
      <c r="M654" s="5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654" s="5">
        <f t="array" ref="N654">MAX(IF((ProjectInfoTable[ProjectName]=ContinuousStatsTable[[#This Row],[ProjectName]]),(ProjectInfoTable[ProjectName]=ContinuousStatsTable[[#This Row],[ProjectName]])*ProjectInfoTable[NumberOfReplications]))</f>
        <v>15</v>
      </c>
      <c r="O654" s="5">
        <f t="array" ref="O654">IFERROR(AVERAGE(IF((ContinuousStatsTable[GroupByKey]=ContinuousStatsTable[[#This Row],[GroupByKey]]),(ContinuousStatsTable[GroupByKey]=ContinuousStatsTable[[#This Row],[GroupByKey]])*ContinuousStatsTable[Average])),0)</f>
        <v>0</v>
      </c>
      <c r="P654" s="5">
        <f t="array" ref="P654">IFERROR(_xlfn.STDEV.S(IF((ContinuousStatsTable[GroupByKey]=ContinuousStatsTable[[#This Row],[GroupByKey]]),(ContinuousStatsTable[GroupByKey]=ContinuousStatsTable[[#This Row],[GroupByKey]])*ContinuousStatsTable[Average])),0)</f>
        <v>0</v>
      </c>
      <c r="Q654" s="5">
        <f t="array" ref="Q654">MAX(IF((ProjectInfoTable[ProjectName]=ContinuousStatsTable[[#This Row],[ProjectName]]),(ProjectInfoTable[ProjectName]=ContinuousStatsTable[[#This Row],[ProjectName]])*ProjectInfoTable[ConfidenceInterval]))</f>
        <v>0.95</v>
      </c>
      <c r="R6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4" s="5">
        <f t="array" ref="S654">MIN(IF((ContinuousStatsTable[GroupByKey]=ContinuousStatsTable[[#This Row],[GroupByKey]]),(ContinuousStatsTable[GroupByKey]=ContinuousStatsTable[[#This Row],[GroupByKey]])*ContinuousStatsTable[Average]))</f>
        <v>0</v>
      </c>
      <c r="T654" s="5">
        <f t="array" ref="T654">MAX(IF((ContinuousStatsTable[GroupByKey]=ContinuousStatsTable[[#This Row],[GroupByKey]]),(ContinuousStatsTable[GroupByKey]=ContinuousStatsTable[[#This Row],[GroupByKey]])*ContinuousStatsTable[Average]))</f>
        <v>0</v>
      </c>
      <c r="U654" s="5">
        <f>IF((ContinuousStatsTable[[#This Row],[RepsRequested]]&gt;1),ContinuousStatsTable[[#This Row],[HalfWidth]],ContinuousStatsTable[[#This Row],[BatchMeansHalfWidth]])</f>
        <v>0</v>
      </c>
    </row>
    <row r="655" spans="1:21" x14ac:dyDescent="0.25">
      <c r="A655" t="s">
        <v>67</v>
      </c>
      <c r="B655" t="s">
        <v>70</v>
      </c>
      <c r="C655">
        <v>15</v>
      </c>
      <c r="D655" t="s">
        <v>80</v>
      </c>
      <c r="E655" t="s">
        <v>75</v>
      </c>
      <c r="F655" t="s">
        <v>73</v>
      </c>
      <c r="G655">
        <v>1</v>
      </c>
      <c r="H655">
        <v>2E+20</v>
      </c>
      <c r="I655">
        <v>1</v>
      </c>
      <c r="J655">
        <v>1</v>
      </c>
      <c r="K655">
        <v>1</v>
      </c>
      <c r="L655">
        <v>0</v>
      </c>
      <c r="M655" s="5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655" s="5">
        <f t="array" ref="N655">MAX(IF((ProjectInfoTable[ProjectName]=ContinuousStatsTable[[#This Row],[ProjectName]]),(ProjectInfoTable[ProjectName]=ContinuousStatsTable[[#This Row],[ProjectName]])*ProjectInfoTable[NumberOfReplications]))</f>
        <v>15</v>
      </c>
      <c r="O655" s="5">
        <f t="array" ref="O655">IFERROR(AVERAGE(IF((ContinuousStatsTable[GroupByKey]=ContinuousStatsTable[[#This Row],[GroupByKey]]),(ContinuousStatsTable[GroupByKey]=ContinuousStatsTable[[#This Row],[GroupByKey]])*ContinuousStatsTable[Average])),0)</f>
        <v>1.5334471868881776</v>
      </c>
      <c r="P655" s="5">
        <f t="array" ref="P655">IFERROR(_xlfn.STDEV.S(IF((ContinuousStatsTable[GroupByKey]=ContinuousStatsTable[[#This Row],[GroupByKey]]),(ContinuousStatsTable[GroupByKey]=ContinuousStatsTable[[#This Row],[GroupByKey]])*ContinuousStatsTable[Average])),0)</f>
        <v>0.24154821158553658</v>
      </c>
      <c r="Q655" s="5">
        <f t="array" ref="Q655">MAX(IF((ProjectInfoTable[ProjectName]=ContinuousStatsTable[[#This Row],[ProjectName]]),(ProjectInfoTable[ProjectName]=ContinuousStatsTable[[#This Row],[ProjectName]])*ProjectInfoTable[ConfidenceInterval]))</f>
        <v>0.95</v>
      </c>
      <c r="R6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0.13376494097407529</v>
      </c>
      <c r="S655" s="5">
        <f t="array" ref="S655">MIN(IF((ContinuousStatsTable[GroupByKey]=ContinuousStatsTable[[#This Row],[GroupByKey]]),(ContinuousStatsTable[GroupByKey]=ContinuousStatsTable[[#This Row],[GroupByKey]])*ContinuousStatsTable[Average]))</f>
        <v>1</v>
      </c>
      <c r="T655" s="5">
        <f t="array" ref="T655">MAX(IF((ContinuousStatsTable[GroupByKey]=ContinuousStatsTable[[#This Row],[GroupByKey]]),(ContinuousStatsTable[GroupByKey]=ContinuousStatsTable[[#This Row],[GroupByKey]])*ContinuousStatsTable[Average]))</f>
        <v>2</v>
      </c>
      <c r="U655" s="5">
        <f>IF((ContinuousStatsTable[[#This Row],[RepsRequested]]&gt;1),ContinuousStatsTable[[#This Row],[HalfWidth]],ContinuousStatsTable[[#This Row],[BatchMeansHalfWidth]])</f>
        <v>0.13376494097407529</v>
      </c>
    </row>
    <row r="656" spans="1:21" x14ac:dyDescent="0.25">
      <c r="A656" t="s">
        <v>67</v>
      </c>
      <c r="B656" t="s">
        <v>70</v>
      </c>
      <c r="C656">
        <v>15</v>
      </c>
      <c r="D656" t="s">
        <v>81</v>
      </c>
      <c r="E656" t="s">
        <v>72</v>
      </c>
      <c r="F656" t="s">
        <v>73</v>
      </c>
      <c r="G656">
        <v>0</v>
      </c>
      <c r="H656">
        <v>2E+20</v>
      </c>
      <c r="I656">
        <v>0</v>
      </c>
      <c r="J656">
        <v>0</v>
      </c>
      <c r="K656">
        <v>0</v>
      </c>
      <c r="L656">
        <v>0</v>
      </c>
      <c r="M656" s="5" t="str">
        <f>ContinuousStatsTable[[#This Row],[ProjectName]]&amp;ContinuousStatsTable[[#This Row],[Name]]&amp;ContinuousStatsTable[[#This Row],[Type]]&amp;ContinuousStatsTable[[#This Row],[Source]]</f>
        <v>Unnamed ProjectcutterInstantaneous UtilizationResource</v>
      </c>
      <c r="N656" s="5">
        <f t="array" ref="N656">MAX(IF((ProjectInfoTable[ProjectName]=ContinuousStatsTable[[#This Row],[ProjectName]]),(ProjectInfoTable[ProjectName]=ContinuousStatsTable[[#This Row],[ProjectName]])*ProjectInfoTable[NumberOfReplications]))</f>
        <v>15</v>
      </c>
      <c r="O656" s="5">
        <f t="array" ref="O656">IFERROR(AVERAGE(IF((ContinuousStatsTable[GroupByKey]=ContinuousStatsTable[[#This Row],[GroupByKey]]),(ContinuousStatsTable[GroupByKey]=ContinuousStatsTable[[#This Row],[GroupByKey]])*ContinuousStatsTable[Average])),0)</f>
        <v>0</v>
      </c>
      <c r="P656" s="5">
        <f t="array" ref="P656">IFERROR(_xlfn.STDEV.S(IF((ContinuousStatsTable[GroupByKey]=ContinuousStatsTable[[#This Row],[GroupByKey]]),(ContinuousStatsTable[GroupByKey]=ContinuousStatsTable[[#This Row],[GroupByKey]])*ContinuousStatsTable[Average])),0)</f>
        <v>0</v>
      </c>
      <c r="Q656" s="5">
        <f t="array" ref="Q656">MAX(IF((ProjectInfoTable[ProjectName]=ContinuousStatsTable[[#This Row],[ProjectName]]),(ProjectInfoTable[ProjectName]=ContinuousStatsTable[[#This Row],[ProjectName]])*ProjectInfoTable[ConfidenceInterval]))</f>
        <v>0.95</v>
      </c>
      <c r="R6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6" s="5">
        <f t="array" ref="S656">MIN(IF((ContinuousStatsTable[GroupByKey]=ContinuousStatsTable[[#This Row],[GroupByKey]]),(ContinuousStatsTable[GroupByKey]=ContinuousStatsTable[[#This Row],[GroupByKey]])*ContinuousStatsTable[Average]))</f>
        <v>0</v>
      </c>
      <c r="T656" s="5">
        <f t="array" ref="T656">MAX(IF((ContinuousStatsTable[GroupByKey]=ContinuousStatsTable[[#This Row],[GroupByKey]]),(ContinuousStatsTable[GroupByKey]=ContinuousStatsTable[[#This Row],[GroupByKey]])*ContinuousStatsTable[Average]))</f>
        <v>0</v>
      </c>
      <c r="U656" s="5">
        <f>IF((ContinuousStatsTable[[#This Row],[RepsRequested]]&gt;1),ContinuousStatsTable[[#This Row],[HalfWidth]],ContinuousStatsTable[[#This Row],[BatchMeansHalfWidth]])</f>
        <v>0</v>
      </c>
    </row>
    <row r="657" spans="1:21" x14ac:dyDescent="0.25">
      <c r="A657" t="s">
        <v>67</v>
      </c>
      <c r="B657" t="s">
        <v>70</v>
      </c>
      <c r="C657">
        <v>15</v>
      </c>
      <c r="D657" t="s">
        <v>81</v>
      </c>
      <c r="E657" t="s">
        <v>74</v>
      </c>
      <c r="F657" t="s">
        <v>73</v>
      </c>
      <c r="G657">
        <v>0</v>
      </c>
      <c r="H657">
        <v>2E+20</v>
      </c>
      <c r="I657">
        <v>0</v>
      </c>
      <c r="J657">
        <v>0</v>
      </c>
      <c r="K657">
        <v>0</v>
      </c>
      <c r="L657">
        <v>0</v>
      </c>
      <c r="M657" s="5" t="str">
        <f>ContinuousStatsTable[[#This Row],[ProjectName]]&amp;ContinuousStatsTable[[#This Row],[Name]]&amp;ContinuousStatsTable[[#This Row],[Type]]&amp;ContinuousStatsTable[[#This Row],[Source]]</f>
        <v>Unnamed ProjectcutterNumber BusyResource</v>
      </c>
      <c r="N657" s="5">
        <f t="array" ref="N657">MAX(IF((ProjectInfoTable[ProjectName]=ContinuousStatsTable[[#This Row],[ProjectName]]),(ProjectInfoTable[ProjectName]=ContinuousStatsTable[[#This Row],[ProjectName]])*ProjectInfoTable[NumberOfReplications]))</f>
        <v>15</v>
      </c>
      <c r="O657" s="5">
        <f t="array" ref="O657">IFERROR(AVERAGE(IF((ContinuousStatsTable[GroupByKey]=ContinuousStatsTable[[#This Row],[GroupByKey]]),(ContinuousStatsTable[GroupByKey]=ContinuousStatsTable[[#This Row],[GroupByKey]])*ContinuousStatsTable[Average])),0)</f>
        <v>0</v>
      </c>
      <c r="P657" s="5">
        <f t="array" ref="P657">IFERROR(_xlfn.STDEV.S(IF((ContinuousStatsTable[GroupByKey]=ContinuousStatsTable[[#This Row],[GroupByKey]]),(ContinuousStatsTable[GroupByKey]=ContinuousStatsTable[[#This Row],[GroupByKey]])*ContinuousStatsTable[Average])),0)</f>
        <v>0</v>
      </c>
      <c r="Q657" s="5">
        <f t="array" ref="Q657">MAX(IF((ProjectInfoTable[ProjectName]=ContinuousStatsTable[[#This Row],[ProjectName]]),(ProjectInfoTable[ProjectName]=ContinuousStatsTable[[#This Row],[ProjectName]])*ProjectInfoTable[ConfidenceInterval]))</f>
        <v>0.95</v>
      </c>
      <c r="R6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7" s="5">
        <f t="array" ref="S657">MIN(IF((ContinuousStatsTable[GroupByKey]=ContinuousStatsTable[[#This Row],[GroupByKey]]),(ContinuousStatsTable[GroupByKey]=ContinuousStatsTable[[#This Row],[GroupByKey]])*ContinuousStatsTable[Average]))</f>
        <v>0</v>
      </c>
      <c r="T657" s="5">
        <f t="array" ref="T657">MAX(IF((ContinuousStatsTable[GroupByKey]=ContinuousStatsTable[[#This Row],[GroupByKey]]),(ContinuousStatsTable[GroupByKey]=ContinuousStatsTable[[#This Row],[GroupByKey]])*ContinuousStatsTable[Average]))</f>
        <v>0</v>
      </c>
      <c r="U657" s="5">
        <f>IF((ContinuousStatsTable[[#This Row],[RepsRequested]]&gt;1),ContinuousStatsTable[[#This Row],[HalfWidth]],ContinuousStatsTable[[#This Row],[BatchMeansHalfWidth]])</f>
        <v>0</v>
      </c>
    </row>
    <row r="658" spans="1:21" x14ac:dyDescent="0.25">
      <c r="A658" t="s">
        <v>67</v>
      </c>
      <c r="B658" t="s">
        <v>70</v>
      </c>
      <c r="C658">
        <v>15</v>
      </c>
      <c r="D658" t="s">
        <v>81</v>
      </c>
      <c r="E658" t="s">
        <v>75</v>
      </c>
      <c r="F658" t="s">
        <v>73</v>
      </c>
      <c r="G658">
        <v>1</v>
      </c>
      <c r="H658">
        <v>2E+20</v>
      </c>
      <c r="I658">
        <v>1</v>
      </c>
      <c r="J658">
        <v>1</v>
      </c>
      <c r="K658">
        <v>1</v>
      </c>
      <c r="L658">
        <v>0</v>
      </c>
      <c r="M658" s="5" t="str">
        <f>ContinuousStatsTable[[#This Row],[ProjectName]]&amp;ContinuousStatsTable[[#This Row],[Name]]&amp;ContinuousStatsTable[[#This Row],[Type]]&amp;ContinuousStatsTable[[#This Row],[Source]]</f>
        <v>Unnamed ProjectcutterNumber ScheduledResource</v>
      </c>
      <c r="N658" s="5">
        <f t="array" ref="N658">MAX(IF((ProjectInfoTable[ProjectName]=ContinuousStatsTable[[#This Row],[ProjectName]]),(ProjectInfoTable[ProjectName]=ContinuousStatsTable[[#This Row],[ProjectName]])*ProjectInfoTable[NumberOfReplications]))</f>
        <v>15</v>
      </c>
      <c r="O658" s="5">
        <f t="array" ref="O658">IFERROR(AVERAGE(IF((ContinuousStatsTable[GroupByKey]=ContinuousStatsTable[[#This Row],[GroupByKey]]),(ContinuousStatsTable[GroupByKey]=ContinuousStatsTable[[#This Row],[GroupByKey]])*ContinuousStatsTable[Average])),0)</f>
        <v>1.5332999999999999</v>
      </c>
      <c r="P658" s="5">
        <f t="array" ref="P658">IFERROR(_xlfn.STDEV.S(IF((ContinuousStatsTable[GroupByKey]=ContinuousStatsTable[[#This Row],[GroupByKey]]),(ContinuousStatsTable[GroupByKey]=ContinuousStatsTable[[#This Row],[GroupByKey]])*ContinuousStatsTable[Average])),0)</f>
        <v>0.24151556349584294</v>
      </c>
      <c r="Q658" s="5">
        <f t="array" ref="Q658">MAX(IF((ProjectInfoTable[ProjectName]=ContinuousStatsTable[[#This Row],[ProjectName]]),(ProjectInfoTable[ProjectName]=ContinuousStatsTable[[#This Row],[ProjectName]])*ProjectInfoTable[ConfidenceInterval]))</f>
        <v>0.95</v>
      </c>
      <c r="R6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0.1337468610646356</v>
      </c>
      <c r="S658" s="5">
        <f t="array" ref="S658">MIN(IF((ContinuousStatsTable[GroupByKey]=ContinuousStatsTable[[#This Row],[GroupByKey]]),(ContinuousStatsTable[GroupByKey]=ContinuousStatsTable[[#This Row],[GroupByKey]])*ContinuousStatsTable[Average]))</f>
        <v>1</v>
      </c>
      <c r="T658" s="5">
        <f t="array" ref="T658">MAX(IF((ContinuousStatsTable[GroupByKey]=ContinuousStatsTable[[#This Row],[GroupByKey]]),(ContinuousStatsTable[GroupByKey]=ContinuousStatsTable[[#This Row],[GroupByKey]])*ContinuousStatsTable[Average]))</f>
        <v>2</v>
      </c>
      <c r="U658" s="5">
        <f>IF((ContinuousStatsTable[[#This Row],[RepsRequested]]&gt;1),ContinuousStatsTable[[#This Row],[HalfWidth]],ContinuousStatsTable[[#This Row],[BatchMeansHalfWidth]])</f>
        <v>0.1337468610646356</v>
      </c>
    </row>
    <row r="659" spans="1:21" x14ac:dyDescent="0.25">
      <c r="A659" t="s">
        <v>67</v>
      </c>
      <c r="B659" t="s">
        <v>70</v>
      </c>
      <c r="C659">
        <v>15</v>
      </c>
      <c r="D659" t="s">
        <v>82</v>
      </c>
      <c r="E659" t="s">
        <v>72</v>
      </c>
      <c r="F659" t="s">
        <v>73</v>
      </c>
      <c r="G659">
        <v>0</v>
      </c>
      <c r="H659">
        <v>2E+20</v>
      </c>
      <c r="I659">
        <v>0</v>
      </c>
      <c r="J659">
        <v>0</v>
      </c>
      <c r="K659">
        <v>0</v>
      </c>
      <c r="L659">
        <v>0</v>
      </c>
      <c r="M659" s="5" t="str">
        <f>ContinuousStatsTable[[#This Row],[ProjectName]]&amp;ContinuousStatsTable[[#This Row],[Name]]&amp;ContinuousStatsTable[[#This Row],[Type]]&amp;ContinuousStatsTable[[#This Row],[Source]]</f>
        <v>Unnamed ProjectfinalqcmanInstantaneous UtilizationResource</v>
      </c>
      <c r="N659" s="5">
        <f t="array" ref="N659">MAX(IF((ProjectInfoTable[ProjectName]=ContinuousStatsTable[[#This Row],[ProjectName]]),(ProjectInfoTable[ProjectName]=ContinuousStatsTable[[#This Row],[ProjectName]])*ProjectInfoTable[NumberOfReplications]))</f>
        <v>15</v>
      </c>
      <c r="O659" s="5">
        <f t="array" ref="O659">IFERROR(AVERAGE(IF((ContinuousStatsTable[GroupByKey]=ContinuousStatsTable[[#This Row],[GroupByKey]]),(ContinuousStatsTable[GroupByKey]=ContinuousStatsTable[[#This Row],[GroupByKey]])*ContinuousStatsTable[Average])),0)</f>
        <v>0</v>
      </c>
      <c r="P659" s="5">
        <f t="array" ref="P659">IFERROR(_xlfn.STDEV.S(IF((ContinuousStatsTable[GroupByKey]=ContinuousStatsTable[[#This Row],[GroupByKey]]),(ContinuousStatsTable[GroupByKey]=ContinuousStatsTable[[#This Row],[GroupByKey]])*ContinuousStatsTable[Average])),0)</f>
        <v>0</v>
      </c>
      <c r="Q659" s="5">
        <f t="array" ref="Q659">MAX(IF((ProjectInfoTable[ProjectName]=ContinuousStatsTable[[#This Row],[ProjectName]]),(ProjectInfoTable[ProjectName]=ContinuousStatsTable[[#This Row],[ProjectName]])*ProjectInfoTable[ConfidenceInterval]))</f>
        <v>0.95</v>
      </c>
      <c r="R6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9" s="5">
        <f t="array" ref="S659">MIN(IF((ContinuousStatsTable[GroupByKey]=ContinuousStatsTable[[#This Row],[GroupByKey]]),(ContinuousStatsTable[GroupByKey]=ContinuousStatsTable[[#This Row],[GroupByKey]])*ContinuousStatsTable[Average]))</f>
        <v>0</v>
      </c>
      <c r="T659" s="5">
        <f t="array" ref="T659">MAX(IF((ContinuousStatsTable[GroupByKey]=ContinuousStatsTable[[#This Row],[GroupByKey]]),(ContinuousStatsTable[GroupByKey]=ContinuousStatsTable[[#This Row],[GroupByKey]])*ContinuousStatsTable[Average]))</f>
        <v>0</v>
      </c>
      <c r="U659" s="5">
        <f>IF((ContinuousStatsTable[[#This Row],[RepsRequested]]&gt;1),ContinuousStatsTable[[#This Row],[HalfWidth]],ContinuousStatsTable[[#This Row],[BatchMeansHalfWidth]])</f>
        <v>0</v>
      </c>
    </row>
    <row r="660" spans="1:21" x14ac:dyDescent="0.25">
      <c r="A660" t="s">
        <v>67</v>
      </c>
      <c r="B660" t="s">
        <v>70</v>
      </c>
      <c r="C660">
        <v>15</v>
      </c>
      <c r="D660" t="s">
        <v>82</v>
      </c>
      <c r="E660" t="s">
        <v>74</v>
      </c>
      <c r="F660" t="s">
        <v>73</v>
      </c>
      <c r="G660">
        <v>0</v>
      </c>
      <c r="H660">
        <v>2E+20</v>
      </c>
      <c r="I660">
        <v>0</v>
      </c>
      <c r="J660">
        <v>0</v>
      </c>
      <c r="K660">
        <v>0</v>
      </c>
      <c r="L660">
        <v>0</v>
      </c>
      <c r="M660" s="5" t="str">
        <f>ContinuousStatsTable[[#This Row],[ProjectName]]&amp;ContinuousStatsTable[[#This Row],[Name]]&amp;ContinuousStatsTable[[#This Row],[Type]]&amp;ContinuousStatsTable[[#This Row],[Source]]</f>
        <v>Unnamed ProjectfinalqcmanNumber BusyResource</v>
      </c>
      <c r="N660" s="5">
        <f t="array" ref="N660">MAX(IF((ProjectInfoTable[ProjectName]=ContinuousStatsTable[[#This Row],[ProjectName]]),(ProjectInfoTable[ProjectName]=ContinuousStatsTable[[#This Row],[ProjectName]])*ProjectInfoTable[NumberOfReplications]))</f>
        <v>15</v>
      </c>
      <c r="O660" s="5">
        <f t="array" ref="O660">IFERROR(AVERAGE(IF((ContinuousStatsTable[GroupByKey]=ContinuousStatsTable[[#This Row],[GroupByKey]]),(ContinuousStatsTable[GroupByKey]=ContinuousStatsTable[[#This Row],[GroupByKey]])*ContinuousStatsTable[Average])),0)</f>
        <v>0</v>
      </c>
      <c r="P660" s="5">
        <f t="array" ref="P660">IFERROR(_xlfn.STDEV.S(IF((ContinuousStatsTable[GroupByKey]=ContinuousStatsTable[[#This Row],[GroupByKey]]),(ContinuousStatsTable[GroupByKey]=ContinuousStatsTable[[#This Row],[GroupByKey]])*ContinuousStatsTable[Average])),0)</f>
        <v>0</v>
      </c>
      <c r="Q660" s="5">
        <f t="array" ref="Q660">MAX(IF((ProjectInfoTable[ProjectName]=ContinuousStatsTable[[#This Row],[ProjectName]]),(ProjectInfoTable[ProjectName]=ContinuousStatsTable[[#This Row],[ProjectName]])*ProjectInfoTable[ConfidenceInterval]))</f>
        <v>0.95</v>
      </c>
      <c r="R6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0" s="5">
        <f t="array" ref="S660">MIN(IF((ContinuousStatsTable[GroupByKey]=ContinuousStatsTable[[#This Row],[GroupByKey]]),(ContinuousStatsTable[GroupByKey]=ContinuousStatsTable[[#This Row],[GroupByKey]])*ContinuousStatsTable[Average]))</f>
        <v>0</v>
      </c>
      <c r="T660" s="5">
        <f t="array" ref="T660">MAX(IF((ContinuousStatsTable[GroupByKey]=ContinuousStatsTable[[#This Row],[GroupByKey]]),(ContinuousStatsTable[GroupByKey]=ContinuousStatsTable[[#This Row],[GroupByKey]])*ContinuousStatsTable[Average]))</f>
        <v>0</v>
      </c>
      <c r="U660" s="5">
        <f>IF((ContinuousStatsTable[[#This Row],[RepsRequested]]&gt;1),ContinuousStatsTable[[#This Row],[HalfWidth]],ContinuousStatsTable[[#This Row],[BatchMeansHalfWidth]])</f>
        <v>0</v>
      </c>
    </row>
    <row r="661" spans="1:21" x14ac:dyDescent="0.25">
      <c r="A661" t="s">
        <v>67</v>
      </c>
      <c r="B661" t="s">
        <v>70</v>
      </c>
      <c r="C661">
        <v>15</v>
      </c>
      <c r="D661" t="s">
        <v>82</v>
      </c>
      <c r="E661" t="s">
        <v>75</v>
      </c>
      <c r="F661" t="s">
        <v>73</v>
      </c>
      <c r="G661">
        <v>1</v>
      </c>
      <c r="H661">
        <v>2E+20</v>
      </c>
      <c r="I661">
        <v>1</v>
      </c>
      <c r="J661">
        <v>1</v>
      </c>
      <c r="K661">
        <v>1</v>
      </c>
      <c r="L661">
        <v>0</v>
      </c>
      <c r="M661" s="5" t="str">
        <f>ContinuousStatsTable[[#This Row],[ProjectName]]&amp;ContinuousStatsTable[[#This Row],[Name]]&amp;ContinuousStatsTable[[#This Row],[Type]]&amp;ContinuousStatsTable[[#This Row],[Source]]</f>
        <v>Unnamed ProjectfinalqcmanNumber ScheduledResource</v>
      </c>
      <c r="N661" s="5">
        <f t="array" ref="N661">MAX(IF((ProjectInfoTable[ProjectName]=ContinuousStatsTable[[#This Row],[ProjectName]]),(ProjectInfoTable[ProjectName]=ContinuousStatsTable[[#This Row],[ProjectName]])*ProjectInfoTable[NumberOfReplications]))</f>
        <v>15</v>
      </c>
      <c r="O661" s="5">
        <f t="array" ref="O661">IFERROR(AVERAGE(IF((ContinuousStatsTable[GroupByKey]=ContinuousStatsTable[[#This Row],[GroupByKey]]),(ContinuousStatsTable[GroupByKey]=ContinuousStatsTable[[#This Row],[GroupByKey]])*ContinuousStatsTable[Average])),0)</f>
        <v>1.5334510661643974</v>
      </c>
      <c r="P661" s="5">
        <f t="array" ref="P661">IFERROR(_xlfn.STDEV.S(IF((ContinuousStatsTable[GroupByKey]=ContinuousStatsTable[[#This Row],[GroupByKey]]),(ContinuousStatsTable[GroupByKey]=ContinuousStatsTable[[#This Row],[GroupByKey]])*ContinuousStatsTable[Average])),0)</f>
        <v>0.24154906725932371</v>
      </c>
      <c r="Q661" s="5">
        <f t="array" ref="Q661">MAX(IF((ProjectInfoTable[ProjectName]=ContinuousStatsTable[[#This Row],[ProjectName]]),(ProjectInfoTable[ProjectName]=ContinuousStatsTable[[#This Row],[ProjectName]])*ProjectInfoTable[ConfidenceInterval]))</f>
        <v>0.95</v>
      </c>
      <c r="R6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0.13376541483042423</v>
      </c>
      <c r="S661" s="5">
        <f t="array" ref="S661">MIN(IF((ContinuousStatsTable[GroupByKey]=ContinuousStatsTable[[#This Row],[GroupByKey]]),(ContinuousStatsTable[GroupByKey]=ContinuousStatsTable[[#This Row],[GroupByKey]])*ContinuousStatsTable[Average]))</f>
        <v>1</v>
      </c>
      <c r="T661" s="5">
        <f t="array" ref="T661">MAX(IF((ContinuousStatsTable[GroupByKey]=ContinuousStatsTable[[#This Row],[GroupByKey]]),(ContinuousStatsTable[GroupByKey]=ContinuousStatsTable[[#This Row],[GroupByKey]])*ContinuousStatsTable[Average]))</f>
        <v>2</v>
      </c>
      <c r="U661" s="5">
        <f>IF((ContinuousStatsTable[[#This Row],[RepsRequested]]&gt;1),ContinuousStatsTable[[#This Row],[HalfWidth]],ContinuousStatsTable[[#This Row],[BatchMeansHalfWidth]])</f>
        <v>0.13376541483042423</v>
      </c>
    </row>
    <row r="662" spans="1:21" x14ac:dyDescent="0.25">
      <c r="A662" t="s">
        <v>67</v>
      </c>
      <c r="B662" t="s">
        <v>70</v>
      </c>
      <c r="C662">
        <v>15</v>
      </c>
      <c r="D662" t="s">
        <v>83</v>
      </c>
      <c r="E662" t="s">
        <v>84</v>
      </c>
      <c r="F662" t="s">
        <v>85</v>
      </c>
      <c r="G662">
        <v>0</v>
      </c>
      <c r="H662">
        <v>2E+20</v>
      </c>
      <c r="I662">
        <v>0</v>
      </c>
      <c r="J662">
        <v>0</v>
      </c>
      <c r="K662">
        <v>0</v>
      </c>
      <c r="L662">
        <v>0</v>
      </c>
      <c r="M662" s="5" t="str">
        <f>ContinuousStatsTable[[#This Row],[ProjectName]]&amp;ContinuousStatsTable[[#This Row],[Name]]&amp;ContinuousStatsTable[[#This Row],[Type]]&amp;ContinuousStatsTable[[#This Row],[Source]]</f>
        <v>Unnamed Projectinspectorseize.QueueNumber WaitingQueue</v>
      </c>
      <c r="N662" s="5">
        <f t="array" ref="N662">MAX(IF((ProjectInfoTable[ProjectName]=ContinuousStatsTable[[#This Row],[ProjectName]]),(ProjectInfoTable[ProjectName]=ContinuousStatsTable[[#This Row],[ProjectName]])*ProjectInfoTable[NumberOfReplications]))</f>
        <v>15</v>
      </c>
      <c r="O662" s="5">
        <f t="array" ref="O662">IFERROR(AVERAGE(IF((ContinuousStatsTable[GroupByKey]=ContinuousStatsTable[[#This Row],[GroupByKey]]),(ContinuousStatsTable[GroupByKey]=ContinuousStatsTable[[#This Row],[GroupByKey]])*ContinuousStatsTable[Average])),0)</f>
        <v>0</v>
      </c>
      <c r="P662" s="5">
        <f t="array" ref="P662">IFERROR(_xlfn.STDEV.S(IF((ContinuousStatsTable[GroupByKey]=ContinuousStatsTable[[#This Row],[GroupByKey]]),(ContinuousStatsTable[GroupByKey]=ContinuousStatsTable[[#This Row],[GroupByKey]])*ContinuousStatsTable[Average])),0)</f>
        <v>0</v>
      </c>
      <c r="Q662" s="5">
        <f t="array" ref="Q662">MAX(IF((ProjectInfoTable[ProjectName]=ContinuousStatsTable[[#This Row],[ProjectName]]),(ProjectInfoTable[ProjectName]=ContinuousStatsTable[[#This Row],[ProjectName]])*ProjectInfoTable[ConfidenceInterval]))</f>
        <v>0.95</v>
      </c>
      <c r="R6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2" s="5">
        <f t="array" ref="S662">MIN(IF((ContinuousStatsTable[GroupByKey]=ContinuousStatsTable[[#This Row],[GroupByKey]]),(ContinuousStatsTable[GroupByKey]=ContinuousStatsTable[[#This Row],[GroupByKey]])*ContinuousStatsTable[Average]))</f>
        <v>0</v>
      </c>
      <c r="T662" s="5">
        <f t="array" ref="T662">MAX(IF((ContinuousStatsTable[GroupByKey]=ContinuousStatsTable[[#This Row],[GroupByKey]]),(ContinuousStatsTable[GroupByKey]=ContinuousStatsTable[[#This Row],[GroupByKey]])*ContinuousStatsTable[Average]))</f>
        <v>0</v>
      </c>
      <c r="U662" s="5">
        <f>IF((ContinuousStatsTable[[#This Row],[RepsRequested]]&gt;1),ContinuousStatsTable[[#This Row],[HalfWidth]],ContinuousStatsTable[[#This Row],[BatchMeansHalfWidth]])</f>
        <v>0</v>
      </c>
    </row>
    <row r="663" spans="1:21" x14ac:dyDescent="0.25">
      <c r="A663" t="s">
        <v>67</v>
      </c>
      <c r="B663" t="s">
        <v>70</v>
      </c>
      <c r="C663">
        <v>15</v>
      </c>
      <c r="D663" t="s">
        <v>86</v>
      </c>
      <c r="E663" t="s">
        <v>84</v>
      </c>
      <c r="F663" t="s">
        <v>85</v>
      </c>
      <c r="G663">
        <v>0</v>
      </c>
      <c r="H663">
        <v>2E+20</v>
      </c>
      <c r="I663">
        <v>0</v>
      </c>
      <c r="J663">
        <v>0</v>
      </c>
      <c r="K663">
        <v>0</v>
      </c>
      <c r="L663">
        <v>0</v>
      </c>
      <c r="M663" s="5" t="str">
        <f>ContinuousStatsTable[[#This Row],[ProjectName]]&amp;ContinuousStatsTable[[#This Row],[Name]]&amp;ContinuousStatsTable[[#This Row],[Type]]&amp;ContinuousStatsTable[[#This Row],[Source]]</f>
        <v>Unnamed Projectmatch_truckcombo.Queue1Number WaitingQueue</v>
      </c>
      <c r="N663" s="5">
        <f t="array" ref="N663">MAX(IF((ProjectInfoTable[ProjectName]=ContinuousStatsTable[[#This Row],[ProjectName]]),(ProjectInfoTable[ProjectName]=ContinuousStatsTable[[#This Row],[ProjectName]])*ProjectInfoTable[NumberOfReplications]))</f>
        <v>15</v>
      </c>
      <c r="O663" s="5">
        <f t="array" ref="O663">IFERROR(AVERAGE(IF((ContinuousStatsTable[GroupByKey]=ContinuousStatsTable[[#This Row],[GroupByKey]]),(ContinuousStatsTable[GroupByKey]=ContinuousStatsTable[[#This Row],[GroupByKey]])*ContinuousStatsTable[Average])),0)</f>
        <v>3.3333333333333335</v>
      </c>
      <c r="P663" s="5">
        <f t="array" ref="P663">IFERROR(_xlfn.STDEV.S(IF((ContinuousStatsTable[GroupByKey]=ContinuousStatsTable[[#This Row],[GroupByKey]]),(ContinuousStatsTable[GroupByKey]=ContinuousStatsTable[[#This Row],[GroupByKey]])*ContinuousStatsTable[Average])),0)</f>
        <v>4.577377082170635</v>
      </c>
      <c r="Q663" s="5">
        <f t="array" ref="Q663">MAX(IF((ProjectInfoTable[ProjectName]=ContinuousStatsTable[[#This Row],[ProjectName]]),(ProjectInfoTable[ProjectName]=ContinuousStatsTable[[#This Row],[ProjectName]])*ProjectInfoTable[ConfidenceInterval]))</f>
        <v>0.95</v>
      </c>
      <c r="R6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2.5348669368881507</v>
      </c>
      <c r="S663" s="5">
        <f t="array" ref="S663">MIN(IF((ContinuousStatsTable[GroupByKey]=ContinuousStatsTable[[#This Row],[GroupByKey]]),(ContinuousStatsTable[GroupByKey]=ContinuousStatsTable[[#This Row],[GroupByKey]])*ContinuousStatsTable[Average]))</f>
        <v>0</v>
      </c>
      <c r="T663" s="5">
        <f t="array" ref="T663">MAX(IF((ContinuousStatsTable[GroupByKey]=ContinuousStatsTable[[#This Row],[GroupByKey]]),(ContinuousStatsTable[GroupByKey]=ContinuousStatsTable[[#This Row],[GroupByKey]])*ContinuousStatsTable[Average]))</f>
        <v>12</v>
      </c>
      <c r="U663" s="5">
        <f>IF((ContinuousStatsTable[[#This Row],[RepsRequested]]&gt;1),ContinuousStatsTable[[#This Row],[HalfWidth]],ContinuousStatsTable[[#This Row],[BatchMeansHalfWidth]])</f>
        <v>2.5348669368881507</v>
      </c>
    </row>
    <row r="664" spans="1:21" x14ac:dyDescent="0.25">
      <c r="A664" t="s">
        <v>67</v>
      </c>
      <c r="B664" t="s">
        <v>70</v>
      </c>
      <c r="C664">
        <v>15</v>
      </c>
      <c r="D664" t="s">
        <v>87</v>
      </c>
      <c r="E664" t="s">
        <v>84</v>
      </c>
      <c r="F664" t="s">
        <v>85</v>
      </c>
      <c r="G664">
        <v>0</v>
      </c>
      <c r="H664">
        <v>2E+20</v>
      </c>
      <c r="I664">
        <v>0</v>
      </c>
      <c r="J664">
        <v>0</v>
      </c>
      <c r="K664">
        <v>0</v>
      </c>
      <c r="L664">
        <v>0</v>
      </c>
      <c r="M664" s="5" t="str">
        <f>ContinuousStatsTable[[#This Row],[ProjectName]]&amp;ContinuousStatsTable[[#This Row],[Name]]&amp;ContinuousStatsTable[[#This Row],[Type]]&amp;ContinuousStatsTable[[#This Row],[Source]]</f>
        <v>Unnamed Projectmatch_truckcombo.Queue2Number WaitingQueue</v>
      </c>
      <c r="N664" s="5">
        <f t="array" ref="N664">MAX(IF((ProjectInfoTable[ProjectName]=ContinuousStatsTable[[#This Row],[ProjectName]]),(ProjectInfoTable[ProjectName]=ContinuousStatsTable[[#This Row],[ProjectName]])*ProjectInfoTable[NumberOfReplications]))</f>
        <v>15</v>
      </c>
      <c r="O664" s="5">
        <f t="array" ref="O664">IFERROR(AVERAGE(IF((ContinuousStatsTable[GroupByKey]=ContinuousStatsTable[[#This Row],[GroupByKey]]),(ContinuousStatsTable[GroupByKey]=ContinuousStatsTable[[#This Row],[GroupByKey]])*ContinuousStatsTable[Average])),0)</f>
        <v>2.8</v>
      </c>
      <c r="P664" s="5">
        <f t="array" ref="P664">IFERROR(_xlfn.STDEV.S(IF((ContinuousStatsTable[GroupByKey]=ContinuousStatsTable[[#This Row],[GroupByKey]]),(ContinuousStatsTable[GroupByKey]=ContinuousStatsTable[[#This Row],[GroupByKey]])*ContinuousStatsTable[Average])),0)</f>
        <v>5.226307081896902</v>
      </c>
      <c r="Q664" s="5">
        <f t="array" ref="Q664">MAX(IF((ProjectInfoTable[ProjectName]=ContinuousStatsTable[[#This Row],[ProjectName]]),(ProjectInfoTable[ProjectName]=ContinuousStatsTable[[#This Row],[ProjectName]])*ProjectInfoTable[ConfidenceInterval]))</f>
        <v>0.95</v>
      </c>
      <c r="R6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2.8942323925042523</v>
      </c>
      <c r="S664" s="5">
        <f t="array" ref="S664">MIN(IF((ContinuousStatsTable[GroupByKey]=ContinuousStatsTable[[#This Row],[GroupByKey]]),(ContinuousStatsTable[GroupByKey]=ContinuousStatsTable[[#This Row],[GroupByKey]])*ContinuousStatsTable[Average]))</f>
        <v>0</v>
      </c>
      <c r="T664" s="5">
        <f t="array" ref="T664">MAX(IF((ContinuousStatsTable[GroupByKey]=ContinuousStatsTable[[#This Row],[GroupByKey]]),(ContinuousStatsTable[GroupByKey]=ContinuousStatsTable[[#This Row],[GroupByKey]])*ContinuousStatsTable[Average]))</f>
        <v>16</v>
      </c>
      <c r="U664" s="5">
        <f>IF((ContinuousStatsTable[[#This Row],[RepsRequested]]&gt;1),ContinuousStatsTable[[#This Row],[HalfWidth]],ContinuousStatsTable[[#This Row],[BatchMeansHalfWidth]])</f>
        <v>2.8942323925042523</v>
      </c>
    </row>
    <row r="665" spans="1:21" x14ac:dyDescent="0.25">
      <c r="A665" t="s">
        <v>67</v>
      </c>
      <c r="B665" t="s">
        <v>70</v>
      </c>
      <c r="C665">
        <v>15</v>
      </c>
      <c r="D665" t="s">
        <v>88</v>
      </c>
      <c r="E665" t="s">
        <v>72</v>
      </c>
      <c r="F665" t="s">
        <v>73</v>
      </c>
      <c r="G665">
        <v>0</v>
      </c>
      <c r="H665">
        <v>2E+20</v>
      </c>
      <c r="I665">
        <v>0</v>
      </c>
      <c r="J665">
        <v>0</v>
      </c>
      <c r="K665">
        <v>0</v>
      </c>
      <c r="L665">
        <v>0</v>
      </c>
      <c r="M665" s="5" t="str">
        <f>ContinuousStatsTable[[#This Row],[ProjectName]]&amp;ContinuousStatsTable[[#This Row],[Name]]&amp;ContinuousStatsTable[[#This Row],[Type]]&amp;ContinuousStatsTable[[#This Row],[Source]]</f>
        <v>Unnamed ProjectpaintingmachineInstantaneous UtilizationResource</v>
      </c>
      <c r="N665" s="5">
        <f t="array" ref="N665">MAX(IF((ProjectInfoTable[ProjectName]=ContinuousStatsTable[[#This Row],[ProjectName]]),(ProjectInfoTable[ProjectName]=ContinuousStatsTable[[#This Row],[ProjectName]])*ProjectInfoTable[NumberOfReplications]))</f>
        <v>15</v>
      </c>
      <c r="O665" s="5">
        <f t="array" ref="O665">IFERROR(AVERAGE(IF((ContinuousStatsTable[GroupByKey]=ContinuousStatsTable[[#This Row],[GroupByKey]]),(ContinuousStatsTable[GroupByKey]=ContinuousStatsTable[[#This Row],[GroupByKey]])*ContinuousStatsTable[Average])),0)</f>
        <v>0</v>
      </c>
      <c r="P665" s="5">
        <f t="array" ref="P665">IFERROR(_xlfn.STDEV.S(IF((ContinuousStatsTable[GroupByKey]=ContinuousStatsTable[[#This Row],[GroupByKey]]),(ContinuousStatsTable[GroupByKey]=ContinuousStatsTable[[#This Row],[GroupByKey]])*ContinuousStatsTable[Average])),0)</f>
        <v>0</v>
      </c>
      <c r="Q665" s="5">
        <f t="array" ref="Q665">MAX(IF((ProjectInfoTable[ProjectName]=ContinuousStatsTable[[#This Row],[ProjectName]]),(ProjectInfoTable[ProjectName]=ContinuousStatsTable[[#This Row],[ProjectName]])*ProjectInfoTable[ConfidenceInterval]))</f>
        <v>0.95</v>
      </c>
      <c r="R6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5" s="5">
        <f t="array" ref="S665">MIN(IF((ContinuousStatsTable[GroupByKey]=ContinuousStatsTable[[#This Row],[GroupByKey]]),(ContinuousStatsTable[GroupByKey]=ContinuousStatsTable[[#This Row],[GroupByKey]])*ContinuousStatsTable[Average]))</f>
        <v>0</v>
      </c>
      <c r="T665" s="5">
        <f t="array" ref="T665">MAX(IF((ContinuousStatsTable[GroupByKey]=ContinuousStatsTable[[#This Row],[GroupByKey]]),(ContinuousStatsTable[GroupByKey]=ContinuousStatsTable[[#This Row],[GroupByKey]])*ContinuousStatsTable[Average]))</f>
        <v>0</v>
      </c>
      <c r="U665" s="5">
        <f>IF((ContinuousStatsTable[[#This Row],[RepsRequested]]&gt;1),ContinuousStatsTable[[#This Row],[HalfWidth]],ContinuousStatsTable[[#This Row],[BatchMeansHalfWidth]])</f>
        <v>0</v>
      </c>
    </row>
    <row r="666" spans="1:21" x14ac:dyDescent="0.25">
      <c r="A666" t="s">
        <v>67</v>
      </c>
      <c r="B666" t="s">
        <v>70</v>
      </c>
      <c r="C666">
        <v>15</v>
      </c>
      <c r="D666" t="s">
        <v>88</v>
      </c>
      <c r="E666" t="s">
        <v>74</v>
      </c>
      <c r="F666" t="s">
        <v>73</v>
      </c>
      <c r="G666">
        <v>0</v>
      </c>
      <c r="H666">
        <v>2E+20</v>
      </c>
      <c r="I666">
        <v>0</v>
      </c>
      <c r="J666">
        <v>0</v>
      </c>
      <c r="K666">
        <v>0</v>
      </c>
      <c r="L666">
        <v>0</v>
      </c>
      <c r="M666" s="5" t="str">
        <f>ContinuousStatsTable[[#This Row],[ProjectName]]&amp;ContinuousStatsTable[[#This Row],[Name]]&amp;ContinuousStatsTable[[#This Row],[Type]]&amp;ContinuousStatsTable[[#This Row],[Source]]</f>
        <v>Unnamed ProjectpaintingmachineNumber BusyResource</v>
      </c>
      <c r="N666" s="5">
        <f t="array" ref="N666">MAX(IF((ProjectInfoTable[ProjectName]=ContinuousStatsTable[[#This Row],[ProjectName]]),(ProjectInfoTable[ProjectName]=ContinuousStatsTable[[#This Row],[ProjectName]])*ProjectInfoTable[NumberOfReplications]))</f>
        <v>15</v>
      </c>
      <c r="O666" s="5">
        <f t="array" ref="O666">IFERROR(AVERAGE(IF((ContinuousStatsTable[GroupByKey]=ContinuousStatsTable[[#This Row],[GroupByKey]]),(ContinuousStatsTable[GroupByKey]=ContinuousStatsTable[[#This Row],[GroupByKey]])*ContinuousStatsTable[Average])),0)</f>
        <v>0</v>
      </c>
      <c r="P666" s="5">
        <f t="array" ref="P666">IFERROR(_xlfn.STDEV.S(IF((ContinuousStatsTable[GroupByKey]=ContinuousStatsTable[[#This Row],[GroupByKey]]),(ContinuousStatsTable[GroupByKey]=ContinuousStatsTable[[#This Row],[GroupByKey]])*ContinuousStatsTable[Average])),0)</f>
        <v>0</v>
      </c>
      <c r="Q666" s="5">
        <f t="array" ref="Q666">MAX(IF((ProjectInfoTable[ProjectName]=ContinuousStatsTable[[#This Row],[ProjectName]]),(ProjectInfoTable[ProjectName]=ContinuousStatsTable[[#This Row],[ProjectName]])*ProjectInfoTable[ConfidenceInterval]))</f>
        <v>0.95</v>
      </c>
      <c r="R6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6" s="5">
        <f t="array" ref="S666">MIN(IF((ContinuousStatsTable[GroupByKey]=ContinuousStatsTable[[#This Row],[GroupByKey]]),(ContinuousStatsTable[GroupByKey]=ContinuousStatsTable[[#This Row],[GroupByKey]])*ContinuousStatsTable[Average]))</f>
        <v>0</v>
      </c>
      <c r="T666" s="5">
        <f t="array" ref="T666">MAX(IF((ContinuousStatsTable[GroupByKey]=ContinuousStatsTable[[#This Row],[GroupByKey]]),(ContinuousStatsTable[GroupByKey]=ContinuousStatsTable[[#This Row],[GroupByKey]])*ContinuousStatsTable[Average]))</f>
        <v>0</v>
      </c>
      <c r="U666" s="5">
        <f>IF((ContinuousStatsTable[[#This Row],[RepsRequested]]&gt;1),ContinuousStatsTable[[#This Row],[HalfWidth]],ContinuousStatsTable[[#This Row],[BatchMeansHalfWidth]])</f>
        <v>0</v>
      </c>
    </row>
    <row r="667" spans="1:21" x14ac:dyDescent="0.25">
      <c r="A667" t="s">
        <v>67</v>
      </c>
      <c r="B667" t="s">
        <v>70</v>
      </c>
      <c r="C667">
        <v>15</v>
      </c>
      <c r="D667" t="s">
        <v>88</v>
      </c>
      <c r="E667" t="s">
        <v>75</v>
      </c>
      <c r="F667" t="s">
        <v>73</v>
      </c>
      <c r="G667">
        <v>1</v>
      </c>
      <c r="H667">
        <v>2E+20</v>
      </c>
      <c r="I667">
        <v>1</v>
      </c>
      <c r="J667">
        <v>1</v>
      </c>
      <c r="K667">
        <v>1</v>
      </c>
      <c r="L667">
        <v>0</v>
      </c>
      <c r="M667" s="5" t="str">
        <f>ContinuousStatsTable[[#This Row],[ProjectName]]&amp;ContinuousStatsTable[[#This Row],[Name]]&amp;ContinuousStatsTable[[#This Row],[Type]]&amp;ContinuousStatsTable[[#This Row],[Source]]</f>
        <v>Unnamed ProjectpaintingmachineNumber ScheduledResource</v>
      </c>
      <c r="N667" s="5">
        <f t="array" ref="N667">MAX(IF((ProjectInfoTable[ProjectName]=ContinuousStatsTable[[#This Row],[ProjectName]]),(ProjectInfoTable[ProjectName]=ContinuousStatsTable[[#This Row],[ProjectName]])*ProjectInfoTable[NumberOfReplications]))</f>
        <v>15</v>
      </c>
      <c r="O667" s="5">
        <f t="array" ref="O667">IFERROR(AVERAGE(IF((ContinuousStatsTable[GroupByKey]=ContinuousStatsTable[[#This Row],[GroupByKey]]),(ContinuousStatsTable[GroupByKey]=ContinuousStatsTable[[#This Row],[GroupByKey]])*ContinuousStatsTable[Average])),0)</f>
        <v>1</v>
      </c>
      <c r="P667" s="5">
        <f t="array" ref="P667">IFERROR(_xlfn.STDEV.S(IF((ContinuousStatsTable[GroupByKey]=ContinuousStatsTable[[#This Row],[GroupByKey]]),(ContinuousStatsTable[GroupByKey]=ContinuousStatsTable[[#This Row],[GroupByKey]])*ContinuousStatsTable[Average])),0)</f>
        <v>0</v>
      </c>
      <c r="Q667" s="5">
        <f t="array" ref="Q667">MAX(IF((ProjectInfoTable[ProjectName]=ContinuousStatsTable[[#This Row],[ProjectName]]),(ProjectInfoTable[ProjectName]=ContinuousStatsTable[[#This Row],[ProjectName]])*ProjectInfoTable[ConfidenceInterval]))</f>
        <v>0.95</v>
      </c>
      <c r="R6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7" s="5">
        <f t="array" ref="S667">MIN(IF((ContinuousStatsTable[GroupByKey]=ContinuousStatsTable[[#This Row],[GroupByKey]]),(ContinuousStatsTable[GroupByKey]=ContinuousStatsTable[[#This Row],[GroupByKey]])*ContinuousStatsTable[Average]))</f>
        <v>1</v>
      </c>
      <c r="T667" s="5">
        <f t="array" ref="T667">MAX(IF((ContinuousStatsTable[GroupByKey]=ContinuousStatsTable[[#This Row],[GroupByKey]]),(ContinuousStatsTable[GroupByKey]=ContinuousStatsTable[[#This Row],[GroupByKey]])*ContinuousStatsTable[Average]))</f>
        <v>1</v>
      </c>
      <c r="U667" s="5">
        <f>IF((ContinuousStatsTable[[#This Row],[RepsRequested]]&gt;1),ContinuousStatsTable[[#This Row],[HalfWidth]],ContinuousStatsTable[[#This Row],[BatchMeansHalfWidth]])</f>
        <v>0</v>
      </c>
    </row>
    <row r="668" spans="1:21" x14ac:dyDescent="0.25">
      <c r="A668" t="s">
        <v>67</v>
      </c>
      <c r="B668" t="s">
        <v>70</v>
      </c>
      <c r="C668">
        <v>15</v>
      </c>
      <c r="D668" t="s">
        <v>89</v>
      </c>
      <c r="E668" t="s">
        <v>72</v>
      </c>
      <c r="F668" t="s">
        <v>73</v>
      </c>
      <c r="G668">
        <v>0</v>
      </c>
      <c r="H668">
        <v>2E+20</v>
      </c>
      <c r="I668">
        <v>0</v>
      </c>
      <c r="J668">
        <v>0</v>
      </c>
      <c r="K668">
        <v>0</v>
      </c>
      <c r="L668">
        <v>0</v>
      </c>
      <c r="M668" s="5" t="str">
        <f>ContinuousStatsTable[[#This Row],[ProjectName]]&amp;ContinuousStatsTable[[#This Row],[Name]]&amp;ContinuousStatsTable[[#This Row],[Type]]&amp;ContinuousStatsTable[[#This Row],[Source]]</f>
        <v>Unnamed ProjectpaintingoperatorInstantaneous UtilizationResource</v>
      </c>
      <c r="N668" s="5">
        <f t="array" ref="N668">MAX(IF((ProjectInfoTable[ProjectName]=ContinuousStatsTable[[#This Row],[ProjectName]]),(ProjectInfoTable[ProjectName]=ContinuousStatsTable[[#This Row],[ProjectName]])*ProjectInfoTable[NumberOfReplications]))</f>
        <v>15</v>
      </c>
      <c r="O668" s="5">
        <f t="array" ref="O668">IFERROR(AVERAGE(IF((ContinuousStatsTable[GroupByKey]=ContinuousStatsTable[[#This Row],[GroupByKey]]),(ContinuousStatsTable[GroupByKey]=ContinuousStatsTable[[#This Row],[GroupByKey]])*ContinuousStatsTable[Average])),0)</f>
        <v>0</v>
      </c>
      <c r="P668" s="5">
        <f t="array" ref="P668">IFERROR(_xlfn.STDEV.S(IF((ContinuousStatsTable[GroupByKey]=ContinuousStatsTable[[#This Row],[GroupByKey]]),(ContinuousStatsTable[GroupByKey]=ContinuousStatsTable[[#This Row],[GroupByKey]])*ContinuousStatsTable[Average])),0)</f>
        <v>0</v>
      </c>
      <c r="Q668" s="5">
        <f t="array" ref="Q668">MAX(IF((ProjectInfoTable[ProjectName]=ContinuousStatsTable[[#This Row],[ProjectName]]),(ProjectInfoTable[ProjectName]=ContinuousStatsTable[[#This Row],[ProjectName]])*ProjectInfoTable[ConfidenceInterval]))</f>
        <v>0.95</v>
      </c>
      <c r="R6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8" s="5">
        <f t="array" ref="S668">MIN(IF((ContinuousStatsTable[GroupByKey]=ContinuousStatsTable[[#This Row],[GroupByKey]]),(ContinuousStatsTable[GroupByKey]=ContinuousStatsTable[[#This Row],[GroupByKey]])*ContinuousStatsTable[Average]))</f>
        <v>0</v>
      </c>
      <c r="T668" s="5">
        <f t="array" ref="T668">MAX(IF((ContinuousStatsTable[GroupByKey]=ContinuousStatsTable[[#This Row],[GroupByKey]]),(ContinuousStatsTable[GroupByKey]=ContinuousStatsTable[[#This Row],[GroupByKey]])*ContinuousStatsTable[Average]))</f>
        <v>0</v>
      </c>
      <c r="U668" s="5">
        <f>IF((ContinuousStatsTable[[#This Row],[RepsRequested]]&gt;1),ContinuousStatsTable[[#This Row],[HalfWidth]],ContinuousStatsTable[[#This Row],[BatchMeansHalfWidth]])</f>
        <v>0</v>
      </c>
    </row>
    <row r="669" spans="1:21" x14ac:dyDescent="0.25">
      <c r="A669" t="s">
        <v>67</v>
      </c>
      <c r="B669" t="s">
        <v>70</v>
      </c>
      <c r="C669">
        <v>15</v>
      </c>
      <c r="D669" t="s">
        <v>89</v>
      </c>
      <c r="E669" t="s">
        <v>74</v>
      </c>
      <c r="F669" t="s">
        <v>73</v>
      </c>
      <c r="G669">
        <v>0</v>
      </c>
      <c r="H669">
        <v>2E+20</v>
      </c>
      <c r="I669">
        <v>0</v>
      </c>
      <c r="J669">
        <v>0</v>
      </c>
      <c r="K669">
        <v>0</v>
      </c>
      <c r="L669">
        <v>0</v>
      </c>
      <c r="M669" s="5" t="str">
        <f>ContinuousStatsTable[[#This Row],[ProjectName]]&amp;ContinuousStatsTable[[#This Row],[Name]]&amp;ContinuousStatsTable[[#This Row],[Type]]&amp;ContinuousStatsTable[[#This Row],[Source]]</f>
        <v>Unnamed ProjectpaintingoperatorNumber BusyResource</v>
      </c>
      <c r="N669" s="5">
        <f t="array" ref="N669">MAX(IF((ProjectInfoTable[ProjectName]=ContinuousStatsTable[[#This Row],[ProjectName]]),(ProjectInfoTable[ProjectName]=ContinuousStatsTable[[#This Row],[ProjectName]])*ProjectInfoTable[NumberOfReplications]))</f>
        <v>15</v>
      </c>
      <c r="O669" s="5">
        <f t="array" ref="O669">IFERROR(AVERAGE(IF((ContinuousStatsTable[GroupByKey]=ContinuousStatsTable[[#This Row],[GroupByKey]]),(ContinuousStatsTable[GroupByKey]=ContinuousStatsTable[[#This Row],[GroupByKey]])*ContinuousStatsTable[Average])),0)</f>
        <v>0</v>
      </c>
      <c r="P669" s="5">
        <f t="array" ref="P669">IFERROR(_xlfn.STDEV.S(IF((ContinuousStatsTable[GroupByKey]=ContinuousStatsTable[[#This Row],[GroupByKey]]),(ContinuousStatsTable[GroupByKey]=ContinuousStatsTable[[#This Row],[GroupByKey]])*ContinuousStatsTable[Average])),0)</f>
        <v>0</v>
      </c>
      <c r="Q669" s="5">
        <f t="array" ref="Q669">MAX(IF((ProjectInfoTable[ProjectName]=ContinuousStatsTable[[#This Row],[ProjectName]]),(ProjectInfoTable[ProjectName]=ContinuousStatsTable[[#This Row],[ProjectName]])*ProjectInfoTable[ConfidenceInterval]))</f>
        <v>0.95</v>
      </c>
      <c r="R6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9" s="5">
        <f t="array" ref="S669">MIN(IF((ContinuousStatsTable[GroupByKey]=ContinuousStatsTable[[#This Row],[GroupByKey]]),(ContinuousStatsTable[GroupByKey]=ContinuousStatsTable[[#This Row],[GroupByKey]])*ContinuousStatsTable[Average]))</f>
        <v>0</v>
      </c>
      <c r="T669" s="5">
        <f t="array" ref="T669">MAX(IF((ContinuousStatsTable[GroupByKey]=ContinuousStatsTable[[#This Row],[GroupByKey]]),(ContinuousStatsTable[GroupByKey]=ContinuousStatsTable[[#This Row],[GroupByKey]])*ContinuousStatsTable[Average]))</f>
        <v>0</v>
      </c>
      <c r="U669" s="5">
        <f>IF((ContinuousStatsTable[[#This Row],[RepsRequested]]&gt;1),ContinuousStatsTable[[#This Row],[HalfWidth]],ContinuousStatsTable[[#This Row],[BatchMeansHalfWidth]])</f>
        <v>0</v>
      </c>
    </row>
    <row r="670" spans="1:21" x14ac:dyDescent="0.25">
      <c r="A670" t="s">
        <v>67</v>
      </c>
      <c r="B670" t="s">
        <v>70</v>
      </c>
      <c r="C670">
        <v>15</v>
      </c>
      <c r="D670" t="s">
        <v>89</v>
      </c>
      <c r="E670" t="s">
        <v>75</v>
      </c>
      <c r="F670" t="s">
        <v>73</v>
      </c>
      <c r="G670">
        <v>1</v>
      </c>
      <c r="H670">
        <v>2E+20</v>
      </c>
      <c r="I670">
        <v>1</v>
      </c>
      <c r="J670">
        <v>1</v>
      </c>
      <c r="K670">
        <v>1</v>
      </c>
      <c r="L670">
        <v>0</v>
      </c>
      <c r="M670" s="5" t="str">
        <f>ContinuousStatsTable[[#This Row],[ProjectName]]&amp;ContinuousStatsTable[[#This Row],[Name]]&amp;ContinuousStatsTable[[#This Row],[Type]]&amp;ContinuousStatsTable[[#This Row],[Source]]</f>
        <v>Unnamed ProjectpaintingoperatorNumber ScheduledResource</v>
      </c>
      <c r="N670" s="5">
        <f t="array" ref="N670">MAX(IF((ProjectInfoTable[ProjectName]=ContinuousStatsTable[[#This Row],[ProjectName]]),(ProjectInfoTable[ProjectName]=ContinuousStatsTable[[#This Row],[ProjectName]])*ProjectInfoTable[NumberOfReplications]))</f>
        <v>15</v>
      </c>
      <c r="O670" s="5">
        <f t="array" ref="O670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670" s="5">
        <f t="array" ref="P670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670" s="5">
        <f t="array" ref="Q670">MAX(IF((ProjectInfoTable[ProjectName]=ContinuousStatsTable[[#This Row],[ProjectName]]),(ProjectInfoTable[ProjectName]=ContinuousStatsTable[[#This Row],[ProjectName]])*ProjectInfoTable[ConfidenceInterval]))</f>
        <v>0.95</v>
      </c>
      <c r="R6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670" s="5">
        <f t="array" ref="S670">MIN(IF((ContinuousStatsTable[GroupByKey]=ContinuousStatsTable[[#This Row],[GroupByKey]]),(ContinuousStatsTable[GroupByKey]=ContinuousStatsTable[[#This Row],[GroupByKey]])*ContinuousStatsTable[Average]))</f>
        <v>1</v>
      </c>
      <c r="T670" s="5">
        <f t="array" ref="T670">MAX(IF((ContinuousStatsTable[GroupByKey]=ContinuousStatsTable[[#This Row],[GroupByKey]]),(ContinuousStatsTable[GroupByKey]=ContinuousStatsTable[[#This Row],[GroupByKey]])*ContinuousStatsTable[Average]))</f>
        <v>2</v>
      </c>
      <c r="U670" s="5">
        <f>IF((ContinuousStatsTable[[#This Row],[RepsRequested]]&gt;1),ContinuousStatsTable[[#This Row],[HalfWidth]],ContinuousStatsTable[[#This Row],[BatchMeansHalfWidth]])</f>
        <v>0.13376733135491528</v>
      </c>
    </row>
    <row r="671" spans="1:21" x14ac:dyDescent="0.25">
      <c r="A671" t="s">
        <v>67</v>
      </c>
      <c r="B671" t="s">
        <v>70</v>
      </c>
      <c r="C671">
        <v>15</v>
      </c>
      <c r="D671" t="s">
        <v>90</v>
      </c>
      <c r="E671" t="s">
        <v>72</v>
      </c>
      <c r="F671" t="s">
        <v>73</v>
      </c>
      <c r="G671">
        <v>0</v>
      </c>
      <c r="H671">
        <v>2E+20</v>
      </c>
      <c r="I671">
        <v>0</v>
      </c>
      <c r="J671">
        <v>0</v>
      </c>
      <c r="K671">
        <v>0</v>
      </c>
      <c r="L671">
        <v>0</v>
      </c>
      <c r="M671" s="5" t="str">
        <f>ContinuousStatsTable[[#This Row],[ProjectName]]&amp;ContinuousStatsTable[[#This Row],[Name]]&amp;ContinuousStatsTable[[#This Row],[Type]]&amp;ContinuousStatsTable[[#This Row],[Source]]</f>
        <v>Unnamed ProjectsandblastmachineInstantaneous UtilizationResource</v>
      </c>
      <c r="N671" s="5">
        <f t="array" ref="N671">MAX(IF((ProjectInfoTable[ProjectName]=ContinuousStatsTable[[#This Row],[ProjectName]]),(ProjectInfoTable[ProjectName]=ContinuousStatsTable[[#This Row],[ProjectName]])*ProjectInfoTable[NumberOfReplications]))</f>
        <v>15</v>
      </c>
      <c r="O671" s="5">
        <f t="array" ref="O671">IFERROR(AVERAGE(IF((ContinuousStatsTable[GroupByKey]=ContinuousStatsTable[[#This Row],[GroupByKey]]),(ContinuousStatsTable[GroupByKey]=ContinuousStatsTable[[#This Row],[GroupByKey]])*ContinuousStatsTable[Average])),0)</f>
        <v>0</v>
      </c>
      <c r="P671" s="5">
        <f t="array" ref="P671">IFERROR(_xlfn.STDEV.S(IF((ContinuousStatsTable[GroupByKey]=ContinuousStatsTable[[#This Row],[GroupByKey]]),(ContinuousStatsTable[GroupByKey]=ContinuousStatsTable[[#This Row],[GroupByKey]])*ContinuousStatsTable[Average])),0)</f>
        <v>0</v>
      </c>
      <c r="Q671" s="5">
        <f t="array" ref="Q671">MAX(IF((ProjectInfoTable[ProjectName]=ContinuousStatsTable[[#This Row],[ProjectName]]),(ProjectInfoTable[ProjectName]=ContinuousStatsTable[[#This Row],[ProjectName]])*ProjectInfoTable[ConfidenceInterval]))</f>
        <v>0.95</v>
      </c>
      <c r="R6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71" s="5">
        <f t="array" ref="S671">MIN(IF((ContinuousStatsTable[GroupByKey]=ContinuousStatsTable[[#This Row],[GroupByKey]]),(ContinuousStatsTable[GroupByKey]=ContinuousStatsTable[[#This Row],[GroupByKey]])*ContinuousStatsTable[Average]))</f>
        <v>0</v>
      </c>
      <c r="T671" s="5">
        <f t="array" ref="T671">MAX(IF((ContinuousStatsTable[GroupByKey]=ContinuousStatsTable[[#This Row],[GroupByKey]]),(ContinuousStatsTable[GroupByKey]=ContinuousStatsTable[[#This Row],[GroupByKey]])*ContinuousStatsTable[Average]))</f>
        <v>0</v>
      </c>
      <c r="U671" s="5">
        <f>IF((ContinuousStatsTable[[#This Row],[RepsRequested]]&gt;1),ContinuousStatsTable[[#This Row],[HalfWidth]],ContinuousStatsTable[[#This Row],[BatchMeansHalfWidth]])</f>
        <v>0</v>
      </c>
    </row>
    <row r="672" spans="1:21" x14ac:dyDescent="0.25">
      <c r="A672" t="s">
        <v>67</v>
      </c>
      <c r="B672" t="s">
        <v>70</v>
      </c>
      <c r="C672">
        <v>15</v>
      </c>
      <c r="D672" t="s">
        <v>90</v>
      </c>
      <c r="E672" t="s">
        <v>74</v>
      </c>
      <c r="F672" t="s">
        <v>73</v>
      </c>
      <c r="G672">
        <v>0</v>
      </c>
      <c r="H672">
        <v>2E+20</v>
      </c>
      <c r="I672">
        <v>0</v>
      </c>
      <c r="J672">
        <v>0</v>
      </c>
      <c r="K672">
        <v>0</v>
      </c>
      <c r="L672">
        <v>0</v>
      </c>
      <c r="M672" s="5" t="str">
        <f>ContinuousStatsTable[[#This Row],[ProjectName]]&amp;ContinuousStatsTable[[#This Row],[Name]]&amp;ContinuousStatsTable[[#This Row],[Type]]&amp;ContinuousStatsTable[[#This Row],[Source]]</f>
        <v>Unnamed ProjectsandblastmachineNumber BusyResource</v>
      </c>
      <c r="N672" s="5">
        <f t="array" ref="N672">MAX(IF((ProjectInfoTable[ProjectName]=ContinuousStatsTable[[#This Row],[ProjectName]]),(ProjectInfoTable[ProjectName]=ContinuousStatsTable[[#This Row],[ProjectName]])*ProjectInfoTable[NumberOfReplications]))</f>
        <v>15</v>
      </c>
      <c r="O672" s="5">
        <f t="array" ref="O672">IFERROR(AVERAGE(IF((ContinuousStatsTable[GroupByKey]=ContinuousStatsTable[[#This Row],[GroupByKey]]),(ContinuousStatsTable[GroupByKey]=ContinuousStatsTable[[#This Row],[GroupByKey]])*ContinuousStatsTable[Average])),0)</f>
        <v>0</v>
      </c>
      <c r="P672" s="5">
        <f t="array" ref="P672">IFERROR(_xlfn.STDEV.S(IF((ContinuousStatsTable[GroupByKey]=ContinuousStatsTable[[#This Row],[GroupByKey]]),(ContinuousStatsTable[GroupByKey]=ContinuousStatsTable[[#This Row],[GroupByKey]])*ContinuousStatsTable[Average])),0)</f>
        <v>0</v>
      </c>
      <c r="Q672" s="5">
        <f t="array" ref="Q672">MAX(IF((ProjectInfoTable[ProjectName]=ContinuousStatsTable[[#This Row],[ProjectName]]),(ProjectInfoTable[ProjectName]=ContinuousStatsTable[[#This Row],[ProjectName]])*ProjectInfoTable[ConfidenceInterval]))</f>
        <v>0.95</v>
      </c>
      <c r="R6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72" s="5">
        <f t="array" ref="S672">MIN(IF((ContinuousStatsTable[GroupByKey]=ContinuousStatsTable[[#This Row],[GroupByKey]]),(ContinuousStatsTable[GroupByKey]=ContinuousStatsTable[[#This Row],[GroupByKey]])*ContinuousStatsTable[Average]))</f>
        <v>0</v>
      </c>
      <c r="T672" s="5">
        <f t="array" ref="T672">MAX(IF((ContinuousStatsTable[GroupByKey]=ContinuousStatsTable[[#This Row],[GroupByKey]]),(ContinuousStatsTable[GroupByKey]=ContinuousStatsTable[[#This Row],[GroupByKey]])*ContinuousStatsTable[Average]))</f>
        <v>0</v>
      </c>
      <c r="U672" s="5">
        <f>IF((ContinuousStatsTable[[#This Row],[RepsRequested]]&gt;1),ContinuousStatsTable[[#This Row],[HalfWidth]],ContinuousStatsTable[[#This Row],[BatchMeansHalfWidth]])</f>
        <v>0</v>
      </c>
    </row>
    <row r="673" spans="1:21" x14ac:dyDescent="0.25">
      <c r="A673" t="s">
        <v>67</v>
      </c>
      <c r="B673" t="s">
        <v>70</v>
      </c>
      <c r="C673">
        <v>15</v>
      </c>
      <c r="D673" t="s">
        <v>90</v>
      </c>
      <c r="E673" t="s">
        <v>75</v>
      </c>
      <c r="F673" t="s">
        <v>73</v>
      </c>
      <c r="G673">
        <v>1</v>
      </c>
      <c r="H673">
        <v>2E+20</v>
      </c>
      <c r="I673">
        <v>1</v>
      </c>
      <c r="J673">
        <v>1</v>
      </c>
      <c r="K673">
        <v>1</v>
      </c>
      <c r="L673">
        <v>0</v>
      </c>
      <c r="M673" s="5" t="str">
        <f>ContinuousStatsTable[[#This Row],[ProjectName]]&amp;ContinuousStatsTable[[#This Row],[Name]]&amp;ContinuousStatsTable[[#This Row],[Type]]&amp;ContinuousStatsTable[[#This Row],[Source]]</f>
        <v>Unnamed ProjectsandblastmachineNumber ScheduledResource</v>
      </c>
      <c r="N673" s="5">
        <f t="array" ref="N673">MAX(IF((ProjectInfoTable[ProjectName]=ContinuousStatsTable[[#This Row],[ProjectName]]),(ProjectInfoTable[ProjectName]=ContinuousStatsTable[[#This Row],[ProjectName]])*ProjectInfoTable[NumberOfReplications]))</f>
        <v>15</v>
      </c>
      <c r="O673" s="5">
        <f t="array" ref="O673">IFERROR(AVERAGE(IF((ContinuousStatsTable[GroupByKey]=ContinuousStatsTable[[#This Row],[GroupByKey]]),(ContinuousStatsTable[GroupByKey]=ContinuousStatsTable[[#This Row],[GroupByKey]])*ContinuousStatsTable[Average])),0)</f>
        <v>1</v>
      </c>
      <c r="P673" s="5">
        <f t="array" ref="P673">IFERROR(_xlfn.STDEV.S(IF((ContinuousStatsTable[GroupByKey]=ContinuousStatsTable[[#This Row],[GroupByKey]]),(ContinuousStatsTable[GroupByKey]=ContinuousStatsTable[[#This Row],[GroupByKey]])*ContinuousStatsTable[Average])),0)</f>
        <v>0</v>
      </c>
      <c r="Q673" s="5">
        <f t="array" ref="Q673">MAX(IF((ProjectInfoTable[ProjectName]=ContinuousStatsTable[[#This Row],[ProjectName]]),(ProjectInfoTable[ProjectName]=ContinuousStatsTable[[#This Row],[ProjectName]])*ProjectInfoTable[ConfidenceInterval]))</f>
        <v>0.95</v>
      </c>
      <c r="R6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73" s="5">
        <f t="array" ref="S673">MIN(IF((ContinuousStatsTable[GroupByKey]=ContinuousStatsTable[[#This Row],[GroupByKey]]),(ContinuousStatsTable[GroupByKey]=ContinuousStatsTable[[#This Row],[GroupByKey]])*ContinuousStatsTable[Average]))</f>
        <v>1</v>
      </c>
      <c r="T673" s="5">
        <f t="array" ref="T673">MAX(IF((ContinuousStatsTable[GroupByKey]=ContinuousStatsTable[[#This Row],[GroupByKey]]),(ContinuousStatsTable[GroupByKey]=ContinuousStatsTable[[#This Row],[GroupByKey]])*ContinuousStatsTable[Average]))</f>
        <v>1</v>
      </c>
      <c r="U673" s="5">
        <f>IF((ContinuousStatsTable[[#This Row],[RepsRequested]]&gt;1),ContinuousStatsTable[[#This Row],[HalfWidth]],ContinuousStatsTable[[#This Row],[BatchMeansHalfWidth]])</f>
        <v>0</v>
      </c>
    </row>
    <row r="674" spans="1:21" x14ac:dyDescent="0.25">
      <c r="A674" t="s">
        <v>67</v>
      </c>
      <c r="B674" t="s">
        <v>70</v>
      </c>
      <c r="C674">
        <v>15</v>
      </c>
      <c r="D674" t="s">
        <v>91</v>
      </c>
      <c r="E674" t="s">
        <v>72</v>
      </c>
      <c r="F674" t="s">
        <v>73</v>
      </c>
      <c r="G674">
        <v>0</v>
      </c>
      <c r="H674">
        <v>2E+20</v>
      </c>
      <c r="I674">
        <v>0</v>
      </c>
      <c r="J674">
        <v>0</v>
      </c>
      <c r="K674">
        <v>0</v>
      </c>
      <c r="L674">
        <v>0</v>
      </c>
      <c r="M674" s="5" t="str">
        <f>ContinuousStatsTable[[#This Row],[ProjectName]]&amp;ContinuousStatsTable[[#This Row],[Name]]&amp;ContinuousStatsTable[[#This Row],[Type]]&amp;ContinuousStatsTable[[#This Row],[Source]]</f>
        <v>Unnamed ProjectsandblastoperatorInstantaneous UtilizationResource</v>
      </c>
      <c r="N674" s="5">
        <f t="array" ref="N674">MAX(IF((ProjectInfoTable[ProjectName]=ContinuousStatsTable[[#This Row],[ProjectName]]),(ProjectInfoTable[ProjectName]=ContinuousStatsTable[[#This Row],[ProjectName]])*ProjectInfoTable[NumberOfReplications]))</f>
        <v>15</v>
      </c>
      <c r="O674" s="5">
        <f t="array" ref="O674">IFERROR(AVERAGE(IF((ContinuousStatsTable[GroupByKey]=ContinuousStatsTable[[#This Row],[GroupByKey]]),(ContinuousStatsTable[GroupByKey]=ContinuousStatsTable[[#This Row],[GroupByKey]])*ContinuousStatsTable[Average])),0)</f>
        <v>0</v>
      </c>
      <c r="P674" s="5">
        <f t="array" ref="P674">IFERROR(_xlfn.STDEV.S(IF((ContinuousStatsTable[GroupByKey]=ContinuousStatsTable[[#This Row],[GroupByKey]]),(ContinuousStatsTable[GroupByKey]=ContinuousStatsTable[[#This Row],[GroupByKey]])*ContinuousStatsTable[Average])),0)</f>
        <v>0</v>
      </c>
      <c r="Q674" s="5">
        <f t="array" ref="Q674">MAX(IF((ProjectInfoTable[ProjectName]=ContinuousStatsTable[[#This Row],[ProjectName]]),(ProjectInfoTable[ProjectName]=ContinuousStatsTable[[#This Row],[ProjectName]])*ProjectInfoTable[ConfidenceInterval]))</f>
        <v>0.95</v>
      </c>
      <c r="R6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74" s="5">
        <f t="array" ref="S674">MIN(IF((ContinuousStatsTable[GroupByKey]=ContinuousStatsTable[[#This Row],[GroupByKey]]),(ContinuousStatsTable[GroupByKey]=ContinuousStatsTable[[#This Row],[GroupByKey]])*ContinuousStatsTable[Average]))</f>
        <v>0</v>
      </c>
      <c r="T674" s="5">
        <f t="array" ref="T674">MAX(IF((ContinuousStatsTable[GroupByKey]=ContinuousStatsTable[[#This Row],[GroupByKey]]),(ContinuousStatsTable[GroupByKey]=ContinuousStatsTable[[#This Row],[GroupByKey]])*ContinuousStatsTable[Average]))</f>
        <v>0</v>
      </c>
      <c r="U674" s="5">
        <f>IF((ContinuousStatsTable[[#This Row],[RepsRequested]]&gt;1),ContinuousStatsTable[[#This Row],[HalfWidth]],ContinuousStatsTable[[#This Row],[BatchMeansHalfWidth]])</f>
        <v>0</v>
      </c>
    </row>
    <row r="675" spans="1:21" x14ac:dyDescent="0.25">
      <c r="A675" t="s">
        <v>67</v>
      </c>
      <c r="B675" t="s">
        <v>70</v>
      </c>
      <c r="C675">
        <v>15</v>
      </c>
      <c r="D675" t="s">
        <v>91</v>
      </c>
      <c r="E675" t="s">
        <v>74</v>
      </c>
      <c r="F675" t="s">
        <v>73</v>
      </c>
      <c r="G675">
        <v>0</v>
      </c>
      <c r="H675">
        <v>2E+20</v>
      </c>
      <c r="I675">
        <v>0</v>
      </c>
      <c r="J675">
        <v>0</v>
      </c>
      <c r="K675">
        <v>0</v>
      </c>
      <c r="L675">
        <v>0</v>
      </c>
      <c r="M675" s="5" t="str">
        <f>ContinuousStatsTable[[#This Row],[ProjectName]]&amp;ContinuousStatsTable[[#This Row],[Name]]&amp;ContinuousStatsTable[[#This Row],[Type]]&amp;ContinuousStatsTable[[#This Row],[Source]]</f>
        <v>Unnamed ProjectsandblastoperatorNumber BusyResource</v>
      </c>
      <c r="N675" s="5">
        <f t="array" ref="N675">MAX(IF((ProjectInfoTable[ProjectName]=ContinuousStatsTable[[#This Row],[ProjectName]]),(ProjectInfoTable[ProjectName]=ContinuousStatsTable[[#This Row],[ProjectName]])*ProjectInfoTable[NumberOfReplications]))</f>
        <v>15</v>
      </c>
      <c r="O675" s="5">
        <f t="array" ref="O675">IFERROR(AVERAGE(IF((ContinuousStatsTable[GroupByKey]=ContinuousStatsTable[[#This Row],[GroupByKey]]),(ContinuousStatsTable[GroupByKey]=ContinuousStatsTable[[#This Row],[GroupByKey]])*ContinuousStatsTable[Average])),0)</f>
        <v>0</v>
      </c>
      <c r="P675" s="5">
        <f t="array" ref="P675">IFERROR(_xlfn.STDEV.S(IF((ContinuousStatsTable[GroupByKey]=ContinuousStatsTable[[#This Row],[GroupByKey]]),(ContinuousStatsTable[GroupByKey]=ContinuousStatsTable[[#This Row],[GroupByKey]])*ContinuousStatsTable[Average])),0)</f>
        <v>0</v>
      </c>
      <c r="Q675" s="5">
        <f t="array" ref="Q675">MAX(IF((ProjectInfoTable[ProjectName]=ContinuousStatsTable[[#This Row],[ProjectName]]),(ProjectInfoTable[ProjectName]=ContinuousStatsTable[[#This Row],[ProjectName]])*ProjectInfoTable[ConfidenceInterval]))</f>
        <v>0.95</v>
      </c>
      <c r="R6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75" s="5">
        <f t="array" ref="S675">MIN(IF((ContinuousStatsTable[GroupByKey]=ContinuousStatsTable[[#This Row],[GroupByKey]]),(ContinuousStatsTable[GroupByKey]=ContinuousStatsTable[[#This Row],[GroupByKey]])*ContinuousStatsTable[Average]))</f>
        <v>0</v>
      </c>
      <c r="T675" s="5">
        <f t="array" ref="T675">MAX(IF((ContinuousStatsTable[GroupByKey]=ContinuousStatsTable[[#This Row],[GroupByKey]]),(ContinuousStatsTable[GroupByKey]=ContinuousStatsTable[[#This Row],[GroupByKey]])*ContinuousStatsTable[Average]))</f>
        <v>0</v>
      </c>
      <c r="U675" s="5">
        <f>IF((ContinuousStatsTable[[#This Row],[RepsRequested]]&gt;1),ContinuousStatsTable[[#This Row],[HalfWidth]],ContinuousStatsTable[[#This Row],[BatchMeansHalfWidth]])</f>
        <v>0</v>
      </c>
    </row>
    <row r="676" spans="1:21" x14ac:dyDescent="0.25">
      <c r="A676" t="s">
        <v>67</v>
      </c>
      <c r="B676" t="s">
        <v>70</v>
      </c>
      <c r="C676">
        <v>15</v>
      </c>
      <c r="D676" t="s">
        <v>91</v>
      </c>
      <c r="E676" t="s">
        <v>75</v>
      </c>
      <c r="F676" t="s">
        <v>73</v>
      </c>
      <c r="G676">
        <v>1</v>
      </c>
      <c r="H676">
        <v>2E+20</v>
      </c>
      <c r="I676">
        <v>1</v>
      </c>
      <c r="J676">
        <v>1</v>
      </c>
      <c r="K676">
        <v>1</v>
      </c>
      <c r="L676">
        <v>0</v>
      </c>
      <c r="M676" s="5" t="str">
        <f>ContinuousStatsTable[[#This Row],[ProjectName]]&amp;ContinuousStatsTable[[#This Row],[Name]]&amp;ContinuousStatsTable[[#This Row],[Type]]&amp;ContinuousStatsTable[[#This Row],[Source]]</f>
        <v>Unnamed ProjectsandblastoperatorNumber ScheduledResource</v>
      </c>
      <c r="N676" s="5">
        <f t="array" ref="N676">MAX(IF((ProjectInfoTable[ProjectName]=ContinuousStatsTable[[#This Row],[ProjectName]]),(ProjectInfoTable[ProjectName]=ContinuousStatsTable[[#This Row],[ProjectName]])*ProjectInfoTable[NumberOfReplications]))</f>
        <v>15</v>
      </c>
      <c r="O676" s="5">
        <f t="array" ref="O676">IFERROR(AVERAGE(IF((ContinuousStatsTable[GroupByKey]=ContinuousStatsTable[[#This Row],[GroupByKey]]),(ContinuousStatsTable[GroupByKey]=ContinuousStatsTable[[#This Row],[GroupByKey]])*ContinuousStatsTable[Average])),0)</f>
        <v>1.5334666666666668</v>
      </c>
      <c r="P676" s="5">
        <f t="array" ref="P676">IFERROR(_xlfn.STDEV.S(IF((ContinuousStatsTable[GroupByKey]=ContinuousStatsTable[[#This Row],[GroupByKey]]),(ContinuousStatsTable[GroupByKey]=ContinuousStatsTable[[#This Row],[GroupByKey]])*ContinuousStatsTable[Average])),0)</f>
        <v>0.24155252805450594</v>
      </c>
      <c r="Q676" s="5">
        <f t="array" ref="Q676">MAX(IF((ProjectInfoTable[ProjectName]=ContinuousStatsTable[[#This Row],[ProjectName]]),(ProjectInfoTable[ProjectName]=ContinuousStatsTable[[#This Row],[ProjectName]])*ProjectInfoTable[ConfidenceInterval]))</f>
        <v>0.95</v>
      </c>
      <c r="R6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0.13376733135491528</v>
      </c>
      <c r="S676" s="5">
        <f t="array" ref="S676">MIN(IF((ContinuousStatsTable[GroupByKey]=ContinuousStatsTable[[#This Row],[GroupByKey]]),(ContinuousStatsTable[GroupByKey]=ContinuousStatsTable[[#This Row],[GroupByKey]])*ContinuousStatsTable[Average]))</f>
        <v>1</v>
      </c>
      <c r="T676" s="5">
        <f t="array" ref="T676">MAX(IF((ContinuousStatsTable[GroupByKey]=ContinuousStatsTable[[#This Row],[GroupByKey]]),(ContinuousStatsTable[GroupByKey]=ContinuousStatsTable[[#This Row],[GroupByKey]])*ContinuousStatsTable[Average]))</f>
        <v>2</v>
      </c>
      <c r="U676" s="5">
        <f>IF((ContinuousStatsTable[[#This Row],[RepsRequested]]&gt;1),ContinuousStatsTable[[#This Row],[HalfWidth]],ContinuousStatsTable[[#This Row],[BatchMeansHalfWidth]])</f>
        <v>0.13376733135491528</v>
      </c>
    </row>
    <row r="677" spans="1:21" x14ac:dyDescent="0.25">
      <c r="A677" t="s">
        <v>67</v>
      </c>
      <c r="B677" t="s">
        <v>70</v>
      </c>
      <c r="C677">
        <v>15</v>
      </c>
      <c r="D677" t="s">
        <v>92</v>
      </c>
      <c r="E677" t="s">
        <v>84</v>
      </c>
      <c r="F677" t="s">
        <v>85</v>
      </c>
      <c r="G677">
        <v>0</v>
      </c>
      <c r="H677">
        <v>2E+20</v>
      </c>
      <c r="I677">
        <v>0</v>
      </c>
      <c r="J677">
        <v>0</v>
      </c>
      <c r="K677">
        <v>0</v>
      </c>
      <c r="L677">
        <v>0</v>
      </c>
      <c r="M677" s="5" t="str">
        <f>ContinuousStatsTable[[#This Row],[ProjectName]]&amp;ContinuousStatsTable[[#This Row],[Name]]&amp;ContinuousStatsTable[[#This Row],[Type]]&amp;ContinuousStatsTable[[#This Row],[Source]]</f>
        <v>Unnamed Projectseize_assembler.QueueNumber WaitingQueue</v>
      </c>
      <c r="N677" s="5">
        <f t="array" ref="N677">MAX(IF((ProjectInfoTable[ProjectName]=ContinuousStatsTable[[#This Row],[ProjectName]]),(ProjectInfoTable[ProjectName]=ContinuousStatsTable[[#This Row],[ProjectName]])*ProjectInfoTable[NumberOfReplications]))</f>
        <v>15</v>
      </c>
      <c r="O677" s="5">
        <f t="array" ref="O677">IFERROR(AVERAGE(IF((ContinuousStatsTable[GroupByKey]=ContinuousStatsTable[[#This Row],[GroupByKey]]),(ContinuousStatsTable[GroupByKey]=ContinuousStatsTable[[#This Row],[GroupByKey]])*ContinuousStatsTable[Average])),0)</f>
        <v>0</v>
      </c>
      <c r="P677" s="5">
        <f t="array" ref="P677">IFERROR(_xlfn.STDEV.S(IF((ContinuousStatsTable[GroupByKey]=ContinuousStatsTable[[#This Row],[GroupByKey]]),(ContinuousStatsTable[GroupByKey]=ContinuousStatsTable[[#This Row],[GroupByKey]])*ContinuousStatsTable[Average])),0)</f>
        <v>0</v>
      </c>
      <c r="Q677" s="5">
        <f t="array" ref="Q677">MAX(IF((ProjectInfoTable[ProjectName]=ContinuousStatsTable[[#This Row],[ProjectName]]),(ProjectInfoTable[ProjectName]=ContinuousStatsTable[[#This Row],[ProjectName]])*ProjectInfoTable[ConfidenceInterval]))</f>
        <v>0.95</v>
      </c>
      <c r="R6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77" s="5">
        <f t="array" ref="S677">MIN(IF((ContinuousStatsTable[GroupByKey]=ContinuousStatsTable[[#This Row],[GroupByKey]]),(ContinuousStatsTable[GroupByKey]=ContinuousStatsTable[[#This Row],[GroupByKey]])*ContinuousStatsTable[Average]))</f>
        <v>0</v>
      </c>
      <c r="T677" s="5">
        <f t="array" ref="T677">MAX(IF((ContinuousStatsTable[GroupByKey]=ContinuousStatsTable[[#This Row],[GroupByKey]]),(ContinuousStatsTable[GroupByKey]=ContinuousStatsTable[[#This Row],[GroupByKey]])*ContinuousStatsTable[Average]))</f>
        <v>0</v>
      </c>
      <c r="U677" s="5">
        <f>IF((ContinuousStatsTable[[#This Row],[RepsRequested]]&gt;1),ContinuousStatsTable[[#This Row],[HalfWidth]],ContinuousStatsTable[[#This Row],[BatchMeansHalfWidth]])</f>
        <v>0</v>
      </c>
    </row>
    <row r="678" spans="1:21" x14ac:dyDescent="0.25">
      <c r="A678" t="s">
        <v>67</v>
      </c>
      <c r="B678" t="s">
        <v>70</v>
      </c>
      <c r="C678">
        <v>15</v>
      </c>
      <c r="D678" t="s">
        <v>93</v>
      </c>
      <c r="E678" t="s">
        <v>84</v>
      </c>
      <c r="F678" t="s">
        <v>85</v>
      </c>
      <c r="G678">
        <v>0</v>
      </c>
      <c r="H678">
        <v>2E+20</v>
      </c>
      <c r="I678">
        <v>0</v>
      </c>
      <c r="J678">
        <v>0</v>
      </c>
      <c r="K678">
        <v>0</v>
      </c>
      <c r="L678">
        <v>0</v>
      </c>
      <c r="M678" s="5" t="str">
        <f>ContinuousStatsTable[[#This Row],[ProjectName]]&amp;ContinuousStatsTable[[#This Row],[Name]]&amp;ContinuousStatsTable[[#This Row],[Type]]&amp;ContinuousStatsTable[[#This Row],[Source]]</f>
        <v>Unnamed Projectseize_cutter.QueueNumber WaitingQueue</v>
      </c>
      <c r="N678" s="5">
        <f t="array" ref="N678">MAX(IF((ProjectInfoTable[ProjectName]=ContinuousStatsTable[[#This Row],[ProjectName]]),(ProjectInfoTable[ProjectName]=ContinuousStatsTable[[#This Row],[ProjectName]])*ProjectInfoTable[NumberOfReplications]))</f>
        <v>15</v>
      </c>
      <c r="O678" s="5">
        <f t="array" ref="O678">IFERROR(AVERAGE(IF((ContinuousStatsTable[GroupByKey]=ContinuousStatsTable[[#This Row],[GroupByKey]]),(ContinuousStatsTable[GroupByKey]=ContinuousStatsTable[[#This Row],[GroupByKey]])*ContinuousStatsTable[Average])),0)</f>
        <v>0</v>
      </c>
      <c r="P678" s="5">
        <f t="array" ref="P678">IFERROR(_xlfn.STDEV.S(IF((ContinuousStatsTable[GroupByKey]=ContinuousStatsTable[[#This Row],[GroupByKey]]),(ContinuousStatsTable[GroupByKey]=ContinuousStatsTable[[#This Row],[GroupByKey]])*ContinuousStatsTable[Average])),0)</f>
        <v>0</v>
      </c>
      <c r="Q678" s="5">
        <f t="array" ref="Q678">MAX(IF((ProjectInfoTable[ProjectName]=ContinuousStatsTable[[#This Row],[ProjectName]]),(ProjectInfoTable[ProjectName]=ContinuousStatsTable[[#This Row],[ProjectName]])*ProjectInfoTable[ConfidenceInterval]))</f>
        <v>0.95</v>
      </c>
      <c r="R6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78" s="5">
        <f t="array" ref="S678">MIN(IF((ContinuousStatsTable[GroupByKey]=ContinuousStatsTable[[#This Row],[GroupByKey]]),(ContinuousStatsTable[GroupByKey]=ContinuousStatsTable[[#This Row],[GroupByKey]])*ContinuousStatsTable[Average]))</f>
        <v>0</v>
      </c>
      <c r="T678" s="5">
        <f t="array" ref="T678">MAX(IF((ContinuousStatsTable[GroupByKey]=ContinuousStatsTable[[#This Row],[GroupByKey]]),(ContinuousStatsTable[GroupByKey]=ContinuousStatsTable[[#This Row],[GroupByKey]])*ContinuousStatsTable[Average]))</f>
        <v>0</v>
      </c>
      <c r="U678" s="5">
        <f>IF((ContinuousStatsTable[[#This Row],[RepsRequested]]&gt;1),ContinuousStatsTable[[#This Row],[HalfWidth]],ContinuousStatsTable[[#This Row],[BatchMeansHalfWidth]])</f>
        <v>0</v>
      </c>
    </row>
    <row r="679" spans="1:21" x14ac:dyDescent="0.25">
      <c r="A679" t="s">
        <v>67</v>
      </c>
      <c r="B679" t="s">
        <v>70</v>
      </c>
      <c r="C679">
        <v>15</v>
      </c>
      <c r="D679" t="s">
        <v>94</v>
      </c>
      <c r="E679" t="s">
        <v>84</v>
      </c>
      <c r="F679" t="s">
        <v>85</v>
      </c>
      <c r="G679">
        <v>0</v>
      </c>
      <c r="H679">
        <v>2E+20</v>
      </c>
      <c r="I679">
        <v>0</v>
      </c>
      <c r="J679">
        <v>0</v>
      </c>
      <c r="K679">
        <v>0</v>
      </c>
      <c r="L679">
        <v>0</v>
      </c>
      <c r="M679" s="5" t="str">
        <f>ContinuousStatsTable[[#This Row],[ProjectName]]&amp;ContinuousStatsTable[[#This Row],[Name]]&amp;ContinuousStatsTable[[#This Row],[Type]]&amp;ContinuousStatsTable[[#This Row],[Source]]</f>
        <v>Unnamed Projectseizeassemblyqcman.QueueNumber WaitingQueue</v>
      </c>
      <c r="N679" s="5">
        <f t="array" ref="N679">MAX(IF((ProjectInfoTable[ProjectName]=ContinuousStatsTable[[#This Row],[ProjectName]]),(ProjectInfoTable[ProjectName]=ContinuousStatsTable[[#This Row],[ProjectName]])*ProjectInfoTable[NumberOfReplications]))</f>
        <v>15</v>
      </c>
      <c r="O679" s="5">
        <f t="array" ref="O679">IFERROR(AVERAGE(IF((ContinuousStatsTable[GroupByKey]=ContinuousStatsTable[[#This Row],[GroupByKey]]),(ContinuousStatsTable[GroupByKey]=ContinuousStatsTable[[#This Row],[GroupByKey]])*ContinuousStatsTable[Average])),0)</f>
        <v>0</v>
      </c>
      <c r="P679" s="5">
        <f t="array" ref="P679">IFERROR(_xlfn.STDEV.S(IF((ContinuousStatsTable[GroupByKey]=ContinuousStatsTable[[#This Row],[GroupByKey]]),(ContinuousStatsTable[GroupByKey]=ContinuousStatsTable[[#This Row],[GroupByKey]])*ContinuousStatsTable[Average])),0)</f>
        <v>0</v>
      </c>
      <c r="Q679" s="5">
        <f t="array" ref="Q679">MAX(IF((ProjectInfoTable[ProjectName]=ContinuousStatsTable[[#This Row],[ProjectName]]),(ProjectInfoTable[ProjectName]=ContinuousStatsTable[[#This Row],[ProjectName]])*ProjectInfoTable[ConfidenceInterval]))</f>
        <v>0.95</v>
      </c>
      <c r="R6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79" s="5">
        <f t="array" ref="S679">MIN(IF((ContinuousStatsTable[GroupByKey]=ContinuousStatsTable[[#This Row],[GroupByKey]]),(ContinuousStatsTable[GroupByKey]=ContinuousStatsTable[[#This Row],[GroupByKey]])*ContinuousStatsTable[Average]))</f>
        <v>0</v>
      </c>
      <c r="T679" s="5">
        <f t="array" ref="T679">MAX(IF((ContinuousStatsTable[GroupByKey]=ContinuousStatsTable[[#This Row],[GroupByKey]]),(ContinuousStatsTable[GroupByKey]=ContinuousStatsTable[[#This Row],[GroupByKey]])*ContinuousStatsTable[Average]))</f>
        <v>0</v>
      </c>
      <c r="U679" s="5">
        <f>IF((ContinuousStatsTable[[#This Row],[RepsRequested]]&gt;1),ContinuousStatsTable[[#This Row],[HalfWidth]],ContinuousStatsTable[[#This Row],[BatchMeansHalfWidth]])</f>
        <v>0</v>
      </c>
    </row>
    <row r="680" spans="1:21" x14ac:dyDescent="0.25">
      <c r="A680" t="s">
        <v>67</v>
      </c>
      <c r="B680" t="s">
        <v>70</v>
      </c>
      <c r="C680">
        <v>15</v>
      </c>
      <c r="D680" t="s">
        <v>95</v>
      </c>
      <c r="E680" t="s">
        <v>84</v>
      </c>
      <c r="F680" t="s">
        <v>85</v>
      </c>
      <c r="G680">
        <v>0</v>
      </c>
      <c r="H680">
        <v>2E+20</v>
      </c>
      <c r="I680">
        <v>0</v>
      </c>
      <c r="J680">
        <v>0</v>
      </c>
      <c r="K680">
        <v>0</v>
      </c>
      <c r="L680">
        <v>0</v>
      </c>
      <c r="M680" s="5" t="str">
        <f>ContinuousStatsTable[[#This Row],[ProjectName]]&amp;ContinuousStatsTable[[#This Row],[Name]]&amp;ContinuousStatsTable[[#This Row],[Type]]&amp;ContinuousStatsTable[[#This Row],[Source]]</f>
        <v>Unnamed Projectseizecleaner.QueueNumber WaitingQueue</v>
      </c>
      <c r="N680" s="5">
        <f t="array" ref="N680">MAX(IF((ProjectInfoTable[ProjectName]=ContinuousStatsTable[[#This Row],[ProjectName]]),(ProjectInfoTable[ProjectName]=ContinuousStatsTable[[#This Row],[ProjectName]])*ProjectInfoTable[NumberOfReplications]))</f>
        <v>15</v>
      </c>
      <c r="O680" s="5">
        <f t="array" ref="O680">IFERROR(AVERAGE(IF((ContinuousStatsTable[GroupByKey]=ContinuousStatsTable[[#This Row],[GroupByKey]]),(ContinuousStatsTable[GroupByKey]=ContinuousStatsTable[[#This Row],[GroupByKey]])*ContinuousStatsTable[Average])),0)</f>
        <v>0</v>
      </c>
      <c r="P680" s="5">
        <f t="array" ref="P680">IFERROR(_xlfn.STDEV.S(IF((ContinuousStatsTable[GroupByKey]=ContinuousStatsTable[[#This Row],[GroupByKey]]),(ContinuousStatsTable[GroupByKey]=ContinuousStatsTable[[#This Row],[GroupByKey]])*ContinuousStatsTable[Average])),0)</f>
        <v>0</v>
      </c>
      <c r="Q680" s="5">
        <f t="array" ref="Q680">MAX(IF((ProjectInfoTable[ProjectName]=ContinuousStatsTable[[#This Row],[ProjectName]]),(ProjectInfoTable[ProjectName]=ContinuousStatsTable[[#This Row],[ProjectName]])*ProjectInfoTable[ConfidenceInterval]))</f>
        <v>0.95</v>
      </c>
      <c r="R6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0" s="5">
        <f t="array" ref="S680">MIN(IF((ContinuousStatsTable[GroupByKey]=ContinuousStatsTable[[#This Row],[GroupByKey]]),(ContinuousStatsTable[GroupByKey]=ContinuousStatsTable[[#This Row],[GroupByKey]])*ContinuousStatsTable[Average]))</f>
        <v>0</v>
      </c>
      <c r="T680" s="5">
        <f t="array" ref="T680">MAX(IF((ContinuousStatsTable[GroupByKey]=ContinuousStatsTable[[#This Row],[GroupByKey]]),(ContinuousStatsTable[GroupByKey]=ContinuousStatsTable[[#This Row],[GroupByKey]])*ContinuousStatsTable[Average]))</f>
        <v>0</v>
      </c>
      <c r="U680" s="5">
        <f>IF((ContinuousStatsTable[[#This Row],[RepsRequested]]&gt;1),ContinuousStatsTable[[#This Row],[HalfWidth]],ContinuousStatsTable[[#This Row],[BatchMeansHalfWidth]])</f>
        <v>0</v>
      </c>
    </row>
    <row r="681" spans="1:21" x14ac:dyDescent="0.25">
      <c r="A681" t="s">
        <v>67</v>
      </c>
      <c r="B681" t="s">
        <v>70</v>
      </c>
      <c r="C681">
        <v>15</v>
      </c>
      <c r="D681" t="s">
        <v>96</v>
      </c>
      <c r="E681" t="s">
        <v>84</v>
      </c>
      <c r="F681" t="s">
        <v>85</v>
      </c>
      <c r="G681">
        <v>0</v>
      </c>
      <c r="H681">
        <v>2E+20</v>
      </c>
      <c r="I681">
        <v>0</v>
      </c>
      <c r="J681">
        <v>0</v>
      </c>
      <c r="K681">
        <v>0</v>
      </c>
      <c r="L681">
        <v>0</v>
      </c>
      <c r="M681" s="5" t="str">
        <f>ContinuousStatsTable[[#This Row],[ProjectName]]&amp;ContinuousStatsTable[[#This Row],[Name]]&amp;ContinuousStatsTable[[#This Row],[Type]]&amp;ContinuousStatsTable[[#This Row],[Source]]</f>
        <v>Unnamed Projectseizepainter.QueueNumber WaitingQueue</v>
      </c>
      <c r="N681" s="5">
        <f t="array" ref="N681">MAX(IF((ProjectInfoTable[ProjectName]=ContinuousStatsTable[[#This Row],[ProjectName]]),(ProjectInfoTable[ProjectName]=ContinuousStatsTable[[#This Row],[ProjectName]])*ProjectInfoTable[NumberOfReplications]))</f>
        <v>15</v>
      </c>
      <c r="O681" s="5">
        <f t="array" ref="O681">IFERROR(AVERAGE(IF((ContinuousStatsTable[GroupByKey]=ContinuousStatsTable[[#This Row],[GroupByKey]]),(ContinuousStatsTable[GroupByKey]=ContinuousStatsTable[[#This Row],[GroupByKey]])*ContinuousStatsTable[Average])),0)</f>
        <v>0</v>
      </c>
      <c r="P681" s="5">
        <f t="array" ref="P681">IFERROR(_xlfn.STDEV.S(IF((ContinuousStatsTable[GroupByKey]=ContinuousStatsTable[[#This Row],[GroupByKey]]),(ContinuousStatsTable[GroupByKey]=ContinuousStatsTable[[#This Row],[GroupByKey]])*ContinuousStatsTable[Average])),0)</f>
        <v>0</v>
      </c>
      <c r="Q681" s="5">
        <f t="array" ref="Q681">MAX(IF((ProjectInfoTable[ProjectName]=ContinuousStatsTable[[#This Row],[ProjectName]]),(ProjectInfoTable[ProjectName]=ContinuousStatsTable[[#This Row],[ProjectName]])*ProjectInfoTable[ConfidenceInterval]))</f>
        <v>0.95</v>
      </c>
      <c r="R6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1" s="5">
        <f t="array" ref="S681">MIN(IF((ContinuousStatsTable[GroupByKey]=ContinuousStatsTable[[#This Row],[GroupByKey]]),(ContinuousStatsTable[GroupByKey]=ContinuousStatsTable[[#This Row],[GroupByKey]])*ContinuousStatsTable[Average]))</f>
        <v>0</v>
      </c>
      <c r="T681" s="5">
        <f t="array" ref="T681">MAX(IF((ContinuousStatsTable[GroupByKey]=ContinuousStatsTable[[#This Row],[GroupByKey]]),(ContinuousStatsTable[GroupByKey]=ContinuousStatsTable[[#This Row],[GroupByKey]])*ContinuousStatsTable[Average]))</f>
        <v>0</v>
      </c>
      <c r="U681" s="5">
        <f>IF((ContinuousStatsTable[[#This Row],[RepsRequested]]&gt;1),ContinuousStatsTable[[#This Row],[HalfWidth]],ContinuousStatsTable[[#This Row],[BatchMeansHalfWidth]])</f>
        <v>0</v>
      </c>
    </row>
    <row r="682" spans="1:21" x14ac:dyDescent="0.25">
      <c r="A682" t="s">
        <v>67</v>
      </c>
      <c r="B682" t="s">
        <v>70</v>
      </c>
      <c r="C682">
        <v>15</v>
      </c>
      <c r="D682" t="s">
        <v>97</v>
      </c>
      <c r="E682" t="s">
        <v>84</v>
      </c>
      <c r="F682" t="s">
        <v>85</v>
      </c>
      <c r="G682">
        <v>0</v>
      </c>
      <c r="H682">
        <v>2E+20</v>
      </c>
      <c r="I682">
        <v>0</v>
      </c>
      <c r="J682">
        <v>0</v>
      </c>
      <c r="K682">
        <v>0</v>
      </c>
      <c r="L682">
        <v>0</v>
      </c>
      <c r="M682" s="5" t="str">
        <f>ContinuousStatsTable[[#This Row],[ProjectName]]&amp;ContinuousStatsTable[[#This Row],[Name]]&amp;ContinuousStatsTable[[#This Row],[Type]]&amp;ContinuousStatsTable[[#This Row],[Source]]</f>
        <v>Unnamed Projectseizeqcman.QueueNumber WaitingQueue</v>
      </c>
      <c r="N682" s="5">
        <f t="array" ref="N682">MAX(IF((ProjectInfoTable[ProjectName]=ContinuousStatsTable[[#This Row],[ProjectName]]),(ProjectInfoTable[ProjectName]=ContinuousStatsTable[[#This Row],[ProjectName]])*ProjectInfoTable[NumberOfReplications]))</f>
        <v>15</v>
      </c>
      <c r="O682" s="5">
        <f t="array" ref="O682">IFERROR(AVERAGE(IF((ContinuousStatsTable[GroupByKey]=ContinuousStatsTable[[#This Row],[GroupByKey]]),(ContinuousStatsTable[GroupByKey]=ContinuousStatsTable[[#This Row],[GroupByKey]])*ContinuousStatsTable[Average])),0)</f>
        <v>0</v>
      </c>
      <c r="P682" s="5">
        <f t="array" ref="P682">IFERROR(_xlfn.STDEV.S(IF((ContinuousStatsTable[GroupByKey]=ContinuousStatsTable[[#This Row],[GroupByKey]]),(ContinuousStatsTable[GroupByKey]=ContinuousStatsTable[[#This Row],[GroupByKey]])*ContinuousStatsTable[Average])),0)</f>
        <v>0</v>
      </c>
      <c r="Q682" s="5">
        <f t="array" ref="Q682">MAX(IF((ProjectInfoTable[ProjectName]=ContinuousStatsTable[[#This Row],[ProjectName]]),(ProjectInfoTable[ProjectName]=ContinuousStatsTable[[#This Row],[ProjectName]])*ProjectInfoTable[ConfidenceInterval]))</f>
        <v>0.95</v>
      </c>
      <c r="R6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2" s="5">
        <f t="array" ref="S682">MIN(IF((ContinuousStatsTable[GroupByKey]=ContinuousStatsTable[[#This Row],[GroupByKey]]),(ContinuousStatsTable[GroupByKey]=ContinuousStatsTable[[#This Row],[GroupByKey]])*ContinuousStatsTable[Average]))</f>
        <v>0</v>
      </c>
      <c r="T682" s="5">
        <f t="array" ref="T682">MAX(IF((ContinuousStatsTable[GroupByKey]=ContinuousStatsTable[[#This Row],[GroupByKey]]),(ContinuousStatsTable[GroupByKey]=ContinuousStatsTable[[#This Row],[GroupByKey]])*ContinuousStatsTable[Average]))</f>
        <v>0</v>
      </c>
      <c r="U682" s="5">
        <f>IF((ContinuousStatsTable[[#This Row],[RepsRequested]]&gt;1),ContinuousStatsTable[[#This Row],[HalfWidth]],ContinuousStatsTable[[#This Row],[BatchMeansHalfWidth]])</f>
        <v>0</v>
      </c>
    </row>
    <row r="683" spans="1:21" x14ac:dyDescent="0.25">
      <c r="A683" t="s">
        <v>67</v>
      </c>
      <c r="B683" t="s">
        <v>70</v>
      </c>
      <c r="C683">
        <v>15</v>
      </c>
      <c r="D683" t="s">
        <v>98</v>
      </c>
      <c r="E683" t="s">
        <v>84</v>
      </c>
      <c r="F683" t="s">
        <v>85</v>
      </c>
      <c r="G683">
        <v>0</v>
      </c>
      <c r="H683">
        <v>2E+20</v>
      </c>
      <c r="I683">
        <v>0</v>
      </c>
      <c r="J683">
        <v>0</v>
      </c>
      <c r="K683">
        <v>0</v>
      </c>
      <c r="L683">
        <v>0</v>
      </c>
      <c r="M683" s="5" t="str">
        <f>ContinuousStatsTable[[#This Row],[ProjectName]]&amp;ContinuousStatsTable[[#This Row],[Name]]&amp;ContinuousStatsTable[[#This Row],[Type]]&amp;ContinuousStatsTable[[#This Row],[Source]]</f>
        <v>Unnamed Projectseizesandblaster.QueueNumber WaitingQueue</v>
      </c>
      <c r="N683" s="5">
        <f t="array" ref="N683">MAX(IF((ProjectInfoTable[ProjectName]=ContinuousStatsTable[[#This Row],[ProjectName]]),(ProjectInfoTable[ProjectName]=ContinuousStatsTable[[#This Row],[ProjectName]])*ProjectInfoTable[NumberOfReplications]))</f>
        <v>15</v>
      </c>
      <c r="O683" s="5">
        <f t="array" ref="O683">IFERROR(AVERAGE(IF((ContinuousStatsTable[GroupByKey]=ContinuousStatsTable[[#This Row],[GroupByKey]]),(ContinuousStatsTable[GroupByKey]=ContinuousStatsTable[[#This Row],[GroupByKey]])*ContinuousStatsTable[Average])),0)</f>
        <v>0</v>
      </c>
      <c r="P683" s="5">
        <f t="array" ref="P683">IFERROR(_xlfn.STDEV.S(IF((ContinuousStatsTable[GroupByKey]=ContinuousStatsTable[[#This Row],[GroupByKey]]),(ContinuousStatsTable[GroupByKey]=ContinuousStatsTable[[#This Row],[GroupByKey]])*ContinuousStatsTable[Average])),0)</f>
        <v>0</v>
      </c>
      <c r="Q683" s="5">
        <f t="array" ref="Q683">MAX(IF((ProjectInfoTable[ProjectName]=ContinuousStatsTable[[#This Row],[ProjectName]]),(ProjectInfoTable[ProjectName]=ContinuousStatsTable[[#This Row],[ProjectName]])*ProjectInfoTable[ConfidenceInterval]))</f>
        <v>0.95</v>
      </c>
      <c r="R6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3" s="5">
        <f t="array" ref="S683">MIN(IF((ContinuousStatsTable[GroupByKey]=ContinuousStatsTable[[#This Row],[GroupByKey]]),(ContinuousStatsTable[GroupByKey]=ContinuousStatsTable[[#This Row],[GroupByKey]])*ContinuousStatsTable[Average]))</f>
        <v>0</v>
      </c>
      <c r="T683" s="5">
        <f t="array" ref="T683">MAX(IF((ContinuousStatsTable[GroupByKey]=ContinuousStatsTable[[#This Row],[GroupByKey]]),(ContinuousStatsTable[GroupByKey]=ContinuousStatsTable[[#This Row],[GroupByKey]])*ContinuousStatsTable[Average]))</f>
        <v>0</v>
      </c>
      <c r="U683" s="5">
        <f>IF((ContinuousStatsTable[[#This Row],[RepsRequested]]&gt;1),ContinuousStatsTable[[#This Row],[HalfWidth]],ContinuousStatsTable[[#This Row],[BatchMeansHalfWidth]])</f>
        <v>0</v>
      </c>
    </row>
    <row r="684" spans="1:21" x14ac:dyDescent="0.25">
      <c r="A684" t="s">
        <v>67</v>
      </c>
      <c r="B684" t="s">
        <v>70</v>
      </c>
      <c r="C684">
        <v>15</v>
      </c>
      <c r="D684" t="s">
        <v>99</v>
      </c>
      <c r="E684" t="s">
        <v>84</v>
      </c>
      <c r="F684" t="s">
        <v>85</v>
      </c>
      <c r="G684">
        <v>0</v>
      </c>
      <c r="H684">
        <v>2E+20</v>
      </c>
      <c r="I684">
        <v>0</v>
      </c>
      <c r="J684">
        <v>0</v>
      </c>
      <c r="K684">
        <v>0</v>
      </c>
      <c r="L684">
        <v>0</v>
      </c>
      <c r="M684" s="5" t="str">
        <f>ContinuousStatsTable[[#This Row],[ProjectName]]&amp;ContinuousStatsTable[[#This Row],[Name]]&amp;ContinuousStatsTable[[#This Row],[Type]]&amp;ContinuousStatsTable[[#This Row],[Source]]</f>
        <v>Unnamed Projectseizewelder.QueueNumber WaitingQueue</v>
      </c>
      <c r="N684" s="5">
        <f t="array" ref="N684">MAX(IF((ProjectInfoTable[ProjectName]=ContinuousStatsTable[[#This Row],[ProjectName]]),(ProjectInfoTable[ProjectName]=ContinuousStatsTable[[#This Row],[ProjectName]])*ProjectInfoTable[NumberOfReplications]))</f>
        <v>15</v>
      </c>
      <c r="O684" s="5">
        <f t="array" ref="O684">IFERROR(AVERAGE(IF((ContinuousStatsTable[GroupByKey]=ContinuousStatsTable[[#This Row],[GroupByKey]]),(ContinuousStatsTable[GroupByKey]=ContinuousStatsTable[[#This Row],[GroupByKey]])*ContinuousStatsTable[Average])),0)</f>
        <v>0</v>
      </c>
      <c r="P684" s="5">
        <f t="array" ref="P684">IFERROR(_xlfn.STDEV.S(IF((ContinuousStatsTable[GroupByKey]=ContinuousStatsTable[[#This Row],[GroupByKey]]),(ContinuousStatsTable[GroupByKey]=ContinuousStatsTable[[#This Row],[GroupByKey]])*ContinuousStatsTable[Average])),0)</f>
        <v>0</v>
      </c>
      <c r="Q684" s="5">
        <f t="array" ref="Q684">MAX(IF((ProjectInfoTable[ProjectName]=ContinuousStatsTable[[#This Row],[ProjectName]]),(ProjectInfoTable[ProjectName]=ContinuousStatsTable[[#This Row],[ProjectName]])*ProjectInfoTable[ConfidenceInterval]))</f>
        <v>0.95</v>
      </c>
      <c r="R6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4" s="5">
        <f t="array" ref="S684">MIN(IF((ContinuousStatsTable[GroupByKey]=ContinuousStatsTable[[#This Row],[GroupByKey]]),(ContinuousStatsTable[GroupByKey]=ContinuousStatsTable[[#This Row],[GroupByKey]])*ContinuousStatsTable[Average]))</f>
        <v>0</v>
      </c>
      <c r="T684" s="5">
        <f t="array" ref="T684">MAX(IF((ContinuousStatsTable[GroupByKey]=ContinuousStatsTable[[#This Row],[GroupByKey]]),(ContinuousStatsTable[GroupByKey]=ContinuousStatsTable[[#This Row],[GroupByKey]])*ContinuousStatsTable[Average]))</f>
        <v>0</v>
      </c>
      <c r="U684" s="5">
        <f>IF((ContinuousStatsTable[[#This Row],[RepsRequested]]&gt;1),ContinuousStatsTable[[#This Row],[HalfWidth]],ContinuousStatsTable[[#This Row],[BatchMeansHalfWidth]])</f>
        <v>0</v>
      </c>
    </row>
    <row r="685" spans="1:21" x14ac:dyDescent="0.25">
      <c r="A685" t="s">
        <v>67</v>
      </c>
      <c r="B685" t="s">
        <v>70</v>
      </c>
      <c r="C685">
        <v>15</v>
      </c>
      <c r="D685" t="s">
        <v>100</v>
      </c>
      <c r="E685" t="s">
        <v>78</v>
      </c>
      <c r="F685" t="s">
        <v>79</v>
      </c>
      <c r="G685">
        <v>0</v>
      </c>
      <c r="H685">
        <v>2E+20</v>
      </c>
      <c r="I685">
        <v>0</v>
      </c>
      <c r="J685">
        <v>0</v>
      </c>
      <c r="K685">
        <v>0</v>
      </c>
      <c r="L685">
        <v>0</v>
      </c>
      <c r="M685" s="5" t="str">
        <f>ContinuousStatsTable[[#This Row],[ProjectName]]&amp;ContinuousStatsTable[[#This Row],[Name]]&amp;ContinuousStatsTable[[#This Row],[Type]]&amp;ContinuousStatsTable[[#This Row],[Source]]</f>
        <v>Unnamed ProjectsteelsheetWIPEntity</v>
      </c>
      <c r="N685" s="5">
        <f t="array" ref="N685">MAX(IF((ProjectInfoTable[ProjectName]=ContinuousStatsTable[[#This Row],[ProjectName]]),(ProjectInfoTable[ProjectName]=ContinuousStatsTable[[#This Row],[ProjectName]])*ProjectInfoTable[NumberOfReplications]))</f>
        <v>15</v>
      </c>
      <c r="O685" s="5">
        <f t="array" ref="O685">IFERROR(AVERAGE(IF((ContinuousStatsTable[GroupByKey]=ContinuousStatsTable[[#This Row],[GroupByKey]]),(ContinuousStatsTable[GroupByKey]=ContinuousStatsTable[[#This Row],[GroupByKey]])*ContinuousStatsTable[Average])),0)</f>
        <v>6.1333333333333337</v>
      </c>
      <c r="P685" s="5">
        <f t="array" ref="P685">IFERROR(_xlfn.STDEV.S(IF((ContinuousStatsTable[GroupByKey]=ContinuousStatsTable[[#This Row],[GroupByKey]]),(ContinuousStatsTable[GroupByKey]=ContinuousStatsTable[[#This Row],[GroupByKey]])*ContinuousStatsTable[Average])),0)</f>
        <v>5.3166405433005028</v>
      </c>
      <c r="Q685" s="5">
        <f t="array" ref="Q685">MAX(IF((ProjectInfoTable[ProjectName]=ContinuousStatsTable[[#This Row],[ProjectName]]),(ProjectInfoTable[ProjectName]=ContinuousStatsTable[[#This Row],[ProjectName]])*ProjectInfoTable[ConfidenceInterval]))</f>
        <v>0.95</v>
      </c>
      <c r="R6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2.944257396015229</v>
      </c>
      <c r="S685" s="5">
        <f t="array" ref="S685">MIN(IF((ContinuousStatsTable[GroupByKey]=ContinuousStatsTable[[#This Row],[GroupByKey]]),(ContinuousStatsTable[GroupByKey]=ContinuousStatsTable[[#This Row],[GroupByKey]])*ContinuousStatsTable[Average]))</f>
        <v>0</v>
      </c>
      <c r="T685" s="5">
        <f t="array" ref="T685">MAX(IF((ContinuousStatsTable[GroupByKey]=ContinuousStatsTable[[#This Row],[GroupByKey]]),(ContinuousStatsTable[GroupByKey]=ContinuousStatsTable[[#This Row],[GroupByKey]])*ContinuousStatsTable[Average]))</f>
        <v>16</v>
      </c>
      <c r="U685" s="5">
        <f>IF((ContinuousStatsTable[[#This Row],[RepsRequested]]&gt;1),ContinuousStatsTable[[#This Row],[HalfWidth]],ContinuousStatsTable[[#This Row],[BatchMeansHalfWidth]])</f>
        <v>2.944257396015229</v>
      </c>
    </row>
    <row r="686" spans="1:21" x14ac:dyDescent="0.25">
      <c r="A686" t="s">
        <v>67</v>
      </c>
      <c r="B686" t="s">
        <v>70</v>
      </c>
      <c r="C686">
        <v>15</v>
      </c>
      <c r="D686" t="s">
        <v>101</v>
      </c>
      <c r="E686" t="s">
        <v>72</v>
      </c>
      <c r="F686" t="s">
        <v>73</v>
      </c>
      <c r="G686">
        <v>0</v>
      </c>
      <c r="H686">
        <v>2E+20</v>
      </c>
      <c r="I686">
        <v>0</v>
      </c>
      <c r="J686">
        <v>0</v>
      </c>
      <c r="K686">
        <v>0</v>
      </c>
      <c r="L686">
        <v>0</v>
      </c>
      <c r="M686" s="5" t="str">
        <f>ContinuousStatsTable[[#This Row],[ProjectName]]&amp;ContinuousStatsTable[[#This Row],[Name]]&amp;ContinuousStatsTable[[#This Row],[Type]]&amp;ContinuousStatsTable[[#This Row],[Source]]</f>
        <v>Unnamed ProjectwelderInstantaneous UtilizationResource</v>
      </c>
      <c r="N686" s="5">
        <f t="array" ref="N686">MAX(IF((ProjectInfoTable[ProjectName]=ContinuousStatsTable[[#This Row],[ProjectName]]),(ProjectInfoTable[ProjectName]=ContinuousStatsTable[[#This Row],[ProjectName]])*ProjectInfoTable[NumberOfReplications]))</f>
        <v>15</v>
      </c>
      <c r="O686" s="5">
        <f t="array" ref="O686">IFERROR(AVERAGE(IF((ContinuousStatsTable[GroupByKey]=ContinuousStatsTable[[#This Row],[GroupByKey]]),(ContinuousStatsTable[GroupByKey]=ContinuousStatsTable[[#This Row],[GroupByKey]])*ContinuousStatsTable[Average])),0)</f>
        <v>0</v>
      </c>
      <c r="P686" s="5">
        <f t="array" ref="P686">IFERROR(_xlfn.STDEV.S(IF((ContinuousStatsTable[GroupByKey]=ContinuousStatsTable[[#This Row],[GroupByKey]]),(ContinuousStatsTable[GroupByKey]=ContinuousStatsTable[[#This Row],[GroupByKey]])*ContinuousStatsTable[Average])),0)</f>
        <v>0</v>
      </c>
      <c r="Q686" s="5">
        <f t="array" ref="Q686">MAX(IF((ProjectInfoTable[ProjectName]=ContinuousStatsTable[[#This Row],[ProjectName]]),(ProjectInfoTable[ProjectName]=ContinuousStatsTable[[#This Row],[ProjectName]])*ProjectInfoTable[ConfidenceInterval]))</f>
        <v>0.95</v>
      </c>
      <c r="R6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6" s="5">
        <f t="array" ref="S686">MIN(IF((ContinuousStatsTable[GroupByKey]=ContinuousStatsTable[[#This Row],[GroupByKey]]),(ContinuousStatsTable[GroupByKey]=ContinuousStatsTable[[#This Row],[GroupByKey]])*ContinuousStatsTable[Average]))</f>
        <v>0</v>
      </c>
      <c r="T686" s="5">
        <f t="array" ref="T686">MAX(IF((ContinuousStatsTable[GroupByKey]=ContinuousStatsTable[[#This Row],[GroupByKey]]),(ContinuousStatsTable[GroupByKey]=ContinuousStatsTable[[#This Row],[GroupByKey]])*ContinuousStatsTable[Average]))</f>
        <v>0</v>
      </c>
      <c r="U686" s="5">
        <f>IF((ContinuousStatsTable[[#This Row],[RepsRequested]]&gt;1),ContinuousStatsTable[[#This Row],[HalfWidth]],ContinuousStatsTable[[#This Row],[BatchMeansHalfWidth]])</f>
        <v>0</v>
      </c>
    </row>
    <row r="687" spans="1:21" x14ac:dyDescent="0.25">
      <c r="A687" t="s">
        <v>67</v>
      </c>
      <c r="B687" t="s">
        <v>70</v>
      </c>
      <c r="C687">
        <v>15</v>
      </c>
      <c r="D687" t="s">
        <v>101</v>
      </c>
      <c r="E687" t="s">
        <v>74</v>
      </c>
      <c r="F687" t="s">
        <v>73</v>
      </c>
      <c r="G687">
        <v>0</v>
      </c>
      <c r="H687">
        <v>2E+20</v>
      </c>
      <c r="I687">
        <v>0</v>
      </c>
      <c r="J687">
        <v>0</v>
      </c>
      <c r="K687">
        <v>0</v>
      </c>
      <c r="L687">
        <v>0</v>
      </c>
      <c r="M687" s="5" t="str">
        <f>ContinuousStatsTable[[#This Row],[ProjectName]]&amp;ContinuousStatsTable[[#This Row],[Name]]&amp;ContinuousStatsTable[[#This Row],[Type]]&amp;ContinuousStatsTable[[#This Row],[Source]]</f>
        <v>Unnamed ProjectwelderNumber BusyResource</v>
      </c>
      <c r="N687" s="5">
        <f t="array" ref="N687">MAX(IF((ProjectInfoTable[ProjectName]=ContinuousStatsTable[[#This Row],[ProjectName]]),(ProjectInfoTable[ProjectName]=ContinuousStatsTable[[#This Row],[ProjectName]])*ProjectInfoTable[NumberOfReplications]))</f>
        <v>15</v>
      </c>
      <c r="O687" s="5">
        <f t="array" ref="O687">IFERROR(AVERAGE(IF((ContinuousStatsTable[GroupByKey]=ContinuousStatsTable[[#This Row],[GroupByKey]]),(ContinuousStatsTable[GroupByKey]=ContinuousStatsTable[[#This Row],[GroupByKey]])*ContinuousStatsTable[Average])),0)</f>
        <v>0</v>
      </c>
      <c r="P687" s="5">
        <f t="array" ref="P687">IFERROR(_xlfn.STDEV.S(IF((ContinuousStatsTable[GroupByKey]=ContinuousStatsTable[[#This Row],[GroupByKey]]),(ContinuousStatsTable[GroupByKey]=ContinuousStatsTable[[#This Row],[GroupByKey]])*ContinuousStatsTable[Average])),0)</f>
        <v>0</v>
      </c>
      <c r="Q687" s="5">
        <f t="array" ref="Q687">MAX(IF((ProjectInfoTable[ProjectName]=ContinuousStatsTable[[#This Row],[ProjectName]]),(ProjectInfoTable[ProjectName]=ContinuousStatsTable[[#This Row],[ProjectName]])*ProjectInfoTable[ConfidenceInterval]))</f>
        <v>0.95</v>
      </c>
      <c r="R6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7" s="5">
        <f t="array" ref="S687">MIN(IF((ContinuousStatsTable[GroupByKey]=ContinuousStatsTable[[#This Row],[GroupByKey]]),(ContinuousStatsTable[GroupByKey]=ContinuousStatsTable[[#This Row],[GroupByKey]])*ContinuousStatsTable[Average]))</f>
        <v>0</v>
      </c>
      <c r="T687" s="5">
        <f t="array" ref="T687">MAX(IF((ContinuousStatsTable[GroupByKey]=ContinuousStatsTable[[#This Row],[GroupByKey]]),(ContinuousStatsTable[GroupByKey]=ContinuousStatsTable[[#This Row],[GroupByKey]])*ContinuousStatsTable[Average]))</f>
        <v>0</v>
      </c>
      <c r="U687" s="5">
        <f>IF((ContinuousStatsTable[[#This Row],[RepsRequested]]&gt;1),ContinuousStatsTable[[#This Row],[HalfWidth]],ContinuousStatsTable[[#This Row],[BatchMeansHalfWidth]])</f>
        <v>0</v>
      </c>
    </row>
    <row r="688" spans="1:21" x14ac:dyDescent="0.25">
      <c r="A688" t="s">
        <v>67</v>
      </c>
      <c r="B688" t="s">
        <v>70</v>
      </c>
      <c r="C688">
        <v>15</v>
      </c>
      <c r="D688" t="s">
        <v>101</v>
      </c>
      <c r="E688" t="s">
        <v>75</v>
      </c>
      <c r="F688" t="s">
        <v>73</v>
      </c>
      <c r="G688">
        <v>1</v>
      </c>
      <c r="H688">
        <v>2E+20</v>
      </c>
      <c r="I688">
        <v>1</v>
      </c>
      <c r="J688">
        <v>1</v>
      </c>
      <c r="K688">
        <v>1</v>
      </c>
      <c r="L688">
        <v>0</v>
      </c>
      <c r="M688" s="5" t="str">
        <f>ContinuousStatsTable[[#This Row],[ProjectName]]&amp;ContinuousStatsTable[[#This Row],[Name]]&amp;ContinuousStatsTable[[#This Row],[Type]]&amp;ContinuousStatsTable[[#This Row],[Source]]</f>
        <v>Unnamed ProjectwelderNumber ScheduledResource</v>
      </c>
      <c r="N688" s="5">
        <f t="array" ref="N688">MAX(IF((ProjectInfoTable[ProjectName]=ContinuousStatsTable[[#This Row],[ProjectName]]),(ProjectInfoTable[ProjectName]=ContinuousStatsTable[[#This Row],[ProjectName]])*ProjectInfoTable[NumberOfReplications]))</f>
        <v>15</v>
      </c>
      <c r="O688" s="5">
        <f t="array" ref="O688">IFERROR(AVERAGE(IF((ContinuousStatsTable[GroupByKey]=ContinuousStatsTable[[#This Row],[GroupByKey]]),(ContinuousStatsTable[GroupByKey]=ContinuousStatsTable[[#This Row],[GroupByKey]])*ContinuousStatsTable[Average])),0)</f>
        <v>1.5334531146777051</v>
      </c>
      <c r="P688" s="5">
        <f t="array" ref="P688">IFERROR(_xlfn.STDEV.S(IF((ContinuousStatsTable[GroupByKey]=ContinuousStatsTable[[#This Row],[GroupByKey]]),(ContinuousStatsTable[GroupByKey]=ContinuousStatsTable[[#This Row],[GroupByKey]])*ContinuousStatsTable[Average])),0)</f>
        <v>0.24154952363702747</v>
      </c>
      <c r="Q688" s="5">
        <f t="array" ref="Q688">MAX(IF((ProjectInfoTable[ProjectName]=ContinuousStatsTable[[#This Row],[ProjectName]]),(ProjectInfoTable[ProjectName]=ContinuousStatsTable[[#This Row],[ProjectName]])*ProjectInfoTable[ConfidenceInterval]))</f>
        <v>0.95</v>
      </c>
      <c r="R6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0.13376566756397254</v>
      </c>
      <c r="S688" s="5">
        <f t="array" ref="S688">MIN(IF((ContinuousStatsTable[GroupByKey]=ContinuousStatsTable[[#This Row],[GroupByKey]]),(ContinuousStatsTable[GroupByKey]=ContinuousStatsTable[[#This Row],[GroupByKey]])*ContinuousStatsTable[Average]))</f>
        <v>1</v>
      </c>
      <c r="T688" s="5">
        <f t="array" ref="T688">MAX(IF((ContinuousStatsTable[GroupByKey]=ContinuousStatsTable[[#This Row],[GroupByKey]]),(ContinuousStatsTable[GroupByKey]=ContinuousStatsTable[[#This Row],[GroupByKey]])*ContinuousStatsTable[Average]))</f>
        <v>2</v>
      </c>
      <c r="U688" s="5">
        <f>IF((ContinuousStatsTable[[#This Row],[RepsRequested]]&gt;1),ContinuousStatsTable[[#This Row],[HalfWidth]],ContinuousStatsTable[[#This Row],[BatchMeansHalfWidth]])</f>
        <v>0.13376566756397254</v>
      </c>
    </row>
    <row r="689" spans="1:21" x14ac:dyDescent="0.25">
      <c r="A689" t="s">
        <v>67</v>
      </c>
      <c r="B689" t="s">
        <v>70</v>
      </c>
      <c r="C689">
        <v>15</v>
      </c>
      <c r="D689" t="s">
        <v>102</v>
      </c>
      <c r="E689" t="s">
        <v>72</v>
      </c>
      <c r="F689" t="s">
        <v>73</v>
      </c>
      <c r="G689">
        <v>0</v>
      </c>
      <c r="H689">
        <v>2E+20</v>
      </c>
      <c r="I689">
        <v>0</v>
      </c>
      <c r="J689">
        <v>0</v>
      </c>
      <c r="K689">
        <v>0</v>
      </c>
      <c r="L689">
        <v>0</v>
      </c>
      <c r="M689" s="5" t="str">
        <f>ContinuousStatsTable[[#This Row],[ProjectName]]&amp;ContinuousStatsTable[[#This Row],[Name]]&amp;ContinuousStatsTable[[#This Row],[Type]]&amp;ContinuousStatsTable[[#This Row],[Source]]</f>
        <v>Unnamed ProjectweldingqcworkerInstantaneous UtilizationResource</v>
      </c>
      <c r="N689" s="5">
        <f t="array" ref="N689">MAX(IF((ProjectInfoTable[ProjectName]=ContinuousStatsTable[[#This Row],[ProjectName]]),(ProjectInfoTable[ProjectName]=ContinuousStatsTable[[#This Row],[ProjectName]])*ProjectInfoTable[NumberOfReplications]))</f>
        <v>15</v>
      </c>
      <c r="O689" s="5">
        <f t="array" ref="O689">IFERROR(AVERAGE(IF((ContinuousStatsTable[GroupByKey]=ContinuousStatsTable[[#This Row],[GroupByKey]]),(ContinuousStatsTable[GroupByKey]=ContinuousStatsTable[[#This Row],[GroupByKey]])*ContinuousStatsTable[Average])),0)</f>
        <v>0</v>
      </c>
      <c r="P689" s="5">
        <f t="array" ref="P689">IFERROR(_xlfn.STDEV.S(IF((ContinuousStatsTable[GroupByKey]=ContinuousStatsTable[[#This Row],[GroupByKey]]),(ContinuousStatsTable[GroupByKey]=ContinuousStatsTable[[#This Row],[GroupByKey]])*ContinuousStatsTable[Average])),0)</f>
        <v>0</v>
      </c>
      <c r="Q689" s="5">
        <f t="array" ref="Q689">MAX(IF((ProjectInfoTable[ProjectName]=ContinuousStatsTable[[#This Row],[ProjectName]]),(ProjectInfoTable[ProjectName]=ContinuousStatsTable[[#This Row],[ProjectName]])*ProjectInfoTable[ConfidenceInterval]))</f>
        <v>0.95</v>
      </c>
      <c r="R6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9" s="5">
        <f t="array" ref="S689">MIN(IF((ContinuousStatsTable[GroupByKey]=ContinuousStatsTable[[#This Row],[GroupByKey]]),(ContinuousStatsTable[GroupByKey]=ContinuousStatsTable[[#This Row],[GroupByKey]])*ContinuousStatsTable[Average]))</f>
        <v>0</v>
      </c>
      <c r="T689" s="5">
        <f t="array" ref="T689">MAX(IF((ContinuousStatsTable[GroupByKey]=ContinuousStatsTable[[#This Row],[GroupByKey]]),(ContinuousStatsTable[GroupByKey]=ContinuousStatsTable[[#This Row],[GroupByKey]])*ContinuousStatsTable[Average]))</f>
        <v>0</v>
      </c>
      <c r="U689" s="5">
        <f>IF((ContinuousStatsTable[[#This Row],[RepsRequested]]&gt;1),ContinuousStatsTable[[#This Row],[HalfWidth]],ContinuousStatsTable[[#This Row],[BatchMeansHalfWidth]])</f>
        <v>0</v>
      </c>
    </row>
    <row r="690" spans="1:21" x14ac:dyDescent="0.25">
      <c r="A690" t="s">
        <v>67</v>
      </c>
      <c r="B690" t="s">
        <v>70</v>
      </c>
      <c r="C690">
        <v>15</v>
      </c>
      <c r="D690" t="s">
        <v>102</v>
      </c>
      <c r="E690" t="s">
        <v>74</v>
      </c>
      <c r="F690" t="s">
        <v>73</v>
      </c>
      <c r="G690">
        <v>0</v>
      </c>
      <c r="H690">
        <v>2E+20</v>
      </c>
      <c r="I690">
        <v>0</v>
      </c>
      <c r="J690">
        <v>0</v>
      </c>
      <c r="K690">
        <v>0</v>
      </c>
      <c r="L690">
        <v>0</v>
      </c>
      <c r="M690" s="5" t="str">
        <f>ContinuousStatsTable[[#This Row],[ProjectName]]&amp;ContinuousStatsTable[[#This Row],[Name]]&amp;ContinuousStatsTable[[#This Row],[Type]]&amp;ContinuousStatsTable[[#This Row],[Source]]</f>
        <v>Unnamed ProjectweldingqcworkerNumber BusyResource</v>
      </c>
      <c r="N690" s="5">
        <f t="array" ref="N690">MAX(IF((ProjectInfoTable[ProjectName]=ContinuousStatsTable[[#This Row],[ProjectName]]),(ProjectInfoTable[ProjectName]=ContinuousStatsTable[[#This Row],[ProjectName]])*ProjectInfoTable[NumberOfReplications]))</f>
        <v>15</v>
      </c>
      <c r="O690" s="5">
        <f t="array" ref="O690">IFERROR(AVERAGE(IF((ContinuousStatsTable[GroupByKey]=ContinuousStatsTable[[#This Row],[GroupByKey]]),(ContinuousStatsTable[GroupByKey]=ContinuousStatsTable[[#This Row],[GroupByKey]])*ContinuousStatsTable[Average])),0)</f>
        <v>0</v>
      </c>
      <c r="P690" s="5">
        <f t="array" ref="P690">IFERROR(_xlfn.STDEV.S(IF((ContinuousStatsTable[GroupByKey]=ContinuousStatsTable[[#This Row],[GroupByKey]]),(ContinuousStatsTable[GroupByKey]=ContinuousStatsTable[[#This Row],[GroupByKey]])*ContinuousStatsTable[Average])),0)</f>
        <v>0</v>
      </c>
      <c r="Q690" s="5">
        <f t="array" ref="Q690">MAX(IF((ProjectInfoTable[ProjectName]=ContinuousStatsTable[[#This Row],[ProjectName]]),(ProjectInfoTable[ProjectName]=ContinuousStatsTable[[#This Row],[ProjectName]])*ProjectInfoTable[ConfidenceInterval]))</f>
        <v>0.95</v>
      </c>
      <c r="R6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90" s="5">
        <f t="array" ref="S690">MIN(IF((ContinuousStatsTable[GroupByKey]=ContinuousStatsTable[[#This Row],[GroupByKey]]),(ContinuousStatsTable[GroupByKey]=ContinuousStatsTable[[#This Row],[GroupByKey]])*ContinuousStatsTable[Average]))</f>
        <v>0</v>
      </c>
      <c r="T690" s="5">
        <f t="array" ref="T690">MAX(IF((ContinuousStatsTable[GroupByKey]=ContinuousStatsTable[[#This Row],[GroupByKey]]),(ContinuousStatsTable[GroupByKey]=ContinuousStatsTable[[#This Row],[GroupByKey]])*ContinuousStatsTable[Average]))</f>
        <v>0</v>
      </c>
      <c r="U690" s="5">
        <f>IF((ContinuousStatsTable[[#This Row],[RepsRequested]]&gt;1),ContinuousStatsTable[[#This Row],[HalfWidth]],ContinuousStatsTable[[#This Row],[BatchMeansHalfWidth]])</f>
        <v>0</v>
      </c>
    </row>
    <row r="691" spans="1:21" x14ac:dyDescent="0.25">
      <c r="A691" t="s">
        <v>67</v>
      </c>
      <c r="B691" t="s">
        <v>70</v>
      </c>
      <c r="C691">
        <v>15</v>
      </c>
      <c r="D691" t="s">
        <v>102</v>
      </c>
      <c r="E691" t="s">
        <v>75</v>
      </c>
      <c r="F691" t="s">
        <v>73</v>
      </c>
      <c r="G691">
        <v>1</v>
      </c>
      <c r="H691">
        <v>2E+20</v>
      </c>
      <c r="I691">
        <v>1</v>
      </c>
      <c r="J691">
        <v>1</v>
      </c>
      <c r="K691">
        <v>1</v>
      </c>
      <c r="L691">
        <v>0</v>
      </c>
      <c r="M691" s="5" t="str">
        <f>ContinuousStatsTable[[#This Row],[ProjectName]]&amp;ContinuousStatsTable[[#This Row],[Name]]&amp;ContinuousStatsTable[[#This Row],[Type]]&amp;ContinuousStatsTable[[#This Row],[Source]]</f>
        <v>Unnamed ProjectweldingqcworkerNumber ScheduledResource</v>
      </c>
      <c r="N691" s="5">
        <f t="array" ref="N691">MAX(IF((ProjectInfoTable[ProjectName]=ContinuousStatsTable[[#This Row],[ProjectName]]),(ProjectInfoTable[ProjectName]=ContinuousStatsTable[[#This Row],[ProjectName]])*ProjectInfoTable[NumberOfReplications]))</f>
        <v>15</v>
      </c>
      <c r="O691" s="5">
        <f t="array" ref="O691">IFERROR(AVERAGE(IF((ContinuousStatsTable[GroupByKey]=ContinuousStatsTable[[#This Row],[GroupByKey]]),(ContinuousStatsTable[GroupByKey]=ContinuousStatsTable[[#This Row],[GroupByKey]])*ContinuousStatsTable[Average])),0)</f>
        <v>1.5334635492504263</v>
      </c>
      <c r="P691" s="5">
        <f t="array" ref="P691">IFERROR(_xlfn.STDEV.S(IF((ContinuousStatsTable[GroupByKey]=ContinuousStatsTable[[#This Row],[GroupByKey]]),(ContinuousStatsTable[GroupByKey]=ContinuousStatsTable[[#This Row],[GroupByKey]])*ContinuousStatsTable[Average])),0)</f>
        <v>0.24155183649982462</v>
      </c>
      <c r="Q691" s="5">
        <f t="array" ref="Q691">MAX(IF((ProjectInfoTable[ProjectName]=ContinuousStatsTable[[#This Row],[ProjectName]]),(ProjectInfoTable[ProjectName]=ContinuousStatsTable[[#This Row],[ProjectName]])*ProjectInfoTable[ConfidenceInterval]))</f>
        <v>0.95</v>
      </c>
      <c r="R6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0.1337669483846978</v>
      </c>
      <c r="S691" s="5">
        <f t="array" ref="S691">MIN(IF((ContinuousStatsTable[GroupByKey]=ContinuousStatsTable[[#This Row],[GroupByKey]]),(ContinuousStatsTable[GroupByKey]=ContinuousStatsTable[[#This Row],[GroupByKey]])*ContinuousStatsTable[Average]))</f>
        <v>1</v>
      </c>
      <c r="T691" s="5">
        <f t="array" ref="T691">MAX(IF((ContinuousStatsTable[GroupByKey]=ContinuousStatsTable[[#This Row],[GroupByKey]]),(ContinuousStatsTable[GroupByKey]=ContinuousStatsTable[[#This Row],[GroupByKey]])*ContinuousStatsTable[Average]))</f>
        <v>2</v>
      </c>
      <c r="U691" s="5">
        <f>IF((ContinuousStatsTable[[#This Row],[RepsRequested]]&gt;1),ContinuousStatsTable[[#This Row],[HalfWidth]],ContinuousStatsTable[[#This Row],[BatchMeansHalfWidth]])</f>
        <v>0.1337669483846978</v>
      </c>
    </row>
  </sheetData>
  <phoneticPr fontId="2" type="noConversion"/>
  <conditionalFormatting sqref="H2:H691">
    <cfRule type="expression" dxfId="31" priority="9">
      <formula>H2=200000000000000000000</formula>
    </cfRule>
  </conditionalFormatting>
  <conditionalFormatting sqref="H2:H691">
    <cfRule type="expression" dxfId="30" priority="7">
      <formula>H2=300000000000000000000</formula>
    </cfRule>
  </conditionalFormatting>
  <conditionalFormatting sqref="M2:U691">
    <cfRule type="expression" dxfId="29" priority="5">
      <formula>MOD(ROW(),2)=0</formula>
    </cfRule>
  </conditionalFormatting>
  <conditionalFormatting sqref="U2:U691">
    <cfRule type="expression" dxfId="28" priority="3">
      <formula>U2=200000000000000000000</formula>
    </cfRule>
    <cfRule type="expression" dxfId="27" priority="4">
      <formula>U2=300000000000000000000</formula>
    </cfRule>
  </conditionalFormatting>
  <conditionalFormatting sqref="R2:R691 U2:U691">
    <cfRule type="expression" dxfId="2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76"/>
  <sheetViews>
    <sheetView workbookViewId="0">
      <selection activeCell="G2" sqref="G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13.140625" bestFit="1" customWidth="1"/>
    <col min="5" max="5" width="7.5703125" bestFit="1" customWidth="1"/>
    <col min="6" max="6" width="13.85546875" bestFit="1" customWidth="1"/>
    <col min="7" max="7" width="17" bestFit="1" customWidth="1"/>
    <col min="8" max="8" width="47.57031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25">
      <c r="A2" t="s">
        <v>67</v>
      </c>
      <c r="B2" t="s">
        <v>70</v>
      </c>
      <c r="C2">
        <v>1</v>
      </c>
      <c r="D2" t="s">
        <v>103</v>
      </c>
      <c r="E2" t="s">
        <v>104</v>
      </c>
      <c r="F2" t="s">
        <v>105</v>
      </c>
      <c r="G2">
        <v>0</v>
      </c>
      <c r="H2" t="str">
        <f>CountersTable[[#This Row],[ProjectName]]&amp;CountersTable[[#This Row],[Name]]&amp;CountersTable[[#This Row],[Type]]&amp;CountersTable[[#This Row],[Source]]</f>
        <v>Unnamed Projectnum_cleanedCountUser Specified</v>
      </c>
      <c r="I2">
        <f t="array" ref="I2">MAX(IF((ProjectInfoTable[ProjectName]=CountersTable[[#This Row],[ProjectName]]),(ProjectInfoTable[ProjectName]=CountersTable[[#This Row],[ProjectName]])*ProjectInfoTable[NumberOfReplications]))</f>
        <v>15</v>
      </c>
      <c r="J2">
        <f t="array" ref="J2">IFERROR(AVERAGE(IF((CountersTable[GroupByKey]=CountersTable[[#This Row],[GroupByKey]]),(CountersTable[GroupByKey]=CountersTable[[#This Row],[GroupByKey]])*CountersTable[RecordedValue])),0)</f>
        <v>0</v>
      </c>
      <c r="K2">
        <f t="array" ref="K2">IFERROR(_xlfn.STDEV.S(IF((CountersTable[GroupByKey]=CountersTable[[#This Row],[GroupByKey]]),(CountersTable[GroupByKey]=CountersTable[[#This Row],[GroupByKey]])*CountersTable[RecordedValue])),0)</f>
        <v>0</v>
      </c>
      <c r="L2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2">
        <f t="array" ref="N2">MIN(IF((CountersTable[GroupByKey]=CountersTable[[#This Row],[GroupByKey]]),(CountersTable[GroupByKey]=CountersTable[[#This Row],[GroupByKey]])*CountersTable[RecordedValue]))</f>
        <v>0</v>
      </c>
      <c r="O2">
        <f t="array" ref="O2">MAX(IF((CountersTable[GroupByKey]=CountersTable[[#This Row],[GroupByKey]]),(CountersTable[GroupByKey]=CountersTable[[#This Row],[GroupByKey]])*CountersTable[RecordedValue]))</f>
        <v>0</v>
      </c>
    </row>
    <row r="3" spans="1:15" x14ac:dyDescent="0.25">
      <c r="A3" t="s">
        <v>67</v>
      </c>
      <c r="B3" t="s">
        <v>70</v>
      </c>
      <c r="C3">
        <v>1</v>
      </c>
      <c r="D3" t="s">
        <v>106</v>
      </c>
      <c r="E3" t="s">
        <v>104</v>
      </c>
      <c r="F3" t="s">
        <v>105</v>
      </c>
      <c r="G3">
        <v>0</v>
      </c>
      <c r="H3" t="str">
        <f>CountersTable[[#This Row],[ProjectName]]&amp;CountersTable[[#This Row],[Name]]&amp;CountersTable[[#This Row],[Type]]&amp;CountersTable[[#This Row],[Source]]</f>
        <v>Unnamed ProjectpaintedCountUser Specified</v>
      </c>
      <c r="I3">
        <f t="array" ref="I3">MAX(IF((ProjectInfoTable[ProjectName]=CountersTable[[#This Row],[ProjectName]]),(ProjectInfoTable[ProjectName]=CountersTable[[#This Row],[ProjectName]])*ProjectInfoTable[NumberOfReplications]))</f>
        <v>15</v>
      </c>
      <c r="J3">
        <f t="array" ref="J3">IFERROR(AVERAGE(IF((CountersTable[GroupByKey]=CountersTable[[#This Row],[GroupByKey]]),(CountersTable[GroupByKey]=CountersTable[[#This Row],[GroupByKey]])*CountersTable[RecordedValue])),0)</f>
        <v>0</v>
      </c>
      <c r="K3">
        <f t="array" ref="K3">IFERROR(_xlfn.STDEV.S(IF((CountersTable[GroupByKey]=CountersTable[[#This Row],[GroupByKey]]),(CountersTable[GroupByKey]=CountersTable[[#This Row],[GroupByKey]])*CountersTable[RecordedValue])),0)</f>
        <v>0</v>
      </c>
      <c r="L3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3">
        <f t="array" ref="N3">MIN(IF((CountersTable[GroupByKey]=CountersTable[[#This Row],[GroupByKey]]),(CountersTable[GroupByKey]=CountersTable[[#This Row],[GroupByKey]])*CountersTable[RecordedValue]))</f>
        <v>0</v>
      </c>
      <c r="O3">
        <f t="array" ref="O3">MAX(IF((CountersTable[GroupByKey]=CountersTable[[#This Row],[GroupByKey]]),(CountersTable[GroupByKey]=CountersTable[[#This Row],[GroupByKey]])*CountersTable[RecordedValue]))</f>
        <v>0</v>
      </c>
    </row>
    <row r="4" spans="1:15" x14ac:dyDescent="0.25">
      <c r="A4" t="s">
        <v>67</v>
      </c>
      <c r="B4" t="s">
        <v>70</v>
      </c>
      <c r="C4">
        <v>1</v>
      </c>
      <c r="D4" t="s">
        <v>107</v>
      </c>
      <c r="E4" t="s">
        <v>104</v>
      </c>
      <c r="F4" t="s">
        <v>105</v>
      </c>
      <c r="G4">
        <v>0</v>
      </c>
      <c r="H4" t="str">
        <f>CountersTable[[#This Row],[ProjectName]]&amp;CountersTable[[#This Row],[Name]]&amp;CountersTable[[#This Row],[Type]]&amp;CountersTable[[#This Row],[Source]]</f>
        <v>Unnamed ProjectqcapprovedCountUser Specified</v>
      </c>
      <c r="I4">
        <f t="array" ref="I4">MAX(IF((ProjectInfoTable[ProjectName]=CountersTable[[#This Row],[ProjectName]]),(ProjectInfoTable[ProjectName]=CountersTable[[#This Row],[ProjectName]])*ProjectInfoTable[NumberOfReplications]))</f>
        <v>15</v>
      </c>
      <c r="J4">
        <f t="array" ref="J4">IFERROR(AVERAGE(IF((CountersTable[GroupByKey]=CountersTable[[#This Row],[GroupByKey]]),(CountersTable[GroupByKey]=CountersTable[[#This Row],[GroupByKey]])*CountersTable[RecordedValue])),0)</f>
        <v>0</v>
      </c>
      <c r="K4">
        <f t="array" ref="K4">IFERROR(_xlfn.STDEV.S(IF((CountersTable[GroupByKey]=CountersTable[[#This Row],[GroupByKey]]),(CountersTable[GroupByKey]=CountersTable[[#This Row],[GroupByKey]])*CountersTable[RecordedValue])),0)</f>
        <v>0</v>
      </c>
      <c r="L4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4">
        <f t="array" ref="N4">MIN(IF((CountersTable[GroupByKey]=CountersTable[[#This Row],[GroupByKey]]),(CountersTable[GroupByKey]=CountersTable[[#This Row],[GroupByKey]])*CountersTable[RecordedValue]))</f>
        <v>0</v>
      </c>
      <c r="O4">
        <f t="array" ref="O4">MAX(IF((CountersTable[GroupByKey]=CountersTable[[#This Row],[GroupByKey]]),(CountersTable[GroupByKey]=CountersTable[[#This Row],[GroupByKey]])*CountersTable[RecordedValue]))</f>
        <v>0</v>
      </c>
    </row>
    <row r="5" spans="1:15" x14ac:dyDescent="0.25">
      <c r="A5" t="s">
        <v>67</v>
      </c>
      <c r="B5" t="s">
        <v>70</v>
      </c>
      <c r="C5">
        <v>1</v>
      </c>
      <c r="D5" t="s">
        <v>108</v>
      </c>
      <c r="E5" t="s">
        <v>104</v>
      </c>
      <c r="F5" t="s">
        <v>105</v>
      </c>
      <c r="G5">
        <v>0</v>
      </c>
      <c r="H5" t="str">
        <f>CountersTable[[#This Row],[ProjectName]]&amp;CountersTable[[#This Row],[Name]]&amp;CountersTable[[#This Row],[Type]]&amp;CountersTable[[#This Row],[Source]]</f>
        <v>Unnamed ProjectsandblastedCountUser Specified</v>
      </c>
      <c r="I5">
        <f t="array" ref="I5">MAX(IF((ProjectInfoTable[ProjectName]=CountersTable[[#This Row],[ProjectName]]),(ProjectInfoTable[ProjectName]=CountersTable[[#This Row],[ProjectName]])*ProjectInfoTable[NumberOfReplications]))</f>
        <v>15</v>
      </c>
      <c r="J5">
        <f t="array" ref="J5">IFERROR(AVERAGE(IF((CountersTable[GroupByKey]=CountersTable[[#This Row],[GroupByKey]]),(CountersTable[GroupByKey]=CountersTable[[#This Row],[GroupByKey]])*CountersTable[RecordedValue])),0)</f>
        <v>0</v>
      </c>
      <c r="K5">
        <f t="array" ref="K5">IFERROR(_xlfn.STDEV.S(IF((CountersTable[GroupByKey]=CountersTable[[#This Row],[GroupByKey]]),(CountersTable[GroupByKey]=CountersTable[[#This Row],[GroupByKey]])*CountersTable[RecordedValue])),0)</f>
        <v>0</v>
      </c>
      <c r="L5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5">
        <f t="array" ref="N5">MIN(IF((CountersTable[GroupByKey]=CountersTable[[#This Row],[GroupByKey]]),(CountersTable[GroupByKey]=CountersTable[[#This Row],[GroupByKey]])*CountersTable[RecordedValue]))</f>
        <v>0</v>
      </c>
      <c r="O5">
        <f t="array" ref="O5">MAX(IF((CountersTable[GroupByKey]=CountersTable[[#This Row],[GroupByKey]]),(CountersTable[GroupByKey]=CountersTable[[#This Row],[GroupByKey]])*CountersTable[RecordedValue]))</f>
        <v>0</v>
      </c>
    </row>
    <row r="6" spans="1:15" x14ac:dyDescent="0.25">
      <c r="A6" t="s">
        <v>67</v>
      </c>
      <c r="B6" t="s">
        <v>70</v>
      </c>
      <c r="C6">
        <v>1</v>
      </c>
      <c r="D6" t="s">
        <v>109</v>
      </c>
      <c r="E6" t="s">
        <v>104</v>
      </c>
      <c r="F6" t="s">
        <v>105</v>
      </c>
      <c r="G6">
        <v>0</v>
      </c>
      <c r="H6" t="str">
        <f>CountersTable[[#This Row],[ProjectName]]&amp;CountersTable[[#This Row],[Name]]&amp;CountersTable[[#This Row],[Type]]&amp;CountersTable[[#This Row],[Source]]</f>
        <v>Unnamed Projectsteel_arrivalsCountUser Specified</v>
      </c>
      <c r="I6">
        <f t="array" ref="I6">MAX(IF((ProjectInfoTable[ProjectName]=CountersTable[[#This Row],[ProjectName]]),(ProjectInfoTable[ProjectName]=CountersTable[[#This Row],[ProjectName]])*ProjectInfoTable[NumberOfReplications]))</f>
        <v>15</v>
      </c>
      <c r="J6">
        <f t="array" ref="J6">IFERROR(AVERAGE(IF((CountersTable[GroupByKey]=CountersTable[[#This Row],[GroupByKey]]),(CountersTable[GroupByKey]=CountersTable[[#This Row],[GroupByKey]])*CountersTable[RecordedValue])),0)</f>
        <v>0</v>
      </c>
      <c r="K6">
        <f t="array" ref="K6">IFERROR(_xlfn.STDEV.S(IF((CountersTable[GroupByKey]=CountersTable[[#This Row],[GroupByKey]]),(CountersTable[GroupByKey]=CountersTable[[#This Row],[GroupByKey]])*CountersTable[RecordedValue])),0)</f>
        <v>0</v>
      </c>
      <c r="L6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6">
        <f t="array" ref="N6">MIN(IF((CountersTable[GroupByKey]=CountersTable[[#This Row],[GroupByKey]]),(CountersTable[GroupByKey]=CountersTable[[#This Row],[GroupByKey]])*CountersTable[RecordedValue]))</f>
        <v>0</v>
      </c>
      <c r="O6">
        <f t="array" ref="O6">MAX(IF((CountersTable[GroupByKey]=CountersTable[[#This Row],[GroupByKey]]),(CountersTable[GroupByKey]=CountersTable[[#This Row],[GroupByKey]])*CountersTable[RecordedValue]))</f>
        <v>0</v>
      </c>
    </row>
    <row r="7" spans="1:15" x14ac:dyDescent="0.25">
      <c r="A7" t="s">
        <v>67</v>
      </c>
      <c r="B7" t="s">
        <v>70</v>
      </c>
      <c r="C7">
        <v>2</v>
      </c>
      <c r="D7" t="s">
        <v>103</v>
      </c>
      <c r="E7" t="s">
        <v>104</v>
      </c>
      <c r="F7" t="s">
        <v>105</v>
      </c>
      <c r="G7">
        <v>0</v>
      </c>
      <c r="H7" t="str">
        <f>CountersTable[[#This Row],[ProjectName]]&amp;CountersTable[[#This Row],[Name]]&amp;CountersTable[[#This Row],[Type]]&amp;CountersTable[[#This Row],[Source]]</f>
        <v>Unnamed Projectnum_cleanedCountUser Specified</v>
      </c>
      <c r="I7">
        <f t="array" ref="I7">MAX(IF((ProjectInfoTable[ProjectName]=CountersTable[[#This Row],[ProjectName]]),(ProjectInfoTable[ProjectName]=CountersTable[[#This Row],[ProjectName]])*ProjectInfoTable[NumberOfReplications]))</f>
        <v>15</v>
      </c>
      <c r="J7">
        <f t="array" ref="J7">IFERROR(AVERAGE(IF((CountersTable[GroupByKey]=CountersTable[[#This Row],[GroupByKey]]),(CountersTable[GroupByKey]=CountersTable[[#This Row],[GroupByKey]])*CountersTable[RecordedValue])),0)</f>
        <v>0</v>
      </c>
      <c r="K7">
        <f t="array" ref="K7">IFERROR(_xlfn.STDEV.S(IF((CountersTable[GroupByKey]=CountersTable[[#This Row],[GroupByKey]]),(CountersTable[GroupByKey]=CountersTable[[#This Row],[GroupByKey]])*CountersTable[RecordedValue])),0)</f>
        <v>0</v>
      </c>
      <c r="L7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7">
        <f t="array" ref="N7">MIN(IF((CountersTable[GroupByKey]=CountersTable[[#This Row],[GroupByKey]]),(CountersTable[GroupByKey]=CountersTable[[#This Row],[GroupByKey]])*CountersTable[RecordedValue]))</f>
        <v>0</v>
      </c>
      <c r="O7">
        <f t="array" ref="O7">MAX(IF((CountersTable[GroupByKey]=CountersTable[[#This Row],[GroupByKey]]),(CountersTable[GroupByKey]=CountersTable[[#This Row],[GroupByKey]])*CountersTable[RecordedValue]))</f>
        <v>0</v>
      </c>
    </row>
    <row r="8" spans="1:15" x14ac:dyDescent="0.25">
      <c r="A8" t="s">
        <v>67</v>
      </c>
      <c r="B8" t="s">
        <v>70</v>
      </c>
      <c r="C8">
        <v>2</v>
      </c>
      <c r="D8" t="s">
        <v>106</v>
      </c>
      <c r="E8" t="s">
        <v>104</v>
      </c>
      <c r="F8" t="s">
        <v>105</v>
      </c>
      <c r="G8">
        <v>0</v>
      </c>
      <c r="H8" t="str">
        <f>CountersTable[[#This Row],[ProjectName]]&amp;CountersTable[[#This Row],[Name]]&amp;CountersTable[[#This Row],[Type]]&amp;CountersTable[[#This Row],[Source]]</f>
        <v>Unnamed ProjectpaintedCountUser Specified</v>
      </c>
      <c r="I8">
        <f t="array" ref="I8">MAX(IF((ProjectInfoTable[ProjectName]=CountersTable[[#This Row],[ProjectName]]),(ProjectInfoTable[ProjectName]=CountersTable[[#This Row],[ProjectName]])*ProjectInfoTable[NumberOfReplications]))</f>
        <v>15</v>
      </c>
      <c r="J8">
        <f t="array" ref="J8">IFERROR(AVERAGE(IF((CountersTable[GroupByKey]=CountersTable[[#This Row],[GroupByKey]]),(CountersTable[GroupByKey]=CountersTable[[#This Row],[GroupByKey]])*CountersTable[RecordedValue])),0)</f>
        <v>0</v>
      </c>
      <c r="K8">
        <f t="array" ref="K8">IFERROR(_xlfn.STDEV.S(IF((CountersTable[GroupByKey]=CountersTable[[#This Row],[GroupByKey]]),(CountersTable[GroupByKey]=CountersTable[[#This Row],[GroupByKey]])*CountersTable[RecordedValue])),0)</f>
        <v>0</v>
      </c>
      <c r="L8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8">
        <f t="array" ref="N8">MIN(IF((CountersTable[GroupByKey]=CountersTable[[#This Row],[GroupByKey]]),(CountersTable[GroupByKey]=CountersTable[[#This Row],[GroupByKey]])*CountersTable[RecordedValue]))</f>
        <v>0</v>
      </c>
      <c r="O8">
        <f t="array" ref="O8">MAX(IF((CountersTable[GroupByKey]=CountersTable[[#This Row],[GroupByKey]]),(CountersTable[GroupByKey]=CountersTable[[#This Row],[GroupByKey]])*CountersTable[RecordedValue]))</f>
        <v>0</v>
      </c>
    </row>
    <row r="9" spans="1:15" x14ac:dyDescent="0.25">
      <c r="A9" t="s">
        <v>67</v>
      </c>
      <c r="B9" t="s">
        <v>70</v>
      </c>
      <c r="C9">
        <v>2</v>
      </c>
      <c r="D9" t="s">
        <v>107</v>
      </c>
      <c r="E9" t="s">
        <v>104</v>
      </c>
      <c r="F9" t="s">
        <v>105</v>
      </c>
      <c r="G9">
        <v>0</v>
      </c>
      <c r="H9" t="str">
        <f>CountersTable[[#This Row],[ProjectName]]&amp;CountersTable[[#This Row],[Name]]&amp;CountersTable[[#This Row],[Type]]&amp;CountersTable[[#This Row],[Source]]</f>
        <v>Unnamed ProjectqcapprovedCountUser Specified</v>
      </c>
      <c r="I9">
        <f t="array" ref="I9">MAX(IF((ProjectInfoTable[ProjectName]=CountersTable[[#This Row],[ProjectName]]),(ProjectInfoTable[ProjectName]=CountersTable[[#This Row],[ProjectName]])*ProjectInfoTable[NumberOfReplications]))</f>
        <v>15</v>
      </c>
      <c r="J9">
        <f t="array" ref="J9">IFERROR(AVERAGE(IF((CountersTable[GroupByKey]=CountersTable[[#This Row],[GroupByKey]]),(CountersTable[GroupByKey]=CountersTable[[#This Row],[GroupByKey]])*CountersTable[RecordedValue])),0)</f>
        <v>0</v>
      </c>
      <c r="K9">
        <f t="array" ref="K9">IFERROR(_xlfn.STDEV.S(IF((CountersTable[GroupByKey]=CountersTable[[#This Row],[GroupByKey]]),(CountersTable[GroupByKey]=CountersTable[[#This Row],[GroupByKey]])*CountersTable[RecordedValue])),0)</f>
        <v>0</v>
      </c>
      <c r="L9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9">
        <f t="array" ref="N9">MIN(IF((CountersTable[GroupByKey]=CountersTable[[#This Row],[GroupByKey]]),(CountersTable[GroupByKey]=CountersTable[[#This Row],[GroupByKey]])*CountersTable[RecordedValue]))</f>
        <v>0</v>
      </c>
      <c r="O9">
        <f t="array" ref="O9">MAX(IF((CountersTable[GroupByKey]=CountersTable[[#This Row],[GroupByKey]]),(CountersTable[GroupByKey]=CountersTable[[#This Row],[GroupByKey]])*CountersTable[RecordedValue]))</f>
        <v>0</v>
      </c>
    </row>
    <row r="10" spans="1:15" x14ac:dyDescent="0.25">
      <c r="A10" t="s">
        <v>67</v>
      </c>
      <c r="B10" t="s">
        <v>70</v>
      </c>
      <c r="C10">
        <v>2</v>
      </c>
      <c r="D10" t="s">
        <v>108</v>
      </c>
      <c r="E10" t="s">
        <v>104</v>
      </c>
      <c r="F10" t="s">
        <v>105</v>
      </c>
      <c r="G10">
        <v>0</v>
      </c>
      <c r="H10" t="str">
        <f>CountersTable[[#This Row],[ProjectName]]&amp;CountersTable[[#This Row],[Name]]&amp;CountersTable[[#This Row],[Type]]&amp;CountersTable[[#This Row],[Source]]</f>
        <v>Unnamed ProjectsandblastedCountUser Specified</v>
      </c>
      <c r="I10">
        <f t="array" ref="I10">MAX(IF((ProjectInfoTable[ProjectName]=CountersTable[[#This Row],[ProjectName]]),(ProjectInfoTable[ProjectName]=CountersTable[[#This Row],[ProjectName]])*ProjectInfoTable[NumberOfReplications]))</f>
        <v>15</v>
      </c>
      <c r="J10">
        <f t="array" ref="J10">IFERROR(AVERAGE(IF((CountersTable[GroupByKey]=CountersTable[[#This Row],[GroupByKey]]),(CountersTable[GroupByKey]=CountersTable[[#This Row],[GroupByKey]])*CountersTable[RecordedValue])),0)</f>
        <v>0</v>
      </c>
      <c r="K10">
        <f t="array" ref="K10">IFERROR(_xlfn.STDEV.S(IF((CountersTable[GroupByKey]=CountersTable[[#This Row],[GroupByKey]]),(CountersTable[GroupByKey]=CountersTable[[#This Row],[GroupByKey]])*CountersTable[RecordedValue])),0)</f>
        <v>0</v>
      </c>
      <c r="L10">
        <f t="array" ref="L10">MAX(IF((ProjectInfoTable[ProjectName]=CountersTable[[#This Row],[ProjectName]]),(ProjectInfoTable[ProjectName]=CountersTable[[#This Row],[ProjectName]])*ProjectInfoTable[ConfidenceInterval]))</f>
        <v>0.95</v>
      </c>
      <c r="M10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10">
        <f t="array" ref="N10">MIN(IF((CountersTable[GroupByKey]=CountersTable[[#This Row],[GroupByKey]]),(CountersTable[GroupByKey]=CountersTable[[#This Row],[GroupByKey]])*CountersTable[RecordedValue]))</f>
        <v>0</v>
      </c>
      <c r="O10">
        <f t="array" ref="O10">MAX(IF((CountersTable[GroupByKey]=CountersTable[[#This Row],[GroupByKey]]),(CountersTable[GroupByKey]=CountersTable[[#This Row],[GroupByKey]])*CountersTable[RecordedValue]))</f>
        <v>0</v>
      </c>
    </row>
    <row r="11" spans="1:15" x14ac:dyDescent="0.25">
      <c r="A11" t="s">
        <v>67</v>
      </c>
      <c r="B11" t="s">
        <v>70</v>
      </c>
      <c r="C11">
        <v>2</v>
      </c>
      <c r="D11" t="s">
        <v>109</v>
      </c>
      <c r="E11" t="s">
        <v>104</v>
      </c>
      <c r="F11" t="s">
        <v>105</v>
      </c>
      <c r="G11">
        <v>0</v>
      </c>
      <c r="H11" t="str">
        <f>CountersTable[[#This Row],[ProjectName]]&amp;CountersTable[[#This Row],[Name]]&amp;CountersTable[[#This Row],[Type]]&amp;CountersTable[[#This Row],[Source]]</f>
        <v>Unnamed Projectsteel_arrivalsCountUser Specified</v>
      </c>
      <c r="I11">
        <f t="array" ref="I11">MAX(IF((ProjectInfoTable[ProjectName]=CountersTable[[#This Row],[ProjectName]]),(ProjectInfoTable[ProjectName]=CountersTable[[#This Row],[ProjectName]])*ProjectInfoTable[NumberOfReplications]))</f>
        <v>15</v>
      </c>
      <c r="J11">
        <f t="array" ref="J11">IFERROR(AVERAGE(IF((CountersTable[GroupByKey]=CountersTable[[#This Row],[GroupByKey]]),(CountersTable[GroupByKey]=CountersTable[[#This Row],[GroupByKey]])*CountersTable[RecordedValue])),0)</f>
        <v>0</v>
      </c>
      <c r="K11">
        <f t="array" ref="K11">IFERROR(_xlfn.STDEV.S(IF((CountersTable[GroupByKey]=CountersTable[[#This Row],[GroupByKey]]),(CountersTable[GroupByKey]=CountersTable[[#This Row],[GroupByKey]])*CountersTable[RecordedValue])),0)</f>
        <v>0</v>
      </c>
      <c r="L11">
        <f t="array" ref="L11">MAX(IF((ProjectInfoTable[ProjectName]=CountersTable[[#This Row],[ProjectName]]),(ProjectInfoTable[ProjectName]=CountersTable[[#This Row],[ProjectName]])*ProjectInfoTable[ConfidenceInterval]))</f>
        <v>0.95</v>
      </c>
      <c r="M11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11">
        <f t="array" ref="N11">MIN(IF((CountersTable[GroupByKey]=CountersTable[[#This Row],[GroupByKey]]),(CountersTable[GroupByKey]=CountersTable[[#This Row],[GroupByKey]])*CountersTable[RecordedValue]))</f>
        <v>0</v>
      </c>
      <c r="O11">
        <f t="array" ref="O11">MAX(IF((CountersTable[GroupByKey]=CountersTable[[#This Row],[GroupByKey]]),(CountersTable[GroupByKey]=CountersTable[[#This Row],[GroupByKey]])*CountersTable[RecordedValue]))</f>
        <v>0</v>
      </c>
    </row>
    <row r="12" spans="1:15" x14ac:dyDescent="0.25">
      <c r="A12" t="s">
        <v>67</v>
      </c>
      <c r="B12" t="s">
        <v>70</v>
      </c>
      <c r="C12">
        <v>3</v>
      </c>
      <c r="D12" t="s">
        <v>103</v>
      </c>
      <c r="E12" t="s">
        <v>104</v>
      </c>
      <c r="F12" t="s">
        <v>105</v>
      </c>
      <c r="G12">
        <v>0</v>
      </c>
      <c r="H12" t="str">
        <f>CountersTable[[#This Row],[ProjectName]]&amp;CountersTable[[#This Row],[Name]]&amp;CountersTable[[#This Row],[Type]]&amp;CountersTable[[#This Row],[Source]]</f>
        <v>Unnamed Projectnum_cleanedCountUser Specified</v>
      </c>
      <c r="I12">
        <f t="array" ref="I12">MAX(IF((ProjectInfoTable[ProjectName]=CountersTable[[#This Row],[ProjectName]]),(ProjectInfoTable[ProjectName]=CountersTable[[#This Row],[ProjectName]])*ProjectInfoTable[NumberOfReplications]))</f>
        <v>15</v>
      </c>
      <c r="J12">
        <f t="array" ref="J12">IFERROR(AVERAGE(IF((CountersTable[GroupByKey]=CountersTable[[#This Row],[GroupByKey]]),(CountersTable[GroupByKey]=CountersTable[[#This Row],[GroupByKey]])*CountersTable[RecordedValue])),0)</f>
        <v>0</v>
      </c>
      <c r="K12">
        <f t="array" ref="K12">IFERROR(_xlfn.STDEV.S(IF((CountersTable[GroupByKey]=CountersTable[[#This Row],[GroupByKey]]),(CountersTable[GroupByKey]=CountersTable[[#This Row],[GroupByKey]])*CountersTable[RecordedValue])),0)</f>
        <v>0</v>
      </c>
      <c r="L12">
        <f t="array" ref="L12">MAX(IF((ProjectInfoTable[ProjectName]=CountersTable[[#This Row],[ProjectName]]),(ProjectInfoTable[ProjectName]=CountersTable[[#This Row],[ProjectName]])*ProjectInfoTable[ConfidenceInterval]))</f>
        <v>0.95</v>
      </c>
      <c r="M12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12">
        <f t="array" ref="N12">MIN(IF((CountersTable[GroupByKey]=CountersTable[[#This Row],[GroupByKey]]),(CountersTable[GroupByKey]=CountersTable[[#This Row],[GroupByKey]])*CountersTable[RecordedValue]))</f>
        <v>0</v>
      </c>
      <c r="O12">
        <f t="array" ref="O12">MAX(IF((CountersTable[GroupByKey]=CountersTable[[#This Row],[GroupByKey]]),(CountersTable[GroupByKey]=CountersTable[[#This Row],[GroupByKey]])*CountersTable[RecordedValue]))</f>
        <v>0</v>
      </c>
    </row>
    <row r="13" spans="1:15" x14ac:dyDescent="0.25">
      <c r="A13" t="s">
        <v>67</v>
      </c>
      <c r="B13" t="s">
        <v>70</v>
      </c>
      <c r="C13">
        <v>3</v>
      </c>
      <c r="D13" t="s">
        <v>106</v>
      </c>
      <c r="E13" t="s">
        <v>104</v>
      </c>
      <c r="F13" t="s">
        <v>105</v>
      </c>
      <c r="G13">
        <v>0</v>
      </c>
      <c r="H13" t="str">
        <f>CountersTable[[#This Row],[ProjectName]]&amp;CountersTable[[#This Row],[Name]]&amp;CountersTable[[#This Row],[Type]]&amp;CountersTable[[#This Row],[Source]]</f>
        <v>Unnamed ProjectpaintedCountUser Specified</v>
      </c>
      <c r="I13">
        <f t="array" ref="I13">MAX(IF((ProjectInfoTable[ProjectName]=CountersTable[[#This Row],[ProjectName]]),(ProjectInfoTable[ProjectName]=CountersTable[[#This Row],[ProjectName]])*ProjectInfoTable[NumberOfReplications]))</f>
        <v>15</v>
      </c>
      <c r="J13">
        <f t="array" ref="J13">IFERROR(AVERAGE(IF((CountersTable[GroupByKey]=CountersTable[[#This Row],[GroupByKey]]),(CountersTable[GroupByKey]=CountersTable[[#This Row],[GroupByKey]])*CountersTable[RecordedValue])),0)</f>
        <v>0</v>
      </c>
      <c r="K13">
        <f t="array" ref="K13">IFERROR(_xlfn.STDEV.S(IF((CountersTable[GroupByKey]=CountersTable[[#This Row],[GroupByKey]]),(CountersTable[GroupByKey]=CountersTable[[#This Row],[GroupByKey]])*CountersTable[RecordedValue])),0)</f>
        <v>0</v>
      </c>
      <c r="L13">
        <f t="array" ref="L13">MAX(IF((ProjectInfoTable[ProjectName]=CountersTable[[#This Row],[ProjectName]]),(ProjectInfoTable[ProjectName]=CountersTable[[#This Row],[ProjectName]])*ProjectInfoTable[ConfidenceInterval]))</f>
        <v>0.95</v>
      </c>
      <c r="M13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13">
        <f t="array" ref="N13">MIN(IF((CountersTable[GroupByKey]=CountersTable[[#This Row],[GroupByKey]]),(CountersTable[GroupByKey]=CountersTable[[#This Row],[GroupByKey]])*CountersTable[RecordedValue]))</f>
        <v>0</v>
      </c>
      <c r="O13">
        <f t="array" ref="O13">MAX(IF((CountersTable[GroupByKey]=CountersTable[[#This Row],[GroupByKey]]),(CountersTable[GroupByKey]=CountersTable[[#This Row],[GroupByKey]])*CountersTable[RecordedValue]))</f>
        <v>0</v>
      </c>
    </row>
    <row r="14" spans="1:15" x14ac:dyDescent="0.25">
      <c r="A14" t="s">
        <v>67</v>
      </c>
      <c r="B14" t="s">
        <v>70</v>
      </c>
      <c r="C14">
        <v>3</v>
      </c>
      <c r="D14" t="s">
        <v>107</v>
      </c>
      <c r="E14" t="s">
        <v>104</v>
      </c>
      <c r="F14" t="s">
        <v>105</v>
      </c>
      <c r="G14">
        <v>0</v>
      </c>
      <c r="H14" t="str">
        <f>CountersTable[[#This Row],[ProjectName]]&amp;CountersTable[[#This Row],[Name]]&amp;CountersTable[[#This Row],[Type]]&amp;CountersTable[[#This Row],[Source]]</f>
        <v>Unnamed ProjectqcapprovedCountUser Specified</v>
      </c>
      <c r="I14">
        <f t="array" ref="I14">MAX(IF((ProjectInfoTable[ProjectName]=CountersTable[[#This Row],[ProjectName]]),(ProjectInfoTable[ProjectName]=CountersTable[[#This Row],[ProjectName]])*ProjectInfoTable[NumberOfReplications]))</f>
        <v>15</v>
      </c>
      <c r="J14">
        <f t="array" ref="J14">IFERROR(AVERAGE(IF((CountersTable[GroupByKey]=CountersTable[[#This Row],[GroupByKey]]),(CountersTable[GroupByKey]=CountersTable[[#This Row],[GroupByKey]])*CountersTable[RecordedValue])),0)</f>
        <v>0</v>
      </c>
      <c r="K14">
        <f t="array" ref="K14">IFERROR(_xlfn.STDEV.S(IF((CountersTable[GroupByKey]=CountersTable[[#This Row],[GroupByKey]]),(CountersTable[GroupByKey]=CountersTable[[#This Row],[GroupByKey]])*CountersTable[RecordedValue])),0)</f>
        <v>0</v>
      </c>
      <c r="L14">
        <f t="array" ref="L14">MAX(IF((ProjectInfoTable[ProjectName]=CountersTable[[#This Row],[ProjectName]]),(ProjectInfoTable[ProjectName]=CountersTable[[#This Row],[ProjectName]])*ProjectInfoTable[ConfidenceInterval]))</f>
        <v>0.95</v>
      </c>
      <c r="M14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14">
        <f t="array" ref="N14">MIN(IF((CountersTable[GroupByKey]=CountersTable[[#This Row],[GroupByKey]]),(CountersTable[GroupByKey]=CountersTable[[#This Row],[GroupByKey]])*CountersTable[RecordedValue]))</f>
        <v>0</v>
      </c>
      <c r="O14">
        <f t="array" ref="O14">MAX(IF((CountersTable[GroupByKey]=CountersTable[[#This Row],[GroupByKey]]),(CountersTable[GroupByKey]=CountersTable[[#This Row],[GroupByKey]])*CountersTable[RecordedValue]))</f>
        <v>0</v>
      </c>
    </row>
    <row r="15" spans="1:15" x14ac:dyDescent="0.25">
      <c r="A15" t="s">
        <v>67</v>
      </c>
      <c r="B15" t="s">
        <v>70</v>
      </c>
      <c r="C15">
        <v>3</v>
      </c>
      <c r="D15" t="s">
        <v>108</v>
      </c>
      <c r="E15" t="s">
        <v>104</v>
      </c>
      <c r="F15" t="s">
        <v>105</v>
      </c>
      <c r="G15">
        <v>0</v>
      </c>
      <c r="H15" t="str">
        <f>CountersTable[[#This Row],[ProjectName]]&amp;CountersTable[[#This Row],[Name]]&amp;CountersTable[[#This Row],[Type]]&amp;CountersTable[[#This Row],[Source]]</f>
        <v>Unnamed ProjectsandblastedCountUser Specified</v>
      </c>
      <c r="I15">
        <f t="array" ref="I15">MAX(IF((ProjectInfoTable[ProjectName]=CountersTable[[#This Row],[ProjectName]]),(ProjectInfoTable[ProjectName]=CountersTable[[#This Row],[ProjectName]])*ProjectInfoTable[NumberOfReplications]))</f>
        <v>15</v>
      </c>
      <c r="J15">
        <f t="array" ref="J15">IFERROR(AVERAGE(IF((CountersTable[GroupByKey]=CountersTable[[#This Row],[GroupByKey]]),(CountersTable[GroupByKey]=CountersTable[[#This Row],[GroupByKey]])*CountersTable[RecordedValue])),0)</f>
        <v>0</v>
      </c>
      <c r="K15">
        <f t="array" ref="K15">IFERROR(_xlfn.STDEV.S(IF((CountersTable[GroupByKey]=CountersTable[[#This Row],[GroupByKey]]),(CountersTable[GroupByKey]=CountersTable[[#This Row],[GroupByKey]])*CountersTable[RecordedValue])),0)</f>
        <v>0</v>
      </c>
      <c r="L15">
        <f t="array" ref="L15">MAX(IF((ProjectInfoTable[ProjectName]=CountersTable[[#This Row],[ProjectName]]),(ProjectInfoTable[ProjectName]=CountersTable[[#This Row],[ProjectName]])*ProjectInfoTable[ConfidenceInterval]))</f>
        <v>0.95</v>
      </c>
      <c r="M15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15">
        <f t="array" ref="N15">MIN(IF((CountersTable[GroupByKey]=CountersTable[[#This Row],[GroupByKey]]),(CountersTable[GroupByKey]=CountersTable[[#This Row],[GroupByKey]])*CountersTable[RecordedValue]))</f>
        <v>0</v>
      </c>
      <c r="O15">
        <f t="array" ref="O15">MAX(IF((CountersTable[GroupByKey]=CountersTable[[#This Row],[GroupByKey]]),(CountersTable[GroupByKey]=CountersTable[[#This Row],[GroupByKey]])*CountersTable[RecordedValue]))</f>
        <v>0</v>
      </c>
    </row>
    <row r="16" spans="1:15" x14ac:dyDescent="0.25">
      <c r="A16" t="s">
        <v>67</v>
      </c>
      <c r="B16" t="s">
        <v>70</v>
      </c>
      <c r="C16">
        <v>3</v>
      </c>
      <c r="D16" t="s">
        <v>109</v>
      </c>
      <c r="E16" t="s">
        <v>104</v>
      </c>
      <c r="F16" t="s">
        <v>105</v>
      </c>
      <c r="G16">
        <v>0</v>
      </c>
      <c r="H16" t="str">
        <f>CountersTable[[#This Row],[ProjectName]]&amp;CountersTable[[#This Row],[Name]]&amp;CountersTable[[#This Row],[Type]]&amp;CountersTable[[#This Row],[Source]]</f>
        <v>Unnamed Projectsteel_arrivalsCountUser Specified</v>
      </c>
      <c r="I16">
        <f t="array" ref="I16">MAX(IF((ProjectInfoTable[ProjectName]=CountersTable[[#This Row],[ProjectName]]),(ProjectInfoTable[ProjectName]=CountersTable[[#This Row],[ProjectName]])*ProjectInfoTable[NumberOfReplications]))</f>
        <v>15</v>
      </c>
      <c r="J16">
        <f t="array" ref="J16">IFERROR(AVERAGE(IF((CountersTable[GroupByKey]=CountersTable[[#This Row],[GroupByKey]]),(CountersTable[GroupByKey]=CountersTable[[#This Row],[GroupByKey]])*CountersTable[RecordedValue])),0)</f>
        <v>0</v>
      </c>
      <c r="K16">
        <f t="array" ref="K16">IFERROR(_xlfn.STDEV.S(IF((CountersTable[GroupByKey]=CountersTable[[#This Row],[GroupByKey]]),(CountersTable[GroupByKey]=CountersTable[[#This Row],[GroupByKey]])*CountersTable[RecordedValue])),0)</f>
        <v>0</v>
      </c>
      <c r="L16">
        <f t="array" ref="L16">MAX(IF((ProjectInfoTable[ProjectName]=CountersTable[[#This Row],[ProjectName]]),(ProjectInfoTable[ProjectName]=CountersTable[[#This Row],[ProjectName]])*ProjectInfoTable[ConfidenceInterval]))</f>
        <v>0.95</v>
      </c>
      <c r="M16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16">
        <f t="array" ref="N16">MIN(IF((CountersTable[GroupByKey]=CountersTable[[#This Row],[GroupByKey]]),(CountersTable[GroupByKey]=CountersTable[[#This Row],[GroupByKey]])*CountersTable[RecordedValue]))</f>
        <v>0</v>
      </c>
      <c r="O16">
        <f t="array" ref="O16">MAX(IF((CountersTable[GroupByKey]=CountersTable[[#This Row],[GroupByKey]]),(CountersTable[GroupByKey]=CountersTable[[#This Row],[GroupByKey]])*CountersTable[RecordedValue]))</f>
        <v>0</v>
      </c>
    </row>
    <row r="17" spans="1:15" x14ac:dyDescent="0.25">
      <c r="A17" t="s">
        <v>67</v>
      </c>
      <c r="B17" t="s">
        <v>70</v>
      </c>
      <c r="C17">
        <v>4</v>
      </c>
      <c r="D17" t="s">
        <v>103</v>
      </c>
      <c r="E17" t="s">
        <v>104</v>
      </c>
      <c r="F17" t="s">
        <v>105</v>
      </c>
      <c r="G17">
        <v>0</v>
      </c>
      <c r="H17" t="str">
        <f>CountersTable[[#This Row],[ProjectName]]&amp;CountersTable[[#This Row],[Name]]&amp;CountersTable[[#This Row],[Type]]&amp;CountersTable[[#This Row],[Source]]</f>
        <v>Unnamed Projectnum_cleanedCountUser Specified</v>
      </c>
      <c r="I17">
        <f t="array" ref="I17">MAX(IF((ProjectInfoTable[ProjectName]=CountersTable[[#This Row],[ProjectName]]),(ProjectInfoTable[ProjectName]=CountersTable[[#This Row],[ProjectName]])*ProjectInfoTable[NumberOfReplications]))</f>
        <v>15</v>
      </c>
      <c r="J17">
        <f t="array" ref="J17">IFERROR(AVERAGE(IF((CountersTable[GroupByKey]=CountersTable[[#This Row],[GroupByKey]]),(CountersTable[GroupByKey]=CountersTable[[#This Row],[GroupByKey]])*CountersTable[RecordedValue])),0)</f>
        <v>0</v>
      </c>
      <c r="K17">
        <f t="array" ref="K17">IFERROR(_xlfn.STDEV.S(IF((CountersTable[GroupByKey]=CountersTable[[#This Row],[GroupByKey]]),(CountersTable[GroupByKey]=CountersTable[[#This Row],[GroupByKey]])*CountersTable[RecordedValue])),0)</f>
        <v>0</v>
      </c>
      <c r="L17">
        <f t="array" ref="L17">MAX(IF((ProjectInfoTable[ProjectName]=CountersTable[[#This Row],[ProjectName]]),(ProjectInfoTable[ProjectName]=CountersTable[[#This Row],[ProjectName]])*ProjectInfoTable[ConfidenceInterval]))</f>
        <v>0.95</v>
      </c>
      <c r="M17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17">
        <f t="array" ref="N17">MIN(IF((CountersTable[GroupByKey]=CountersTable[[#This Row],[GroupByKey]]),(CountersTable[GroupByKey]=CountersTable[[#This Row],[GroupByKey]])*CountersTable[RecordedValue]))</f>
        <v>0</v>
      </c>
      <c r="O17">
        <f t="array" ref="O17">MAX(IF((CountersTable[GroupByKey]=CountersTable[[#This Row],[GroupByKey]]),(CountersTable[GroupByKey]=CountersTable[[#This Row],[GroupByKey]])*CountersTable[RecordedValue]))</f>
        <v>0</v>
      </c>
    </row>
    <row r="18" spans="1:15" x14ac:dyDescent="0.25">
      <c r="A18" t="s">
        <v>67</v>
      </c>
      <c r="B18" t="s">
        <v>70</v>
      </c>
      <c r="C18">
        <v>4</v>
      </c>
      <c r="D18" t="s">
        <v>106</v>
      </c>
      <c r="E18" t="s">
        <v>104</v>
      </c>
      <c r="F18" t="s">
        <v>105</v>
      </c>
      <c r="G18">
        <v>0</v>
      </c>
      <c r="H18" t="str">
        <f>CountersTable[[#This Row],[ProjectName]]&amp;CountersTable[[#This Row],[Name]]&amp;CountersTable[[#This Row],[Type]]&amp;CountersTable[[#This Row],[Source]]</f>
        <v>Unnamed ProjectpaintedCountUser Specified</v>
      </c>
      <c r="I18">
        <f t="array" ref="I18">MAX(IF((ProjectInfoTable[ProjectName]=CountersTable[[#This Row],[ProjectName]]),(ProjectInfoTable[ProjectName]=CountersTable[[#This Row],[ProjectName]])*ProjectInfoTable[NumberOfReplications]))</f>
        <v>15</v>
      </c>
      <c r="J18">
        <f t="array" ref="J18">IFERROR(AVERAGE(IF((CountersTable[GroupByKey]=CountersTable[[#This Row],[GroupByKey]]),(CountersTable[GroupByKey]=CountersTable[[#This Row],[GroupByKey]])*CountersTable[RecordedValue])),0)</f>
        <v>0</v>
      </c>
      <c r="K18">
        <f t="array" ref="K18">IFERROR(_xlfn.STDEV.S(IF((CountersTable[GroupByKey]=CountersTable[[#This Row],[GroupByKey]]),(CountersTable[GroupByKey]=CountersTable[[#This Row],[GroupByKey]])*CountersTable[RecordedValue])),0)</f>
        <v>0</v>
      </c>
      <c r="L18">
        <f t="array" ref="L18">MAX(IF((ProjectInfoTable[ProjectName]=CountersTable[[#This Row],[ProjectName]]),(ProjectInfoTable[ProjectName]=CountersTable[[#This Row],[ProjectName]])*ProjectInfoTable[ConfidenceInterval]))</f>
        <v>0.95</v>
      </c>
      <c r="M18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18">
        <f t="array" ref="N18">MIN(IF((CountersTable[GroupByKey]=CountersTable[[#This Row],[GroupByKey]]),(CountersTable[GroupByKey]=CountersTable[[#This Row],[GroupByKey]])*CountersTable[RecordedValue]))</f>
        <v>0</v>
      </c>
      <c r="O18">
        <f t="array" ref="O18">MAX(IF((CountersTable[GroupByKey]=CountersTable[[#This Row],[GroupByKey]]),(CountersTable[GroupByKey]=CountersTable[[#This Row],[GroupByKey]])*CountersTable[RecordedValue]))</f>
        <v>0</v>
      </c>
    </row>
    <row r="19" spans="1:15" x14ac:dyDescent="0.25">
      <c r="A19" t="s">
        <v>67</v>
      </c>
      <c r="B19" t="s">
        <v>70</v>
      </c>
      <c r="C19">
        <v>4</v>
      </c>
      <c r="D19" t="s">
        <v>107</v>
      </c>
      <c r="E19" t="s">
        <v>104</v>
      </c>
      <c r="F19" t="s">
        <v>105</v>
      </c>
      <c r="G19">
        <v>0</v>
      </c>
      <c r="H19" t="str">
        <f>CountersTable[[#This Row],[ProjectName]]&amp;CountersTable[[#This Row],[Name]]&amp;CountersTable[[#This Row],[Type]]&amp;CountersTable[[#This Row],[Source]]</f>
        <v>Unnamed ProjectqcapprovedCountUser Specified</v>
      </c>
      <c r="I19">
        <f t="array" ref="I19">MAX(IF((ProjectInfoTable[ProjectName]=CountersTable[[#This Row],[ProjectName]]),(ProjectInfoTable[ProjectName]=CountersTable[[#This Row],[ProjectName]])*ProjectInfoTable[NumberOfReplications]))</f>
        <v>15</v>
      </c>
      <c r="J19">
        <f t="array" ref="J19">IFERROR(AVERAGE(IF((CountersTable[GroupByKey]=CountersTable[[#This Row],[GroupByKey]]),(CountersTable[GroupByKey]=CountersTable[[#This Row],[GroupByKey]])*CountersTable[RecordedValue])),0)</f>
        <v>0</v>
      </c>
      <c r="K19">
        <f t="array" ref="K19">IFERROR(_xlfn.STDEV.S(IF((CountersTable[GroupByKey]=CountersTable[[#This Row],[GroupByKey]]),(CountersTable[GroupByKey]=CountersTable[[#This Row],[GroupByKey]])*CountersTable[RecordedValue])),0)</f>
        <v>0</v>
      </c>
      <c r="L19">
        <f t="array" ref="L19">MAX(IF((ProjectInfoTable[ProjectName]=CountersTable[[#This Row],[ProjectName]]),(ProjectInfoTable[ProjectName]=CountersTable[[#This Row],[ProjectName]])*ProjectInfoTable[ConfidenceInterval]))</f>
        <v>0.95</v>
      </c>
      <c r="M19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19">
        <f t="array" ref="N19">MIN(IF((CountersTable[GroupByKey]=CountersTable[[#This Row],[GroupByKey]]),(CountersTable[GroupByKey]=CountersTable[[#This Row],[GroupByKey]])*CountersTable[RecordedValue]))</f>
        <v>0</v>
      </c>
      <c r="O19">
        <f t="array" ref="O19">MAX(IF((CountersTable[GroupByKey]=CountersTable[[#This Row],[GroupByKey]]),(CountersTable[GroupByKey]=CountersTable[[#This Row],[GroupByKey]])*CountersTable[RecordedValue]))</f>
        <v>0</v>
      </c>
    </row>
    <row r="20" spans="1:15" x14ac:dyDescent="0.25">
      <c r="A20" t="s">
        <v>67</v>
      </c>
      <c r="B20" t="s">
        <v>70</v>
      </c>
      <c r="C20">
        <v>4</v>
      </c>
      <c r="D20" t="s">
        <v>108</v>
      </c>
      <c r="E20" t="s">
        <v>104</v>
      </c>
      <c r="F20" t="s">
        <v>105</v>
      </c>
      <c r="G20">
        <v>0</v>
      </c>
      <c r="H20" t="str">
        <f>CountersTable[[#This Row],[ProjectName]]&amp;CountersTable[[#This Row],[Name]]&amp;CountersTable[[#This Row],[Type]]&amp;CountersTable[[#This Row],[Source]]</f>
        <v>Unnamed ProjectsandblastedCountUser Specified</v>
      </c>
      <c r="I20">
        <f t="array" ref="I20">MAX(IF((ProjectInfoTable[ProjectName]=CountersTable[[#This Row],[ProjectName]]),(ProjectInfoTable[ProjectName]=CountersTable[[#This Row],[ProjectName]])*ProjectInfoTable[NumberOfReplications]))</f>
        <v>15</v>
      </c>
      <c r="J20">
        <f t="array" ref="J20">IFERROR(AVERAGE(IF((CountersTable[GroupByKey]=CountersTable[[#This Row],[GroupByKey]]),(CountersTable[GroupByKey]=CountersTable[[#This Row],[GroupByKey]])*CountersTable[RecordedValue])),0)</f>
        <v>0</v>
      </c>
      <c r="K20">
        <f t="array" ref="K20">IFERROR(_xlfn.STDEV.S(IF((CountersTable[GroupByKey]=CountersTable[[#This Row],[GroupByKey]]),(CountersTable[GroupByKey]=CountersTable[[#This Row],[GroupByKey]])*CountersTable[RecordedValue])),0)</f>
        <v>0</v>
      </c>
      <c r="L20">
        <f t="array" ref="L20">MAX(IF((ProjectInfoTable[ProjectName]=CountersTable[[#This Row],[ProjectName]]),(ProjectInfoTable[ProjectName]=CountersTable[[#This Row],[ProjectName]])*ProjectInfoTable[ConfidenceInterval]))</f>
        <v>0.95</v>
      </c>
      <c r="M20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20">
        <f t="array" ref="N20">MIN(IF((CountersTable[GroupByKey]=CountersTable[[#This Row],[GroupByKey]]),(CountersTable[GroupByKey]=CountersTable[[#This Row],[GroupByKey]])*CountersTable[RecordedValue]))</f>
        <v>0</v>
      </c>
      <c r="O20">
        <f t="array" ref="O20">MAX(IF((CountersTable[GroupByKey]=CountersTable[[#This Row],[GroupByKey]]),(CountersTable[GroupByKey]=CountersTable[[#This Row],[GroupByKey]])*CountersTable[RecordedValue]))</f>
        <v>0</v>
      </c>
    </row>
    <row r="21" spans="1:15" x14ac:dyDescent="0.25">
      <c r="A21" t="s">
        <v>67</v>
      </c>
      <c r="B21" t="s">
        <v>70</v>
      </c>
      <c r="C21">
        <v>4</v>
      </c>
      <c r="D21" t="s">
        <v>109</v>
      </c>
      <c r="E21" t="s">
        <v>104</v>
      </c>
      <c r="F21" t="s">
        <v>105</v>
      </c>
      <c r="G21">
        <v>0</v>
      </c>
      <c r="H21" t="str">
        <f>CountersTable[[#This Row],[ProjectName]]&amp;CountersTable[[#This Row],[Name]]&amp;CountersTable[[#This Row],[Type]]&amp;CountersTable[[#This Row],[Source]]</f>
        <v>Unnamed Projectsteel_arrivalsCountUser Specified</v>
      </c>
      <c r="I21">
        <f t="array" ref="I21">MAX(IF((ProjectInfoTable[ProjectName]=CountersTable[[#This Row],[ProjectName]]),(ProjectInfoTable[ProjectName]=CountersTable[[#This Row],[ProjectName]])*ProjectInfoTable[NumberOfReplications]))</f>
        <v>15</v>
      </c>
      <c r="J21">
        <f t="array" ref="J21">IFERROR(AVERAGE(IF((CountersTable[GroupByKey]=CountersTable[[#This Row],[GroupByKey]]),(CountersTable[GroupByKey]=CountersTable[[#This Row],[GroupByKey]])*CountersTable[RecordedValue])),0)</f>
        <v>0</v>
      </c>
      <c r="K21">
        <f t="array" ref="K21">IFERROR(_xlfn.STDEV.S(IF((CountersTable[GroupByKey]=CountersTable[[#This Row],[GroupByKey]]),(CountersTable[GroupByKey]=CountersTable[[#This Row],[GroupByKey]])*CountersTable[RecordedValue])),0)</f>
        <v>0</v>
      </c>
      <c r="L21">
        <f t="array" ref="L21">MAX(IF((ProjectInfoTable[ProjectName]=CountersTable[[#This Row],[ProjectName]]),(ProjectInfoTable[ProjectName]=CountersTable[[#This Row],[ProjectName]])*ProjectInfoTable[ConfidenceInterval]))</f>
        <v>0.95</v>
      </c>
      <c r="M21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21">
        <f t="array" ref="N21">MIN(IF((CountersTable[GroupByKey]=CountersTable[[#This Row],[GroupByKey]]),(CountersTable[GroupByKey]=CountersTable[[#This Row],[GroupByKey]])*CountersTable[RecordedValue]))</f>
        <v>0</v>
      </c>
      <c r="O21">
        <f t="array" ref="O21">MAX(IF((CountersTable[GroupByKey]=CountersTable[[#This Row],[GroupByKey]]),(CountersTable[GroupByKey]=CountersTable[[#This Row],[GroupByKey]])*CountersTable[RecordedValue]))</f>
        <v>0</v>
      </c>
    </row>
    <row r="22" spans="1:15" x14ac:dyDescent="0.25">
      <c r="A22" t="s">
        <v>67</v>
      </c>
      <c r="B22" t="s">
        <v>70</v>
      </c>
      <c r="C22">
        <v>5</v>
      </c>
      <c r="D22" t="s">
        <v>103</v>
      </c>
      <c r="E22" t="s">
        <v>104</v>
      </c>
      <c r="F22" t="s">
        <v>105</v>
      </c>
      <c r="G22">
        <v>0</v>
      </c>
      <c r="H22" t="str">
        <f>CountersTable[[#This Row],[ProjectName]]&amp;CountersTable[[#This Row],[Name]]&amp;CountersTable[[#This Row],[Type]]&amp;CountersTable[[#This Row],[Source]]</f>
        <v>Unnamed Projectnum_cleanedCountUser Specified</v>
      </c>
      <c r="I22">
        <f t="array" ref="I22">MAX(IF((ProjectInfoTable[ProjectName]=CountersTable[[#This Row],[ProjectName]]),(ProjectInfoTable[ProjectName]=CountersTable[[#This Row],[ProjectName]])*ProjectInfoTable[NumberOfReplications]))</f>
        <v>15</v>
      </c>
      <c r="J22">
        <f t="array" ref="J22">IFERROR(AVERAGE(IF((CountersTable[GroupByKey]=CountersTable[[#This Row],[GroupByKey]]),(CountersTable[GroupByKey]=CountersTable[[#This Row],[GroupByKey]])*CountersTable[RecordedValue])),0)</f>
        <v>0</v>
      </c>
      <c r="K22">
        <f t="array" ref="K22">IFERROR(_xlfn.STDEV.S(IF((CountersTable[GroupByKey]=CountersTable[[#This Row],[GroupByKey]]),(CountersTable[GroupByKey]=CountersTable[[#This Row],[GroupByKey]])*CountersTable[RecordedValue])),0)</f>
        <v>0</v>
      </c>
      <c r="L22">
        <f t="array" ref="L22">MAX(IF((ProjectInfoTable[ProjectName]=CountersTable[[#This Row],[ProjectName]]),(ProjectInfoTable[ProjectName]=CountersTable[[#This Row],[ProjectName]])*ProjectInfoTable[ConfidenceInterval]))</f>
        <v>0.95</v>
      </c>
      <c r="M22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22">
        <f t="array" ref="N22">MIN(IF((CountersTable[GroupByKey]=CountersTable[[#This Row],[GroupByKey]]),(CountersTable[GroupByKey]=CountersTable[[#This Row],[GroupByKey]])*CountersTable[RecordedValue]))</f>
        <v>0</v>
      </c>
      <c r="O22">
        <f t="array" ref="O22">MAX(IF((CountersTable[GroupByKey]=CountersTable[[#This Row],[GroupByKey]]),(CountersTable[GroupByKey]=CountersTable[[#This Row],[GroupByKey]])*CountersTable[RecordedValue]))</f>
        <v>0</v>
      </c>
    </row>
    <row r="23" spans="1:15" x14ac:dyDescent="0.25">
      <c r="A23" t="s">
        <v>67</v>
      </c>
      <c r="B23" t="s">
        <v>70</v>
      </c>
      <c r="C23">
        <v>5</v>
      </c>
      <c r="D23" t="s">
        <v>106</v>
      </c>
      <c r="E23" t="s">
        <v>104</v>
      </c>
      <c r="F23" t="s">
        <v>105</v>
      </c>
      <c r="G23">
        <v>0</v>
      </c>
      <c r="H23" t="str">
        <f>CountersTable[[#This Row],[ProjectName]]&amp;CountersTable[[#This Row],[Name]]&amp;CountersTable[[#This Row],[Type]]&amp;CountersTable[[#This Row],[Source]]</f>
        <v>Unnamed ProjectpaintedCountUser Specified</v>
      </c>
      <c r="I23">
        <f t="array" ref="I23">MAX(IF((ProjectInfoTable[ProjectName]=CountersTable[[#This Row],[ProjectName]]),(ProjectInfoTable[ProjectName]=CountersTable[[#This Row],[ProjectName]])*ProjectInfoTable[NumberOfReplications]))</f>
        <v>15</v>
      </c>
      <c r="J23">
        <f t="array" ref="J23">IFERROR(AVERAGE(IF((CountersTable[GroupByKey]=CountersTable[[#This Row],[GroupByKey]]),(CountersTable[GroupByKey]=CountersTable[[#This Row],[GroupByKey]])*CountersTable[RecordedValue])),0)</f>
        <v>0</v>
      </c>
      <c r="K23">
        <f t="array" ref="K23">IFERROR(_xlfn.STDEV.S(IF((CountersTable[GroupByKey]=CountersTable[[#This Row],[GroupByKey]]),(CountersTable[GroupByKey]=CountersTable[[#This Row],[GroupByKey]])*CountersTable[RecordedValue])),0)</f>
        <v>0</v>
      </c>
      <c r="L23">
        <f t="array" ref="L23">MAX(IF((ProjectInfoTable[ProjectName]=CountersTable[[#This Row],[ProjectName]]),(ProjectInfoTable[ProjectName]=CountersTable[[#This Row],[ProjectName]])*ProjectInfoTable[ConfidenceInterval]))</f>
        <v>0.95</v>
      </c>
      <c r="M23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23">
        <f t="array" ref="N23">MIN(IF((CountersTable[GroupByKey]=CountersTable[[#This Row],[GroupByKey]]),(CountersTable[GroupByKey]=CountersTable[[#This Row],[GroupByKey]])*CountersTable[RecordedValue]))</f>
        <v>0</v>
      </c>
      <c r="O23">
        <f t="array" ref="O23">MAX(IF((CountersTable[GroupByKey]=CountersTable[[#This Row],[GroupByKey]]),(CountersTable[GroupByKey]=CountersTable[[#This Row],[GroupByKey]])*CountersTable[RecordedValue]))</f>
        <v>0</v>
      </c>
    </row>
    <row r="24" spans="1:15" x14ac:dyDescent="0.25">
      <c r="A24" t="s">
        <v>67</v>
      </c>
      <c r="B24" t="s">
        <v>70</v>
      </c>
      <c r="C24">
        <v>5</v>
      </c>
      <c r="D24" t="s">
        <v>107</v>
      </c>
      <c r="E24" t="s">
        <v>104</v>
      </c>
      <c r="F24" t="s">
        <v>105</v>
      </c>
      <c r="G24">
        <v>0</v>
      </c>
      <c r="H24" t="str">
        <f>CountersTable[[#This Row],[ProjectName]]&amp;CountersTable[[#This Row],[Name]]&amp;CountersTable[[#This Row],[Type]]&amp;CountersTable[[#This Row],[Source]]</f>
        <v>Unnamed ProjectqcapprovedCountUser Specified</v>
      </c>
      <c r="I24">
        <f t="array" ref="I24">MAX(IF((ProjectInfoTable[ProjectName]=CountersTable[[#This Row],[ProjectName]]),(ProjectInfoTable[ProjectName]=CountersTable[[#This Row],[ProjectName]])*ProjectInfoTable[NumberOfReplications]))</f>
        <v>15</v>
      </c>
      <c r="J24">
        <f t="array" ref="J24">IFERROR(AVERAGE(IF((CountersTable[GroupByKey]=CountersTable[[#This Row],[GroupByKey]]),(CountersTable[GroupByKey]=CountersTable[[#This Row],[GroupByKey]])*CountersTable[RecordedValue])),0)</f>
        <v>0</v>
      </c>
      <c r="K24">
        <f t="array" ref="K24">IFERROR(_xlfn.STDEV.S(IF((CountersTable[GroupByKey]=CountersTable[[#This Row],[GroupByKey]]),(CountersTable[GroupByKey]=CountersTable[[#This Row],[GroupByKey]])*CountersTable[RecordedValue])),0)</f>
        <v>0</v>
      </c>
      <c r="L24">
        <f t="array" ref="L24">MAX(IF((ProjectInfoTable[ProjectName]=CountersTable[[#This Row],[ProjectName]]),(ProjectInfoTable[ProjectName]=CountersTable[[#This Row],[ProjectName]])*ProjectInfoTable[ConfidenceInterval]))</f>
        <v>0.95</v>
      </c>
      <c r="M24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24">
        <f t="array" ref="N24">MIN(IF((CountersTable[GroupByKey]=CountersTable[[#This Row],[GroupByKey]]),(CountersTable[GroupByKey]=CountersTable[[#This Row],[GroupByKey]])*CountersTable[RecordedValue]))</f>
        <v>0</v>
      </c>
      <c r="O24">
        <f t="array" ref="O24">MAX(IF((CountersTable[GroupByKey]=CountersTable[[#This Row],[GroupByKey]]),(CountersTable[GroupByKey]=CountersTable[[#This Row],[GroupByKey]])*CountersTable[RecordedValue]))</f>
        <v>0</v>
      </c>
    </row>
    <row r="25" spans="1:15" x14ac:dyDescent="0.25">
      <c r="A25" t="s">
        <v>67</v>
      </c>
      <c r="B25" t="s">
        <v>70</v>
      </c>
      <c r="C25">
        <v>5</v>
      </c>
      <c r="D25" t="s">
        <v>108</v>
      </c>
      <c r="E25" t="s">
        <v>104</v>
      </c>
      <c r="F25" t="s">
        <v>105</v>
      </c>
      <c r="G25">
        <v>0</v>
      </c>
      <c r="H25" t="str">
        <f>CountersTable[[#This Row],[ProjectName]]&amp;CountersTable[[#This Row],[Name]]&amp;CountersTable[[#This Row],[Type]]&amp;CountersTable[[#This Row],[Source]]</f>
        <v>Unnamed ProjectsandblastedCountUser Specified</v>
      </c>
      <c r="I25">
        <f t="array" ref="I25">MAX(IF((ProjectInfoTable[ProjectName]=CountersTable[[#This Row],[ProjectName]]),(ProjectInfoTable[ProjectName]=CountersTable[[#This Row],[ProjectName]])*ProjectInfoTable[NumberOfReplications]))</f>
        <v>15</v>
      </c>
      <c r="J25">
        <f t="array" ref="J25">IFERROR(AVERAGE(IF((CountersTable[GroupByKey]=CountersTable[[#This Row],[GroupByKey]]),(CountersTable[GroupByKey]=CountersTable[[#This Row],[GroupByKey]])*CountersTable[RecordedValue])),0)</f>
        <v>0</v>
      </c>
      <c r="K25">
        <f t="array" ref="K25">IFERROR(_xlfn.STDEV.S(IF((CountersTable[GroupByKey]=CountersTable[[#This Row],[GroupByKey]]),(CountersTable[GroupByKey]=CountersTable[[#This Row],[GroupByKey]])*CountersTable[RecordedValue])),0)</f>
        <v>0</v>
      </c>
      <c r="L25">
        <f t="array" ref="L25">MAX(IF((ProjectInfoTable[ProjectName]=CountersTable[[#This Row],[ProjectName]]),(ProjectInfoTable[ProjectName]=CountersTable[[#This Row],[ProjectName]])*ProjectInfoTable[ConfidenceInterval]))</f>
        <v>0.95</v>
      </c>
      <c r="M25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25">
        <f t="array" ref="N25">MIN(IF((CountersTable[GroupByKey]=CountersTable[[#This Row],[GroupByKey]]),(CountersTable[GroupByKey]=CountersTable[[#This Row],[GroupByKey]])*CountersTable[RecordedValue]))</f>
        <v>0</v>
      </c>
      <c r="O25">
        <f t="array" ref="O25">MAX(IF((CountersTable[GroupByKey]=CountersTable[[#This Row],[GroupByKey]]),(CountersTable[GroupByKey]=CountersTable[[#This Row],[GroupByKey]])*CountersTable[RecordedValue]))</f>
        <v>0</v>
      </c>
    </row>
    <row r="26" spans="1:15" x14ac:dyDescent="0.25">
      <c r="A26" t="s">
        <v>67</v>
      </c>
      <c r="B26" t="s">
        <v>70</v>
      </c>
      <c r="C26">
        <v>5</v>
      </c>
      <c r="D26" t="s">
        <v>109</v>
      </c>
      <c r="E26" t="s">
        <v>104</v>
      </c>
      <c r="F26" t="s">
        <v>105</v>
      </c>
      <c r="G26">
        <v>0</v>
      </c>
      <c r="H26" t="str">
        <f>CountersTable[[#This Row],[ProjectName]]&amp;CountersTable[[#This Row],[Name]]&amp;CountersTable[[#This Row],[Type]]&amp;CountersTable[[#This Row],[Source]]</f>
        <v>Unnamed Projectsteel_arrivalsCountUser Specified</v>
      </c>
      <c r="I26">
        <f t="array" ref="I26">MAX(IF((ProjectInfoTable[ProjectName]=CountersTable[[#This Row],[ProjectName]]),(ProjectInfoTable[ProjectName]=CountersTable[[#This Row],[ProjectName]])*ProjectInfoTable[NumberOfReplications]))</f>
        <v>15</v>
      </c>
      <c r="J26">
        <f t="array" ref="J26">IFERROR(AVERAGE(IF((CountersTable[GroupByKey]=CountersTable[[#This Row],[GroupByKey]]),(CountersTable[GroupByKey]=CountersTable[[#This Row],[GroupByKey]])*CountersTable[RecordedValue])),0)</f>
        <v>0</v>
      </c>
      <c r="K26">
        <f t="array" ref="K26">IFERROR(_xlfn.STDEV.S(IF((CountersTable[GroupByKey]=CountersTable[[#This Row],[GroupByKey]]),(CountersTable[GroupByKey]=CountersTable[[#This Row],[GroupByKey]])*CountersTable[RecordedValue])),0)</f>
        <v>0</v>
      </c>
      <c r="L26">
        <f t="array" ref="L26">MAX(IF((ProjectInfoTable[ProjectName]=CountersTable[[#This Row],[ProjectName]]),(ProjectInfoTable[ProjectName]=CountersTable[[#This Row],[ProjectName]])*ProjectInfoTable[ConfidenceInterval]))</f>
        <v>0.95</v>
      </c>
      <c r="M26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26">
        <f t="array" ref="N26">MIN(IF((CountersTable[GroupByKey]=CountersTable[[#This Row],[GroupByKey]]),(CountersTable[GroupByKey]=CountersTable[[#This Row],[GroupByKey]])*CountersTable[RecordedValue]))</f>
        <v>0</v>
      </c>
      <c r="O26">
        <f t="array" ref="O26">MAX(IF((CountersTable[GroupByKey]=CountersTable[[#This Row],[GroupByKey]]),(CountersTable[GroupByKey]=CountersTable[[#This Row],[GroupByKey]])*CountersTable[RecordedValue]))</f>
        <v>0</v>
      </c>
    </row>
    <row r="27" spans="1:15" x14ac:dyDescent="0.25">
      <c r="A27" t="s">
        <v>67</v>
      </c>
      <c r="B27" t="s">
        <v>70</v>
      </c>
      <c r="C27">
        <v>6</v>
      </c>
      <c r="D27" t="s">
        <v>103</v>
      </c>
      <c r="E27" t="s">
        <v>104</v>
      </c>
      <c r="F27" t="s">
        <v>105</v>
      </c>
      <c r="G27">
        <v>0</v>
      </c>
      <c r="H27" t="str">
        <f>CountersTable[[#This Row],[ProjectName]]&amp;CountersTable[[#This Row],[Name]]&amp;CountersTable[[#This Row],[Type]]&amp;CountersTable[[#This Row],[Source]]</f>
        <v>Unnamed Projectnum_cleanedCountUser Specified</v>
      </c>
      <c r="I27">
        <f t="array" ref="I27">MAX(IF((ProjectInfoTable[ProjectName]=CountersTable[[#This Row],[ProjectName]]),(ProjectInfoTable[ProjectName]=CountersTable[[#This Row],[ProjectName]])*ProjectInfoTable[NumberOfReplications]))</f>
        <v>15</v>
      </c>
      <c r="J27">
        <f t="array" ref="J27">IFERROR(AVERAGE(IF((CountersTable[GroupByKey]=CountersTable[[#This Row],[GroupByKey]]),(CountersTable[GroupByKey]=CountersTable[[#This Row],[GroupByKey]])*CountersTable[RecordedValue])),0)</f>
        <v>0</v>
      </c>
      <c r="K27">
        <f t="array" ref="K27">IFERROR(_xlfn.STDEV.S(IF((CountersTable[GroupByKey]=CountersTable[[#This Row],[GroupByKey]]),(CountersTable[GroupByKey]=CountersTable[[#This Row],[GroupByKey]])*CountersTable[RecordedValue])),0)</f>
        <v>0</v>
      </c>
      <c r="L27">
        <f t="array" ref="L27">MAX(IF((ProjectInfoTable[ProjectName]=CountersTable[[#This Row],[ProjectName]]),(ProjectInfoTable[ProjectName]=CountersTable[[#This Row],[ProjectName]])*ProjectInfoTable[ConfidenceInterval]))</f>
        <v>0.95</v>
      </c>
      <c r="M27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27">
        <f t="array" ref="N27">MIN(IF((CountersTable[GroupByKey]=CountersTable[[#This Row],[GroupByKey]]),(CountersTable[GroupByKey]=CountersTable[[#This Row],[GroupByKey]])*CountersTable[RecordedValue]))</f>
        <v>0</v>
      </c>
      <c r="O27">
        <f t="array" ref="O27">MAX(IF((CountersTable[GroupByKey]=CountersTable[[#This Row],[GroupByKey]]),(CountersTable[GroupByKey]=CountersTable[[#This Row],[GroupByKey]])*CountersTable[RecordedValue]))</f>
        <v>0</v>
      </c>
    </row>
    <row r="28" spans="1:15" x14ac:dyDescent="0.25">
      <c r="A28" t="s">
        <v>67</v>
      </c>
      <c r="B28" t="s">
        <v>70</v>
      </c>
      <c r="C28">
        <v>6</v>
      </c>
      <c r="D28" t="s">
        <v>106</v>
      </c>
      <c r="E28" t="s">
        <v>104</v>
      </c>
      <c r="F28" t="s">
        <v>105</v>
      </c>
      <c r="G28">
        <v>0</v>
      </c>
      <c r="H28" t="str">
        <f>CountersTable[[#This Row],[ProjectName]]&amp;CountersTable[[#This Row],[Name]]&amp;CountersTable[[#This Row],[Type]]&amp;CountersTable[[#This Row],[Source]]</f>
        <v>Unnamed ProjectpaintedCountUser Specified</v>
      </c>
      <c r="I28">
        <f t="array" ref="I28">MAX(IF((ProjectInfoTable[ProjectName]=CountersTable[[#This Row],[ProjectName]]),(ProjectInfoTable[ProjectName]=CountersTable[[#This Row],[ProjectName]])*ProjectInfoTable[NumberOfReplications]))</f>
        <v>15</v>
      </c>
      <c r="J28">
        <f t="array" ref="J28">IFERROR(AVERAGE(IF((CountersTable[GroupByKey]=CountersTable[[#This Row],[GroupByKey]]),(CountersTable[GroupByKey]=CountersTable[[#This Row],[GroupByKey]])*CountersTable[RecordedValue])),0)</f>
        <v>0</v>
      </c>
      <c r="K28">
        <f t="array" ref="K28">IFERROR(_xlfn.STDEV.S(IF((CountersTable[GroupByKey]=CountersTable[[#This Row],[GroupByKey]]),(CountersTable[GroupByKey]=CountersTable[[#This Row],[GroupByKey]])*CountersTable[RecordedValue])),0)</f>
        <v>0</v>
      </c>
      <c r="L28">
        <f t="array" ref="L28">MAX(IF((ProjectInfoTable[ProjectName]=CountersTable[[#This Row],[ProjectName]]),(ProjectInfoTable[ProjectName]=CountersTable[[#This Row],[ProjectName]])*ProjectInfoTable[ConfidenceInterval]))</f>
        <v>0.95</v>
      </c>
      <c r="M28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28">
        <f t="array" ref="N28">MIN(IF((CountersTable[GroupByKey]=CountersTable[[#This Row],[GroupByKey]]),(CountersTable[GroupByKey]=CountersTable[[#This Row],[GroupByKey]])*CountersTable[RecordedValue]))</f>
        <v>0</v>
      </c>
      <c r="O28">
        <f t="array" ref="O28">MAX(IF((CountersTable[GroupByKey]=CountersTable[[#This Row],[GroupByKey]]),(CountersTable[GroupByKey]=CountersTable[[#This Row],[GroupByKey]])*CountersTable[RecordedValue]))</f>
        <v>0</v>
      </c>
    </row>
    <row r="29" spans="1:15" x14ac:dyDescent="0.25">
      <c r="A29" t="s">
        <v>67</v>
      </c>
      <c r="B29" t="s">
        <v>70</v>
      </c>
      <c r="C29">
        <v>6</v>
      </c>
      <c r="D29" t="s">
        <v>107</v>
      </c>
      <c r="E29" t="s">
        <v>104</v>
      </c>
      <c r="F29" t="s">
        <v>105</v>
      </c>
      <c r="G29">
        <v>0</v>
      </c>
      <c r="H29" t="str">
        <f>CountersTable[[#This Row],[ProjectName]]&amp;CountersTable[[#This Row],[Name]]&amp;CountersTable[[#This Row],[Type]]&amp;CountersTable[[#This Row],[Source]]</f>
        <v>Unnamed ProjectqcapprovedCountUser Specified</v>
      </c>
      <c r="I29">
        <f t="array" ref="I29">MAX(IF((ProjectInfoTable[ProjectName]=CountersTable[[#This Row],[ProjectName]]),(ProjectInfoTable[ProjectName]=CountersTable[[#This Row],[ProjectName]])*ProjectInfoTable[NumberOfReplications]))</f>
        <v>15</v>
      </c>
      <c r="J29">
        <f t="array" ref="J29">IFERROR(AVERAGE(IF((CountersTable[GroupByKey]=CountersTable[[#This Row],[GroupByKey]]),(CountersTable[GroupByKey]=CountersTable[[#This Row],[GroupByKey]])*CountersTable[RecordedValue])),0)</f>
        <v>0</v>
      </c>
      <c r="K29">
        <f t="array" ref="K29">IFERROR(_xlfn.STDEV.S(IF((CountersTable[GroupByKey]=CountersTable[[#This Row],[GroupByKey]]),(CountersTable[GroupByKey]=CountersTable[[#This Row],[GroupByKey]])*CountersTable[RecordedValue])),0)</f>
        <v>0</v>
      </c>
      <c r="L29">
        <f t="array" ref="L29">MAX(IF((ProjectInfoTable[ProjectName]=CountersTable[[#This Row],[ProjectName]]),(ProjectInfoTable[ProjectName]=CountersTable[[#This Row],[ProjectName]])*ProjectInfoTable[ConfidenceInterval]))</f>
        <v>0.95</v>
      </c>
      <c r="M29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29">
        <f t="array" ref="N29">MIN(IF((CountersTable[GroupByKey]=CountersTable[[#This Row],[GroupByKey]]),(CountersTable[GroupByKey]=CountersTable[[#This Row],[GroupByKey]])*CountersTable[RecordedValue]))</f>
        <v>0</v>
      </c>
      <c r="O29">
        <f t="array" ref="O29">MAX(IF((CountersTable[GroupByKey]=CountersTable[[#This Row],[GroupByKey]]),(CountersTable[GroupByKey]=CountersTable[[#This Row],[GroupByKey]])*CountersTable[RecordedValue]))</f>
        <v>0</v>
      </c>
    </row>
    <row r="30" spans="1:15" x14ac:dyDescent="0.25">
      <c r="A30" t="s">
        <v>67</v>
      </c>
      <c r="B30" t="s">
        <v>70</v>
      </c>
      <c r="C30">
        <v>6</v>
      </c>
      <c r="D30" t="s">
        <v>108</v>
      </c>
      <c r="E30" t="s">
        <v>104</v>
      </c>
      <c r="F30" t="s">
        <v>105</v>
      </c>
      <c r="G30">
        <v>0</v>
      </c>
      <c r="H30" t="str">
        <f>CountersTable[[#This Row],[ProjectName]]&amp;CountersTable[[#This Row],[Name]]&amp;CountersTable[[#This Row],[Type]]&amp;CountersTable[[#This Row],[Source]]</f>
        <v>Unnamed ProjectsandblastedCountUser Specified</v>
      </c>
      <c r="I30">
        <f t="array" ref="I30">MAX(IF((ProjectInfoTable[ProjectName]=CountersTable[[#This Row],[ProjectName]]),(ProjectInfoTable[ProjectName]=CountersTable[[#This Row],[ProjectName]])*ProjectInfoTable[NumberOfReplications]))</f>
        <v>15</v>
      </c>
      <c r="J30">
        <f t="array" ref="J30">IFERROR(AVERAGE(IF((CountersTable[GroupByKey]=CountersTable[[#This Row],[GroupByKey]]),(CountersTable[GroupByKey]=CountersTable[[#This Row],[GroupByKey]])*CountersTable[RecordedValue])),0)</f>
        <v>0</v>
      </c>
      <c r="K30">
        <f t="array" ref="K30">IFERROR(_xlfn.STDEV.S(IF((CountersTable[GroupByKey]=CountersTable[[#This Row],[GroupByKey]]),(CountersTable[GroupByKey]=CountersTable[[#This Row],[GroupByKey]])*CountersTable[RecordedValue])),0)</f>
        <v>0</v>
      </c>
      <c r="L30">
        <f t="array" ref="L30">MAX(IF((ProjectInfoTable[ProjectName]=CountersTable[[#This Row],[ProjectName]]),(ProjectInfoTable[ProjectName]=CountersTable[[#This Row],[ProjectName]])*ProjectInfoTable[ConfidenceInterval]))</f>
        <v>0.95</v>
      </c>
      <c r="M30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30">
        <f t="array" ref="N30">MIN(IF((CountersTable[GroupByKey]=CountersTable[[#This Row],[GroupByKey]]),(CountersTable[GroupByKey]=CountersTable[[#This Row],[GroupByKey]])*CountersTable[RecordedValue]))</f>
        <v>0</v>
      </c>
      <c r="O30">
        <f t="array" ref="O30">MAX(IF((CountersTable[GroupByKey]=CountersTable[[#This Row],[GroupByKey]]),(CountersTable[GroupByKey]=CountersTable[[#This Row],[GroupByKey]])*CountersTable[RecordedValue]))</f>
        <v>0</v>
      </c>
    </row>
    <row r="31" spans="1:15" x14ac:dyDescent="0.25">
      <c r="A31" t="s">
        <v>67</v>
      </c>
      <c r="B31" t="s">
        <v>70</v>
      </c>
      <c r="C31">
        <v>6</v>
      </c>
      <c r="D31" t="s">
        <v>109</v>
      </c>
      <c r="E31" t="s">
        <v>104</v>
      </c>
      <c r="F31" t="s">
        <v>105</v>
      </c>
      <c r="G31">
        <v>0</v>
      </c>
      <c r="H31" t="str">
        <f>CountersTable[[#This Row],[ProjectName]]&amp;CountersTable[[#This Row],[Name]]&amp;CountersTable[[#This Row],[Type]]&amp;CountersTable[[#This Row],[Source]]</f>
        <v>Unnamed Projectsteel_arrivalsCountUser Specified</v>
      </c>
      <c r="I31">
        <f t="array" ref="I31">MAX(IF((ProjectInfoTable[ProjectName]=CountersTable[[#This Row],[ProjectName]]),(ProjectInfoTable[ProjectName]=CountersTable[[#This Row],[ProjectName]])*ProjectInfoTable[NumberOfReplications]))</f>
        <v>15</v>
      </c>
      <c r="J31">
        <f t="array" ref="J31">IFERROR(AVERAGE(IF((CountersTable[GroupByKey]=CountersTable[[#This Row],[GroupByKey]]),(CountersTable[GroupByKey]=CountersTable[[#This Row],[GroupByKey]])*CountersTable[RecordedValue])),0)</f>
        <v>0</v>
      </c>
      <c r="K31">
        <f t="array" ref="K31">IFERROR(_xlfn.STDEV.S(IF((CountersTable[GroupByKey]=CountersTable[[#This Row],[GroupByKey]]),(CountersTable[GroupByKey]=CountersTable[[#This Row],[GroupByKey]])*CountersTable[RecordedValue])),0)</f>
        <v>0</v>
      </c>
      <c r="L31">
        <f t="array" ref="L31">MAX(IF((ProjectInfoTable[ProjectName]=CountersTable[[#This Row],[ProjectName]]),(ProjectInfoTable[ProjectName]=CountersTable[[#This Row],[ProjectName]])*ProjectInfoTable[ConfidenceInterval]))</f>
        <v>0.95</v>
      </c>
      <c r="M31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31">
        <f t="array" ref="N31">MIN(IF((CountersTable[GroupByKey]=CountersTable[[#This Row],[GroupByKey]]),(CountersTable[GroupByKey]=CountersTable[[#This Row],[GroupByKey]])*CountersTable[RecordedValue]))</f>
        <v>0</v>
      </c>
      <c r="O31">
        <f t="array" ref="O31">MAX(IF((CountersTable[GroupByKey]=CountersTable[[#This Row],[GroupByKey]]),(CountersTable[GroupByKey]=CountersTable[[#This Row],[GroupByKey]])*CountersTable[RecordedValue]))</f>
        <v>0</v>
      </c>
    </row>
    <row r="32" spans="1:15" x14ac:dyDescent="0.25">
      <c r="A32" t="s">
        <v>67</v>
      </c>
      <c r="B32" t="s">
        <v>70</v>
      </c>
      <c r="C32">
        <v>7</v>
      </c>
      <c r="D32" t="s">
        <v>103</v>
      </c>
      <c r="E32" t="s">
        <v>104</v>
      </c>
      <c r="F32" t="s">
        <v>105</v>
      </c>
      <c r="G32">
        <v>0</v>
      </c>
      <c r="H32" t="str">
        <f>CountersTable[[#This Row],[ProjectName]]&amp;CountersTable[[#This Row],[Name]]&amp;CountersTable[[#This Row],[Type]]&amp;CountersTable[[#This Row],[Source]]</f>
        <v>Unnamed Projectnum_cleanedCountUser Specified</v>
      </c>
      <c r="I32">
        <f t="array" ref="I32">MAX(IF((ProjectInfoTable[ProjectName]=CountersTable[[#This Row],[ProjectName]]),(ProjectInfoTable[ProjectName]=CountersTable[[#This Row],[ProjectName]])*ProjectInfoTable[NumberOfReplications]))</f>
        <v>15</v>
      </c>
      <c r="J32">
        <f t="array" ref="J32">IFERROR(AVERAGE(IF((CountersTable[GroupByKey]=CountersTable[[#This Row],[GroupByKey]]),(CountersTable[GroupByKey]=CountersTable[[#This Row],[GroupByKey]])*CountersTable[RecordedValue])),0)</f>
        <v>0</v>
      </c>
      <c r="K32">
        <f t="array" ref="K32">IFERROR(_xlfn.STDEV.S(IF((CountersTable[GroupByKey]=CountersTable[[#This Row],[GroupByKey]]),(CountersTable[GroupByKey]=CountersTable[[#This Row],[GroupByKey]])*CountersTable[RecordedValue])),0)</f>
        <v>0</v>
      </c>
      <c r="L32">
        <f t="array" ref="L32">MAX(IF((ProjectInfoTable[ProjectName]=CountersTable[[#This Row],[ProjectName]]),(ProjectInfoTable[ProjectName]=CountersTable[[#This Row],[ProjectName]])*ProjectInfoTable[ConfidenceInterval]))</f>
        <v>0.95</v>
      </c>
      <c r="M32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32">
        <f t="array" ref="N32">MIN(IF((CountersTable[GroupByKey]=CountersTable[[#This Row],[GroupByKey]]),(CountersTable[GroupByKey]=CountersTable[[#This Row],[GroupByKey]])*CountersTable[RecordedValue]))</f>
        <v>0</v>
      </c>
      <c r="O32">
        <f t="array" ref="O32">MAX(IF((CountersTable[GroupByKey]=CountersTable[[#This Row],[GroupByKey]]),(CountersTable[GroupByKey]=CountersTable[[#This Row],[GroupByKey]])*CountersTable[RecordedValue]))</f>
        <v>0</v>
      </c>
    </row>
    <row r="33" spans="1:15" x14ac:dyDescent="0.25">
      <c r="A33" t="s">
        <v>67</v>
      </c>
      <c r="B33" t="s">
        <v>70</v>
      </c>
      <c r="C33">
        <v>7</v>
      </c>
      <c r="D33" t="s">
        <v>106</v>
      </c>
      <c r="E33" t="s">
        <v>104</v>
      </c>
      <c r="F33" t="s">
        <v>105</v>
      </c>
      <c r="G33">
        <v>0</v>
      </c>
      <c r="H33" t="str">
        <f>CountersTable[[#This Row],[ProjectName]]&amp;CountersTable[[#This Row],[Name]]&amp;CountersTable[[#This Row],[Type]]&amp;CountersTable[[#This Row],[Source]]</f>
        <v>Unnamed ProjectpaintedCountUser Specified</v>
      </c>
      <c r="I33">
        <f t="array" ref="I33">MAX(IF((ProjectInfoTable[ProjectName]=CountersTable[[#This Row],[ProjectName]]),(ProjectInfoTable[ProjectName]=CountersTable[[#This Row],[ProjectName]])*ProjectInfoTable[NumberOfReplications]))</f>
        <v>15</v>
      </c>
      <c r="J33">
        <f t="array" ref="J33">IFERROR(AVERAGE(IF((CountersTable[GroupByKey]=CountersTable[[#This Row],[GroupByKey]]),(CountersTable[GroupByKey]=CountersTable[[#This Row],[GroupByKey]])*CountersTable[RecordedValue])),0)</f>
        <v>0</v>
      </c>
      <c r="K33">
        <f t="array" ref="K33">IFERROR(_xlfn.STDEV.S(IF((CountersTable[GroupByKey]=CountersTable[[#This Row],[GroupByKey]]),(CountersTable[GroupByKey]=CountersTable[[#This Row],[GroupByKey]])*CountersTable[RecordedValue])),0)</f>
        <v>0</v>
      </c>
      <c r="L33">
        <f t="array" ref="L33">MAX(IF((ProjectInfoTable[ProjectName]=CountersTable[[#This Row],[ProjectName]]),(ProjectInfoTable[ProjectName]=CountersTable[[#This Row],[ProjectName]])*ProjectInfoTable[ConfidenceInterval]))</f>
        <v>0.95</v>
      </c>
      <c r="M33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33">
        <f t="array" ref="N33">MIN(IF((CountersTable[GroupByKey]=CountersTable[[#This Row],[GroupByKey]]),(CountersTable[GroupByKey]=CountersTable[[#This Row],[GroupByKey]])*CountersTable[RecordedValue]))</f>
        <v>0</v>
      </c>
      <c r="O33">
        <f t="array" ref="O33">MAX(IF((CountersTable[GroupByKey]=CountersTable[[#This Row],[GroupByKey]]),(CountersTable[GroupByKey]=CountersTable[[#This Row],[GroupByKey]])*CountersTable[RecordedValue]))</f>
        <v>0</v>
      </c>
    </row>
    <row r="34" spans="1:15" x14ac:dyDescent="0.25">
      <c r="A34" t="s">
        <v>67</v>
      </c>
      <c r="B34" t="s">
        <v>70</v>
      </c>
      <c r="C34">
        <v>7</v>
      </c>
      <c r="D34" t="s">
        <v>107</v>
      </c>
      <c r="E34" t="s">
        <v>104</v>
      </c>
      <c r="F34" t="s">
        <v>105</v>
      </c>
      <c r="G34">
        <v>0</v>
      </c>
      <c r="H34" t="str">
        <f>CountersTable[[#This Row],[ProjectName]]&amp;CountersTable[[#This Row],[Name]]&amp;CountersTable[[#This Row],[Type]]&amp;CountersTable[[#This Row],[Source]]</f>
        <v>Unnamed ProjectqcapprovedCountUser Specified</v>
      </c>
      <c r="I34">
        <f t="array" ref="I34">MAX(IF((ProjectInfoTable[ProjectName]=CountersTable[[#This Row],[ProjectName]]),(ProjectInfoTable[ProjectName]=CountersTable[[#This Row],[ProjectName]])*ProjectInfoTable[NumberOfReplications]))</f>
        <v>15</v>
      </c>
      <c r="J34">
        <f t="array" ref="J34">IFERROR(AVERAGE(IF((CountersTable[GroupByKey]=CountersTable[[#This Row],[GroupByKey]]),(CountersTable[GroupByKey]=CountersTable[[#This Row],[GroupByKey]])*CountersTable[RecordedValue])),0)</f>
        <v>0</v>
      </c>
      <c r="K34">
        <f t="array" ref="K34">IFERROR(_xlfn.STDEV.S(IF((CountersTable[GroupByKey]=CountersTable[[#This Row],[GroupByKey]]),(CountersTable[GroupByKey]=CountersTable[[#This Row],[GroupByKey]])*CountersTable[RecordedValue])),0)</f>
        <v>0</v>
      </c>
      <c r="L34">
        <f t="array" ref="L34">MAX(IF((ProjectInfoTable[ProjectName]=CountersTable[[#This Row],[ProjectName]]),(ProjectInfoTable[ProjectName]=CountersTable[[#This Row],[ProjectName]])*ProjectInfoTable[ConfidenceInterval]))</f>
        <v>0.95</v>
      </c>
      <c r="M34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34">
        <f t="array" ref="N34">MIN(IF((CountersTable[GroupByKey]=CountersTable[[#This Row],[GroupByKey]]),(CountersTable[GroupByKey]=CountersTable[[#This Row],[GroupByKey]])*CountersTable[RecordedValue]))</f>
        <v>0</v>
      </c>
      <c r="O34">
        <f t="array" ref="O34">MAX(IF((CountersTable[GroupByKey]=CountersTable[[#This Row],[GroupByKey]]),(CountersTable[GroupByKey]=CountersTable[[#This Row],[GroupByKey]])*CountersTable[RecordedValue]))</f>
        <v>0</v>
      </c>
    </row>
    <row r="35" spans="1:15" x14ac:dyDescent="0.25">
      <c r="A35" t="s">
        <v>67</v>
      </c>
      <c r="B35" t="s">
        <v>70</v>
      </c>
      <c r="C35">
        <v>7</v>
      </c>
      <c r="D35" t="s">
        <v>108</v>
      </c>
      <c r="E35" t="s">
        <v>104</v>
      </c>
      <c r="F35" t="s">
        <v>105</v>
      </c>
      <c r="G35">
        <v>0</v>
      </c>
      <c r="H35" t="str">
        <f>CountersTable[[#This Row],[ProjectName]]&amp;CountersTable[[#This Row],[Name]]&amp;CountersTable[[#This Row],[Type]]&amp;CountersTable[[#This Row],[Source]]</f>
        <v>Unnamed ProjectsandblastedCountUser Specified</v>
      </c>
      <c r="I35">
        <f t="array" ref="I35">MAX(IF((ProjectInfoTable[ProjectName]=CountersTable[[#This Row],[ProjectName]]),(ProjectInfoTable[ProjectName]=CountersTable[[#This Row],[ProjectName]])*ProjectInfoTable[NumberOfReplications]))</f>
        <v>15</v>
      </c>
      <c r="J35">
        <f t="array" ref="J35">IFERROR(AVERAGE(IF((CountersTable[GroupByKey]=CountersTable[[#This Row],[GroupByKey]]),(CountersTable[GroupByKey]=CountersTable[[#This Row],[GroupByKey]])*CountersTable[RecordedValue])),0)</f>
        <v>0</v>
      </c>
      <c r="K35">
        <f t="array" ref="K35">IFERROR(_xlfn.STDEV.S(IF((CountersTable[GroupByKey]=CountersTable[[#This Row],[GroupByKey]]),(CountersTable[GroupByKey]=CountersTable[[#This Row],[GroupByKey]])*CountersTable[RecordedValue])),0)</f>
        <v>0</v>
      </c>
      <c r="L35">
        <f t="array" ref="L35">MAX(IF((ProjectInfoTable[ProjectName]=CountersTable[[#This Row],[ProjectName]]),(ProjectInfoTable[ProjectName]=CountersTable[[#This Row],[ProjectName]])*ProjectInfoTable[ConfidenceInterval]))</f>
        <v>0.95</v>
      </c>
      <c r="M35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35">
        <f t="array" ref="N35">MIN(IF((CountersTable[GroupByKey]=CountersTable[[#This Row],[GroupByKey]]),(CountersTable[GroupByKey]=CountersTable[[#This Row],[GroupByKey]])*CountersTable[RecordedValue]))</f>
        <v>0</v>
      </c>
      <c r="O35">
        <f t="array" ref="O35">MAX(IF((CountersTable[GroupByKey]=CountersTable[[#This Row],[GroupByKey]]),(CountersTable[GroupByKey]=CountersTable[[#This Row],[GroupByKey]])*CountersTable[RecordedValue]))</f>
        <v>0</v>
      </c>
    </row>
    <row r="36" spans="1:15" x14ac:dyDescent="0.25">
      <c r="A36" t="s">
        <v>67</v>
      </c>
      <c r="B36" t="s">
        <v>70</v>
      </c>
      <c r="C36">
        <v>7</v>
      </c>
      <c r="D36" t="s">
        <v>109</v>
      </c>
      <c r="E36" t="s">
        <v>104</v>
      </c>
      <c r="F36" t="s">
        <v>105</v>
      </c>
      <c r="G36">
        <v>0</v>
      </c>
      <c r="H36" t="str">
        <f>CountersTable[[#This Row],[ProjectName]]&amp;CountersTable[[#This Row],[Name]]&amp;CountersTable[[#This Row],[Type]]&amp;CountersTable[[#This Row],[Source]]</f>
        <v>Unnamed Projectsteel_arrivalsCountUser Specified</v>
      </c>
      <c r="I36">
        <f t="array" ref="I36">MAX(IF((ProjectInfoTable[ProjectName]=CountersTable[[#This Row],[ProjectName]]),(ProjectInfoTable[ProjectName]=CountersTable[[#This Row],[ProjectName]])*ProjectInfoTable[NumberOfReplications]))</f>
        <v>15</v>
      </c>
      <c r="J36">
        <f t="array" ref="J36">IFERROR(AVERAGE(IF((CountersTable[GroupByKey]=CountersTable[[#This Row],[GroupByKey]]),(CountersTable[GroupByKey]=CountersTable[[#This Row],[GroupByKey]])*CountersTable[RecordedValue])),0)</f>
        <v>0</v>
      </c>
      <c r="K36">
        <f t="array" ref="K36">IFERROR(_xlfn.STDEV.S(IF((CountersTable[GroupByKey]=CountersTable[[#This Row],[GroupByKey]]),(CountersTable[GroupByKey]=CountersTable[[#This Row],[GroupByKey]])*CountersTable[RecordedValue])),0)</f>
        <v>0</v>
      </c>
      <c r="L36">
        <f t="array" ref="L36">MAX(IF((ProjectInfoTable[ProjectName]=CountersTable[[#This Row],[ProjectName]]),(ProjectInfoTable[ProjectName]=CountersTable[[#This Row],[ProjectName]])*ProjectInfoTable[ConfidenceInterval]))</f>
        <v>0.95</v>
      </c>
      <c r="M36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36">
        <f t="array" ref="N36">MIN(IF((CountersTable[GroupByKey]=CountersTable[[#This Row],[GroupByKey]]),(CountersTable[GroupByKey]=CountersTable[[#This Row],[GroupByKey]])*CountersTable[RecordedValue]))</f>
        <v>0</v>
      </c>
      <c r="O36">
        <f t="array" ref="O36">MAX(IF((CountersTable[GroupByKey]=CountersTable[[#This Row],[GroupByKey]]),(CountersTable[GroupByKey]=CountersTable[[#This Row],[GroupByKey]])*CountersTable[RecordedValue]))</f>
        <v>0</v>
      </c>
    </row>
    <row r="37" spans="1:15" x14ac:dyDescent="0.25">
      <c r="A37" t="s">
        <v>67</v>
      </c>
      <c r="B37" t="s">
        <v>70</v>
      </c>
      <c r="C37">
        <v>8</v>
      </c>
      <c r="D37" t="s">
        <v>103</v>
      </c>
      <c r="E37" t="s">
        <v>104</v>
      </c>
      <c r="F37" t="s">
        <v>105</v>
      </c>
      <c r="G37">
        <v>0</v>
      </c>
      <c r="H37" t="str">
        <f>CountersTable[[#This Row],[ProjectName]]&amp;CountersTable[[#This Row],[Name]]&amp;CountersTable[[#This Row],[Type]]&amp;CountersTable[[#This Row],[Source]]</f>
        <v>Unnamed Projectnum_cleanedCountUser Specified</v>
      </c>
      <c r="I37">
        <f t="array" ref="I37">MAX(IF((ProjectInfoTable[ProjectName]=CountersTable[[#This Row],[ProjectName]]),(ProjectInfoTable[ProjectName]=CountersTable[[#This Row],[ProjectName]])*ProjectInfoTable[NumberOfReplications]))</f>
        <v>15</v>
      </c>
      <c r="J37">
        <f t="array" ref="J37">IFERROR(AVERAGE(IF((CountersTable[GroupByKey]=CountersTable[[#This Row],[GroupByKey]]),(CountersTable[GroupByKey]=CountersTable[[#This Row],[GroupByKey]])*CountersTable[RecordedValue])),0)</f>
        <v>0</v>
      </c>
      <c r="K37">
        <f t="array" ref="K37">IFERROR(_xlfn.STDEV.S(IF((CountersTable[GroupByKey]=CountersTable[[#This Row],[GroupByKey]]),(CountersTable[GroupByKey]=CountersTable[[#This Row],[GroupByKey]])*CountersTable[RecordedValue])),0)</f>
        <v>0</v>
      </c>
      <c r="L37">
        <f t="array" ref="L37">MAX(IF((ProjectInfoTable[ProjectName]=CountersTable[[#This Row],[ProjectName]]),(ProjectInfoTable[ProjectName]=CountersTable[[#This Row],[ProjectName]])*ProjectInfoTable[ConfidenceInterval]))</f>
        <v>0.95</v>
      </c>
      <c r="M37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37">
        <f t="array" ref="N37">MIN(IF((CountersTable[GroupByKey]=CountersTable[[#This Row],[GroupByKey]]),(CountersTable[GroupByKey]=CountersTable[[#This Row],[GroupByKey]])*CountersTable[RecordedValue]))</f>
        <v>0</v>
      </c>
      <c r="O37">
        <f t="array" ref="O37">MAX(IF((CountersTable[GroupByKey]=CountersTable[[#This Row],[GroupByKey]]),(CountersTable[GroupByKey]=CountersTable[[#This Row],[GroupByKey]])*CountersTable[RecordedValue]))</f>
        <v>0</v>
      </c>
    </row>
    <row r="38" spans="1:15" x14ac:dyDescent="0.25">
      <c r="A38" t="s">
        <v>67</v>
      </c>
      <c r="B38" t="s">
        <v>70</v>
      </c>
      <c r="C38">
        <v>8</v>
      </c>
      <c r="D38" t="s">
        <v>106</v>
      </c>
      <c r="E38" t="s">
        <v>104</v>
      </c>
      <c r="F38" t="s">
        <v>105</v>
      </c>
      <c r="G38">
        <v>0</v>
      </c>
      <c r="H38" t="str">
        <f>CountersTable[[#This Row],[ProjectName]]&amp;CountersTable[[#This Row],[Name]]&amp;CountersTable[[#This Row],[Type]]&amp;CountersTable[[#This Row],[Source]]</f>
        <v>Unnamed ProjectpaintedCountUser Specified</v>
      </c>
      <c r="I38">
        <f t="array" ref="I38">MAX(IF((ProjectInfoTable[ProjectName]=CountersTable[[#This Row],[ProjectName]]),(ProjectInfoTable[ProjectName]=CountersTable[[#This Row],[ProjectName]])*ProjectInfoTable[NumberOfReplications]))</f>
        <v>15</v>
      </c>
      <c r="J38">
        <f t="array" ref="J38">IFERROR(AVERAGE(IF((CountersTable[GroupByKey]=CountersTable[[#This Row],[GroupByKey]]),(CountersTable[GroupByKey]=CountersTable[[#This Row],[GroupByKey]])*CountersTable[RecordedValue])),0)</f>
        <v>0</v>
      </c>
      <c r="K38">
        <f t="array" ref="K38">IFERROR(_xlfn.STDEV.S(IF((CountersTable[GroupByKey]=CountersTable[[#This Row],[GroupByKey]]),(CountersTable[GroupByKey]=CountersTable[[#This Row],[GroupByKey]])*CountersTable[RecordedValue])),0)</f>
        <v>0</v>
      </c>
      <c r="L38">
        <f t="array" ref="L38">MAX(IF((ProjectInfoTable[ProjectName]=CountersTable[[#This Row],[ProjectName]]),(ProjectInfoTable[ProjectName]=CountersTable[[#This Row],[ProjectName]])*ProjectInfoTable[ConfidenceInterval]))</f>
        <v>0.95</v>
      </c>
      <c r="M38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38">
        <f t="array" ref="N38">MIN(IF((CountersTable[GroupByKey]=CountersTable[[#This Row],[GroupByKey]]),(CountersTable[GroupByKey]=CountersTable[[#This Row],[GroupByKey]])*CountersTable[RecordedValue]))</f>
        <v>0</v>
      </c>
      <c r="O38">
        <f t="array" ref="O38">MAX(IF((CountersTable[GroupByKey]=CountersTable[[#This Row],[GroupByKey]]),(CountersTable[GroupByKey]=CountersTable[[#This Row],[GroupByKey]])*CountersTable[RecordedValue]))</f>
        <v>0</v>
      </c>
    </row>
    <row r="39" spans="1:15" x14ac:dyDescent="0.25">
      <c r="A39" t="s">
        <v>67</v>
      </c>
      <c r="B39" t="s">
        <v>70</v>
      </c>
      <c r="C39">
        <v>8</v>
      </c>
      <c r="D39" t="s">
        <v>107</v>
      </c>
      <c r="E39" t="s">
        <v>104</v>
      </c>
      <c r="F39" t="s">
        <v>105</v>
      </c>
      <c r="G39">
        <v>0</v>
      </c>
      <c r="H39" t="str">
        <f>CountersTable[[#This Row],[ProjectName]]&amp;CountersTable[[#This Row],[Name]]&amp;CountersTable[[#This Row],[Type]]&amp;CountersTable[[#This Row],[Source]]</f>
        <v>Unnamed ProjectqcapprovedCountUser Specified</v>
      </c>
      <c r="I39">
        <f t="array" ref="I39">MAX(IF((ProjectInfoTable[ProjectName]=CountersTable[[#This Row],[ProjectName]]),(ProjectInfoTable[ProjectName]=CountersTable[[#This Row],[ProjectName]])*ProjectInfoTable[NumberOfReplications]))</f>
        <v>15</v>
      </c>
      <c r="J39">
        <f t="array" ref="J39">IFERROR(AVERAGE(IF((CountersTable[GroupByKey]=CountersTable[[#This Row],[GroupByKey]]),(CountersTable[GroupByKey]=CountersTable[[#This Row],[GroupByKey]])*CountersTable[RecordedValue])),0)</f>
        <v>0</v>
      </c>
      <c r="K39">
        <f t="array" ref="K39">IFERROR(_xlfn.STDEV.S(IF((CountersTable[GroupByKey]=CountersTable[[#This Row],[GroupByKey]]),(CountersTable[GroupByKey]=CountersTable[[#This Row],[GroupByKey]])*CountersTable[RecordedValue])),0)</f>
        <v>0</v>
      </c>
      <c r="L39">
        <f t="array" ref="L39">MAX(IF((ProjectInfoTable[ProjectName]=CountersTable[[#This Row],[ProjectName]]),(ProjectInfoTable[ProjectName]=CountersTable[[#This Row],[ProjectName]])*ProjectInfoTable[ConfidenceInterval]))</f>
        <v>0.95</v>
      </c>
      <c r="M39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39">
        <f t="array" ref="N39">MIN(IF((CountersTable[GroupByKey]=CountersTable[[#This Row],[GroupByKey]]),(CountersTable[GroupByKey]=CountersTable[[#This Row],[GroupByKey]])*CountersTable[RecordedValue]))</f>
        <v>0</v>
      </c>
      <c r="O39">
        <f t="array" ref="O39">MAX(IF((CountersTable[GroupByKey]=CountersTable[[#This Row],[GroupByKey]]),(CountersTable[GroupByKey]=CountersTable[[#This Row],[GroupByKey]])*CountersTable[RecordedValue]))</f>
        <v>0</v>
      </c>
    </row>
    <row r="40" spans="1:15" x14ac:dyDescent="0.25">
      <c r="A40" t="s">
        <v>67</v>
      </c>
      <c r="B40" t="s">
        <v>70</v>
      </c>
      <c r="C40">
        <v>8</v>
      </c>
      <c r="D40" t="s">
        <v>108</v>
      </c>
      <c r="E40" t="s">
        <v>104</v>
      </c>
      <c r="F40" t="s">
        <v>105</v>
      </c>
      <c r="G40">
        <v>0</v>
      </c>
      <c r="H40" t="str">
        <f>CountersTable[[#This Row],[ProjectName]]&amp;CountersTable[[#This Row],[Name]]&amp;CountersTable[[#This Row],[Type]]&amp;CountersTable[[#This Row],[Source]]</f>
        <v>Unnamed ProjectsandblastedCountUser Specified</v>
      </c>
      <c r="I40">
        <f t="array" ref="I40">MAX(IF((ProjectInfoTable[ProjectName]=CountersTable[[#This Row],[ProjectName]]),(ProjectInfoTable[ProjectName]=CountersTable[[#This Row],[ProjectName]])*ProjectInfoTable[NumberOfReplications]))</f>
        <v>15</v>
      </c>
      <c r="J40">
        <f t="array" ref="J40">IFERROR(AVERAGE(IF((CountersTable[GroupByKey]=CountersTable[[#This Row],[GroupByKey]]),(CountersTable[GroupByKey]=CountersTable[[#This Row],[GroupByKey]])*CountersTable[RecordedValue])),0)</f>
        <v>0</v>
      </c>
      <c r="K40">
        <f t="array" ref="K40">IFERROR(_xlfn.STDEV.S(IF((CountersTable[GroupByKey]=CountersTable[[#This Row],[GroupByKey]]),(CountersTable[GroupByKey]=CountersTable[[#This Row],[GroupByKey]])*CountersTable[RecordedValue])),0)</f>
        <v>0</v>
      </c>
      <c r="L40">
        <f t="array" ref="L40">MAX(IF((ProjectInfoTable[ProjectName]=CountersTable[[#This Row],[ProjectName]]),(ProjectInfoTable[ProjectName]=CountersTable[[#This Row],[ProjectName]])*ProjectInfoTable[ConfidenceInterval]))</f>
        <v>0.95</v>
      </c>
      <c r="M40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40">
        <f t="array" ref="N40">MIN(IF((CountersTable[GroupByKey]=CountersTable[[#This Row],[GroupByKey]]),(CountersTable[GroupByKey]=CountersTable[[#This Row],[GroupByKey]])*CountersTable[RecordedValue]))</f>
        <v>0</v>
      </c>
      <c r="O40">
        <f t="array" ref="O40">MAX(IF((CountersTable[GroupByKey]=CountersTable[[#This Row],[GroupByKey]]),(CountersTable[GroupByKey]=CountersTable[[#This Row],[GroupByKey]])*CountersTable[RecordedValue]))</f>
        <v>0</v>
      </c>
    </row>
    <row r="41" spans="1:15" x14ac:dyDescent="0.25">
      <c r="A41" t="s">
        <v>67</v>
      </c>
      <c r="B41" t="s">
        <v>70</v>
      </c>
      <c r="C41">
        <v>8</v>
      </c>
      <c r="D41" t="s">
        <v>109</v>
      </c>
      <c r="E41" t="s">
        <v>104</v>
      </c>
      <c r="F41" t="s">
        <v>105</v>
      </c>
      <c r="G41">
        <v>0</v>
      </c>
      <c r="H41" t="str">
        <f>CountersTable[[#This Row],[ProjectName]]&amp;CountersTable[[#This Row],[Name]]&amp;CountersTable[[#This Row],[Type]]&amp;CountersTable[[#This Row],[Source]]</f>
        <v>Unnamed Projectsteel_arrivalsCountUser Specified</v>
      </c>
      <c r="I41">
        <f t="array" ref="I41">MAX(IF((ProjectInfoTable[ProjectName]=CountersTable[[#This Row],[ProjectName]]),(ProjectInfoTable[ProjectName]=CountersTable[[#This Row],[ProjectName]])*ProjectInfoTable[NumberOfReplications]))</f>
        <v>15</v>
      </c>
      <c r="J41">
        <f t="array" ref="J41">IFERROR(AVERAGE(IF((CountersTable[GroupByKey]=CountersTable[[#This Row],[GroupByKey]]),(CountersTable[GroupByKey]=CountersTable[[#This Row],[GroupByKey]])*CountersTable[RecordedValue])),0)</f>
        <v>0</v>
      </c>
      <c r="K41">
        <f t="array" ref="K41">IFERROR(_xlfn.STDEV.S(IF((CountersTable[GroupByKey]=CountersTable[[#This Row],[GroupByKey]]),(CountersTable[GroupByKey]=CountersTable[[#This Row],[GroupByKey]])*CountersTable[RecordedValue])),0)</f>
        <v>0</v>
      </c>
      <c r="L41">
        <f t="array" ref="L41">MAX(IF((ProjectInfoTable[ProjectName]=CountersTable[[#This Row],[ProjectName]]),(ProjectInfoTable[ProjectName]=CountersTable[[#This Row],[ProjectName]])*ProjectInfoTable[ConfidenceInterval]))</f>
        <v>0.95</v>
      </c>
      <c r="M41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41">
        <f t="array" ref="N41">MIN(IF((CountersTable[GroupByKey]=CountersTable[[#This Row],[GroupByKey]]),(CountersTable[GroupByKey]=CountersTable[[#This Row],[GroupByKey]])*CountersTable[RecordedValue]))</f>
        <v>0</v>
      </c>
      <c r="O41">
        <f t="array" ref="O41">MAX(IF((CountersTable[GroupByKey]=CountersTable[[#This Row],[GroupByKey]]),(CountersTable[GroupByKey]=CountersTable[[#This Row],[GroupByKey]])*CountersTable[RecordedValue]))</f>
        <v>0</v>
      </c>
    </row>
    <row r="42" spans="1:15" x14ac:dyDescent="0.25">
      <c r="A42" t="s">
        <v>67</v>
      </c>
      <c r="B42" t="s">
        <v>70</v>
      </c>
      <c r="C42">
        <v>9</v>
      </c>
      <c r="D42" t="s">
        <v>103</v>
      </c>
      <c r="E42" t="s">
        <v>104</v>
      </c>
      <c r="F42" t="s">
        <v>105</v>
      </c>
      <c r="G42">
        <v>0</v>
      </c>
      <c r="H42" t="str">
        <f>CountersTable[[#This Row],[ProjectName]]&amp;CountersTable[[#This Row],[Name]]&amp;CountersTable[[#This Row],[Type]]&amp;CountersTable[[#This Row],[Source]]</f>
        <v>Unnamed Projectnum_cleanedCountUser Specified</v>
      </c>
      <c r="I42">
        <f t="array" ref="I42">MAX(IF((ProjectInfoTable[ProjectName]=CountersTable[[#This Row],[ProjectName]]),(ProjectInfoTable[ProjectName]=CountersTable[[#This Row],[ProjectName]])*ProjectInfoTable[NumberOfReplications]))</f>
        <v>15</v>
      </c>
      <c r="J42">
        <f t="array" ref="J42">IFERROR(AVERAGE(IF((CountersTable[GroupByKey]=CountersTable[[#This Row],[GroupByKey]]),(CountersTable[GroupByKey]=CountersTable[[#This Row],[GroupByKey]])*CountersTable[RecordedValue])),0)</f>
        <v>0</v>
      </c>
      <c r="K42">
        <f t="array" ref="K42">IFERROR(_xlfn.STDEV.S(IF((CountersTable[GroupByKey]=CountersTable[[#This Row],[GroupByKey]]),(CountersTable[GroupByKey]=CountersTable[[#This Row],[GroupByKey]])*CountersTable[RecordedValue])),0)</f>
        <v>0</v>
      </c>
      <c r="L42">
        <f t="array" ref="L42">MAX(IF((ProjectInfoTable[ProjectName]=CountersTable[[#This Row],[ProjectName]]),(ProjectInfoTable[ProjectName]=CountersTable[[#This Row],[ProjectName]])*ProjectInfoTable[ConfidenceInterval]))</f>
        <v>0.95</v>
      </c>
      <c r="M42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42">
        <f t="array" ref="N42">MIN(IF((CountersTable[GroupByKey]=CountersTable[[#This Row],[GroupByKey]]),(CountersTable[GroupByKey]=CountersTable[[#This Row],[GroupByKey]])*CountersTable[RecordedValue]))</f>
        <v>0</v>
      </c>
      <c r="O42">
        <f t="array" ref="O42">MAX(IF((CountersTable[GroupByKey]=CountersTable[[#This Row],[GroupByKey]]),(CountersTable[GroupByKey]=CountersTable[[#This Row],[GroupByKey]])*CountersTable[RecordedValue]))</f>
        <v>0</v>
      </c>
    </row>
    <row r="43" spans="1:15" x14ac:dyDescent="0.25">
      <c r="A43" t="s">
        <v>67</v>
      </c>
      <c r="B43" t="s">
        <v>70</v>
      </c>
      <c r="C43">
        <v>9</v>
      </c>
      <c r="D43" t="s">
        <v>106</v>
      </c>
      <c r="E43" t="s">
        <v>104</v>
      </c>
      <c r="F43" t="s">
        <v>105</v>
      </c>
      <c r="G43">
        <v>0</v>
      </c>
      <c r="H43" t="str">
        <f>CountersTable[[#This Row],[ProjectName]]&amp;CountersTable[[#This Row],[Name]]&amp;CountersTable[[#This Row],[Type]]&amp;CountersTable[[#This Row],[Source]]</f>
        <v>Unnamed ProjectpaintedCountUser Specified</v>
      </c>
      <c r="I43">
        <f t="array" ref="I43">MAX(IF((ProjectInfoTable[ProjectName]=CountersTable[[#This Row],[ProjectName]]),(ProjectInfoTable[ProjectName]=CountersTable[[#This Row],[ProjectName]])*ProjectInfoTable[NumberOfReplications]))</f>
        <v>15</v>
      </c>
      <c r="J43">
        <f t="array" ref="J43">IFERROR(AVERAGE(IF((CountersTable[GroupByKey]=CountersTable[[#This Row],[GroupByKey]]),(CountersTable[GroupByKey]=CountersTable[[#This Row],[GroupByKey]])*CountersTable[RecordedValue])),0)</f>
        <v>0</v>
      </c>
      <c r="K43">
        <f t="array" ref="K43">IFERROR(_xlfn.STDEV.S(IF((CountersTable[GroupByKey]=CountersTable[[#This Row],[GroupByKey]]),(CountersTable[GroupByKey]=CountersTable[[#This Row],[GroupByKey]])*CountersTable[RecordedValue])),0)</f>
        <v>0</v>
      </c>
      <c r="L43">
        <f t="array" ref="L43">MAX(IF((ProjectInfoTable[ProjectName]=CountersTable[[#This Row],[ProjectName]]),(ProjectInfoTable[ProjectName]=CountersTable[[#This Row],[ProjectName]])*ProjectInfoTable[ConfidenceInterval]))</f>
        <v>0.95</v>
      </c>
      <c r="M43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43">
        <f t="array" ref="N43">MIN(IF((CountersTable[GroupByKey]=CountersTable[[#This Row],[GroupByKey]]),(CountersTable[GroupByKey]=CountersTable[[#This Row],[GroupByKey]])*CountersTable[RecordedValue]))</f>
        <v>0</v>
      </c>
      <c r="O43">
        <f t="array" ref="O43">MAX(IF((CountersTable[GroupByKey]=CountersTable[[#This Row],[GroupByKey]]),(CountersTable[GroupByKey]=CountersTable[[#This Row],[GroupByKey]])*CountersTable[RecordedValue]))</f>
        <v>0</v>
      </c>
    </row>
    <row r="44" spans="1:15" x14ac:dyDescent="0.25">
      <c r="A44" t="s">
        <v>67</v>
      </c>
      <c r="B44" t="s">
        <v>70</v>
      </c>
      <c r="C44">
        <v>9</v>
      </c>
      <c r="D44" t="s">
        <v>107</v>
      </c>
      <c r="E44" t="s">
        <v>104</v>
      </c>
      <c r="F44" t="s">
        <v>105</v>
      </c>
      <c r="G44">
        <v>0</v>
      </c>
      <c r="H44" t="str">
        <f>CountersTable[[#This Row],[ProjectName]]&amp;CountersTable[[#This Row],[Name]]&amp;CountersTable[[#This Row],[Type]]&amp;CountersTable[[#This Row],[Source]]</f>
        <v>Unnamed ProjectqcapprovedCountUser Specified</v>
      </c>
      <c r="I44">
        <f t="array" ref="I44">MAX(IF((ProjectInfoTable[ProjectName]=CountersTable[[#This Row],[ProjectName]]),(ProjectInfoTable[ProjectName]=CountersTable[[#This Row],[ProjectName]])*ProjectInfoTable[NumberOfReplications]))</f>
        <v>15</v>
      </c>
      <c r="J44">
        <f t="array" ref="J44">IFERROR(AVERAGE(IF((CountersTable[GroupByKey]=CountersTable[[#This Row],[GroupByKey]]),(CountersTable[GroupByKey]=CountersTable[[#This Row],[GroupByKey]])*CountersTable[RecordedValue])),0)</f>
        <v>0</v>
      </c>
      <c r="K44">
        <f t="array" ref="K44">IFERROR(_xlfn.STDEV.S(IF((CountersTable[GroupByKey]=CountersTable[[#This Row],[GroupByKey]]),(CountersTable[GroupByKey]=CountersTable[[#This Row],[GroupByKey]])*CountersTable[RecordedValue])),0)</f>
        <v>0</v>
      </c>
      <c r="L44">
        <f t="array" ref="L44">MAX(IF((ProjectInfoTable[ProjectName]=CountersTable[[#This Row],[ProjectName]]),(ProjectInfoTable[ProjectName]=CountersTable[[#This Row],[ProjectName]])*ProjectInfoTable[ConfidenceInterval]))</f>
        <v>0.95</v>
      </c>
      <c r="M44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44">
        <f t="array" ref="N44">MIN(IF((CountersTable[GroupByKey]=CountersTable[[#This Row],[GroupByKey]]),(CountersTable[GroupByKey]=CountersTable[[#This Row],[GroupByKey]])*CountersTable[RecordedValue]))</f>
        <v>0</v>
      </c>
      <c r="O44">
        <f t="array" ref="O44">MAX(IF((CountersTable[GroupByKey]=CountersTable[[#This Row],[GroupByKey]]),(CountersTable[GroupByKey]=CountersTable[[#This Row],[GroupByKey]])*CountersTable[RecordedValue]))</f>
        <v>0</v>
      </c>
    </row>
    <row r="45" spans="1:15" x14ac:dyDescent="0.25">
      <c r="A45" t="s">
        <v>67</v>
      </c>
      <c r="B45" t="s">
        <v>70</v>
      </c>
      <c r="C45">
        <v>9</v>
      </c>
      <c r="D45" t="s">
        <v>108</v>
      </c>
      <c r="E45" t="s">
        <v>104</v>
      </c>
      <c r="F45" t="s">
        <v>105</v>
      </c>
      <c r="G45">
        <v>0</v>
      </c>
      <c r="H45" t="str">
        <f>CountersTable[[#This Row],[ProjectName]]&amp;CountersTable[[#This Row],[Name]]&amp;CountersTable[[#This Row],[Type]]&amp;CountersTable[[#This Row],[Source]]</f>
        <v>Unnamed ProjectsandblastedCountUser Specified</v>
      </c>
      <c r="I45">
        <f t="array" ref="I45">MAX(IF((ProjectInfoTable[ProjectName]=CountersTable[[#This Row],[ProjectName]]),(ProjectInfoTable[ProjectName]=CountersTable[[#This Row],[ProjectName]])*ProjectInfoTable[NumberOfReplications]))</f>
        <v>15</v>
      </c>
      <c r="J45">
        <f t="array" ref="J45">IFERROR(AVERAGE(IF((CountersTable[GroupByKey]=CountersTable[[#This Row],[GroupByKey]]),(CountersTable[GroupByKey]=CountersTable[[#This Row],[GroupByKey]])*CountersTable[RecordedValue])),0)</f>
        <v>0</v>
      </c>
      <c r="K45">
        <f t="array" ref="K45">IFERROR(_xlfn.STDEV.S(IF((CountersTable[GroupByKey]=CountersTable[[#This Row],[GroupByKey]]),(CountersTable[GroupByKey]=CountersTable[[#This Row],[GroupByKey]])*CountersTable[RecordedValue])),0)</f>
        <v>0</v>
      </c>
      <c r="L45">
        <f t="array" ref="L45">MAX(IF((ProjectInfoTable[ProjectName]=CountersTable[[#This Row],[ProjectName]]),(ProjectInfoTable[ProjectName]=CountersTable[[#This Row],[ProjectName]])*ProjectInfoTable[ConfidenceInterval]))</f>
        <v>0.95</v>
      </c>
      <c r="M45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45">
        <f t="array" ref="N45">MIN(IF((CountersTable[GroupByKey]=CountersTable[[#This Row],[GroupByKey]]),(CountersTable[GroupByKey]=CountersTable[[#This Row],[GroupByKey]])*CountersTable[RecordedValue]))</f>
        <v>0</v>
      </c>
      <c r="O45">
        <f t="array" ref="O45">MAX(IF((CountersTable[GroupByKey]=CountersTable[[#This Row],[GroupByKey]]),(CountersTable[GroupByKey]=CountersTable[[#This Row],[GroupByKey]])*CountersTable[RecordedValue]))</f>
        <v>0</v>
      </c>
    </row>
    <row r="46" spans="1:15" x14ac:dyDescent="0.25">
      <c r="A46" t="s">
        <v>67</v>
      </c>
      <c r="B46" t="s">
        <v>70</v>
      </c>
      <c r="C46">
        <v>9</v>
      </c>
      <c r="D46" t="s">
        <v>109</v>
      </c>
      <c r="E46" t="s">
        <v>104</v>
      </c>
      <c r="F46" t="s">
        <v>105</v>
      </c>
      <c r="G46">
        <v>0</v>
      </c>
      <c r="H46" t="str">
        <f>CountersTable[[#This Row],[ProjectName]]&amp;CountersTable[[#This Row],[Name]]&amp;CountersTable[[#This Row],[Type]]&amp;CountersTable[[#This Row],[Source]]</f>
        <v>Unnamed Projectsteel_arrivalsCountUser Specified</v>
      </c>
      <c r="I46">
        <f t="array" ref="I46">MAX(IF((ProjectInfoTable[ProjectName]=CountersTable[[#This Row],[ProjectName]]),(ProjectInfoTable[ProjectName]=CountersTable[[#This Row],[ProjectName]])*ProjectInfoTable[NumberOfReplications]))</f>
        <v>15</v>
      </c>
      <c r="J46">
        <f t="array" ref="J46">IFERROR(AVERAGE(IF((CountersTable[GroupByKey]=CountersTable[[#This Row],[GroupByKey]]),(CountersTable[GroupByKey]=CountersTable[[#This Row],[GroupByKey]])*CountersTable[RecordedValue])),0)</f>
        <v>0</v>
      </c>
      <c r="K46">
        <f t="array" ref="K46">IFERROR(_xlfn.STDEV.S(IF((CountersTable[GroupByKey]=CountersTable[[#This Row],[GroupByKey]]),(CountersTable[GroupByKey]=CountersTable[[#This Row],[GroupByKey]])*CountersTable[RecordedValue])),0)</f>
        <v>0</v>
      </c>
      <c r="L46">
        <f t="array" ref="L46">MAX(IF((ProjectInfoTable[ProjectName]=CountersTable[[#This Row],[ProjectName]]),(ProjectInfoTable[ProjectName]=CountersTable[[#This Row],[ProjectName]])*ProjectInfoTable[ConfidenceInterval]))</f>
        <v>0.95</v>
      </c>
      <c r="M46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46">
        <f t="array" ref="N46">MIN(IF((CountersTable[GroupByKey]=CountersTable[[#This Row],[GroupByKey]]),(CountersTable[GroupByKey]=CountersTable[[#This Row],[GroupByKey]])*CountersTable[RecordedValue]))</f>
        <v>0</v>
      </c>
      <c r="O46">
        <f t="array" ref="O46">MAX(IF((CountersTable[GroupByKey]=CountersTable[[#This Row],[GroupByKey]]),(CountersTable[GroupByKey]=CountersTable[[#This Row],[GroupByKey]])*CountersTable[RecordedValue]))</f>
        <v>0</v>
      </c>
    </row>
    <row r="47" spans="1:15" x14ac:dyDescent="0.25">
      <c r="A47" t="s">
        <v>67</v>
      </c>
      <c r="B47" t="s">
        <v>70</v>
      </c>
      <c r="C47">
        <v>10</v>
      </c>
      <c r="D47" t="s">
        <v>103</v>
      </c>
      <c r="E47" t="s">
        <v>104</v>
      </c>
      <c r="F47" t="s">
        <v>105</v>
      </c>
      <c r="G47">
        <v>0</v>
      </c>
      <c r="H47" t="str">
        <f>CountersTable[[#This Row],[ProjectName]]&amp;CountersTable[[#This Row],[Name]]&amp;CountersTable[[#This Row],[Type]]&amp;CountersTable[[#This Row],[Source]]</f>
        <v>Unnamed Projectnum_cleanedCountUser Specified</v>
      </c>
      <c r="I47">
        <f t="array" ref="I47">MAX(IF((ProjectInfoTable[ProjectName]=CountersTable[[#This Row],[ProjectName]]),(ProjectInfoTable[ProjectName]=CountersTable[[#This Row],[ProjectName]])*ProjectInfoTable[NumberOfReplications]))</f>
        <v>15</v>
      </c>
      <c r="J47">
        <f t="array" ref="J47">IFERROR(AVERAGE(IF((CountersTable[GroupByKey]=CountersTable[[#This Row],[GroupByKey]]),(CountersTable[GroupByKey]=CountersTable[[#This Row],[GroupByKey]])*CountersTable[RecordedValue])),0)</f>
        <v>0</v>
      </c>
      <c r="K47">
        <f t="array" ref="K47">IFERROR(_xlfn.STDEV.S(IF((CountersTable[GroupByKey]=CountersTable[[#This Row],[GroupByKey]]),(CountersTable[GroupByKey]=CountersTable[[#This Row],[GroupByKey]])*CountersTable[RecordedValue])),0)</f>
        <v>0</v>
      </c>
      <c r="L47">
        <f t="array" ref="L47">MAX(IF((ProjectInfoTable[ProjectName]=CountersTable[[#This Row],[ProjectName]]),(ProjectInfoTable[ProjectName]=CountersTable[[#This Row],[ProjectName]])*ProjectInfoTable[ConfidenceInterval]))</f>
        <v>0.95</v>
      </c>
      <c r="M47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47">
        <f t="array" ref="N47">MIN(IF((CountersTable[GroupByKey]=CountersTable[[#This Row],[GroupByKey]]),(CountersTable[GroupByKey]=CountersTable[[#This Row],[GroupByKey]])*CountersTable[RecordedValue]))</f>
        <v>0</v>
      </c>
      <c r="O47">
        <f t="array" ref="O47">MAX(IF((CountersTable[GroupByKey]=CountersTable[[#This Row],[GroupByKey]]),(CountersTable[GroupByKey]=CountersTable[[#This Row],[GroupByKey]])*CountersTable[RecordedValue]))</f>
        <v>0</v>
      </c>
    </row>
    <row r="48" spans="1:15" x14ac:dyDescent="0.25">
      <c r="A48" t="s">
        <v>67</v>
      </c>
      <c r="B48" t="s">
        <v>70</v>
      </c>
      <c r="C48">
        <v>10</v>
      </c>
      <c r="D48" t="s">
        <v>106</v>
      </c>
      <c r="E48" t="s">
        <v>104</v>
      </c>
      <c r="F48" t="s">
        <v>105</v>
      </c>
      <c r="G48">
        <v>0</v>
      </c>
      <c r="H48" t="str">
        <f>CountersTable[[#This Row],[ProjectName]]&amp;CountersTable[[#This Row],[Name]]&amp;CountersTable[[#This Row],[Type]]&amp;CountersTable[[#This Row],[Source]]</f>
        <v>Unnamed ProjectpaintedCountUser Specified</v>
      </c>
      <c r="I48">
        <f t="array" ref="I48">MAX(IF((ProjectInfoTable[ProjectName]=CountersTable[[#This Row],[ProjectName]]),(ProjectInfoTable[ProjectName]=CountersTable[[#This Row],[ProjectName]])*ProjectInfoTable[NumberOfReplications]))</f>
        <v>15</v>
      </c>
      <c r="J48">
        <f t="array" ref="J48">IFERROR(AVERAGE(IF((CountersTable[GroupByKey]=CountersTable[[#This Row],[GroupByKey]]),(CountersTable[GroupByKey]=CountersTable[[#This Row],[GroupByKey]])*CountersTable[RecordedValue])),0)</f>
        <v>0</v>
      </c>
      <c r="K48">
        <f t="array" ref="K48">IFERROR(_xlfn.STDEV.S(IF((CountersTable[GroupByKey]=CountersTable[[#This Row],[GroupByKey]]),(CountersTable[GroupByKey]=CountersTable[[#This Row],[GroupByKey]])*CountersTable[RecordedValue])),0)</f>
        <v>0</v>
      </c>
      <c r="L48">
        <f t="array" ref="L48">MAX(IF((ProjectInfoTable[ProjectName]=CountersTable[[#This Row],[ProjectName]]),(ProjectInfoTable[ProjectName]=CountersTable[[#This Row],[ProjectName]])*ProjectInfoTable[ConfidenceInterval]))</f>
        <v>0.95</v>
      </c>
      <c r="M48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48">
        <f t="array" ref="N48">MIN(IF((CountersTable[GroupByKey]=CountersTable[[#This Row],[GroupByKey]]),(CountersTable[GroupByKey]=CountersTable[[#This Row],[GroupByKey]])*CountersTable[RecordedValue]))</f>
        <v>0</v>
      </c>
      <c r="O48">
        <f t="array" ref="O48">MAX(IF((CountersTable[GroupByKey]=CountersTable[[#This Row],[GroupByKey]]),(CountersTable[GroupByKey]=CountersTable[[#This Row],[GroupByKey]])*CountersTable[RecordedValue]))</f>
        <v>0</v>
      </c>
    </row>
    <row r="49" spans="1:15" x14ac:dyDescent="0.25">
      <c r="A49" t="s">
        <v>67</v>
      </c>
      <c r="B49" t="s">
        <v>70</v>
      </c>
      <c r="C49">
        <v>10</v>
      </c>
      <c r="D49" t="s">
        <v>107</v>
      </c>
      <c r="E49" t="s">
        <v>104</v>
      </c>
      <c r="F49" t="s">
        <v>105</v>
      </c>
      <c r="G49">
        <v>0</v>
      </c>
      <c r="H49" t="str">
        <f>CountersTable[[#This Row],[ProjectName]]&amp;CountersTable[[#This Row],[Name]]&amp;CountersTable[[#This Row],[Type]]&amp;CountersTable[[#This Row],[Source]]</f>
        <v>Unnamed ProjectqcapprovedCountUser Specified</v>
      </c>
      <c r="I49">
        <f t="array" ref="I49">MAX(IF((ProjectInfoTable[ProjectName]=CountersTable[[#This Row],[ProjectName]]),(ProjectInfoTable[ProjectName]=CountersTable[[#This Row],[ProjectName]])*ProjectInfoTable[NumberOfReplications]))</f>
        <v>15</v>
      </c>
      <c r="J49">
        <f t="array" ref="J49">IFERROR(AVERAGE(IF((CountersTable[GroupByKey]=CountersTable[[#This Row],[GroupByKey]]),(CountersTable[GroupByKey]=CountersTable[[#This Row],[GroupByKey]])*CountersTable[RecordedValue])),0)</f>
        <v>0</v>
      </c>
      <c r="K49">
        <f t="array" ref="K49">IFERROR(_xlfn.STDEV.S(IF((CountersTable[GroupByKey]=CountersTable[[#This Row],[GroupByKey]]),(CountersTable[GroupByKey]=CountersTable[[#This Row],[GroupByKey]])*CountersTable[RecordedValue])),0)</f>
        <v>0</v>
      </c>
      <c r="L49">
        <f t="array" ref="L49">MAX(IF((ProjectInfoTable[ProjectName]=CountersTable[[#This Row],[ProjectName]]),(ProjectInfoTable[ProjectName]=CountersTable[[#This Row],[ProjectName]])*ProjectInfoTable[ConfidenceInterval]))</f>
        <v>0.95</v>
      </c>
      <c r="M49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49">
        <f t="array" ref="N49">MIN(IF((CountersTable[GroupByKey]=CountersTable[[#This Row],[GroupByKey]]),(CountersTable[GroupByKey]=CountersTable[[#This Row],[GroupByKey]])*CountersTable[RecordedValue]))</f>
        <v>0</v>
      </c>
      <c r="O49">
        <f t="array" ref="O49">MAX(IF((CountersTable[GroupByKey]=CountersTable[[#This Row],[GroupByKey]]),(CountersTable[GroupByKey]=CountersTable[[#This Row],[GroupByKey]])*CountersTable[RecordedValue]))</f>
        <v>0</v>
      </c>
    </row>
    <row r="50" spans="1:15" x14ac:dyDescent="0.25">
      <c r="A50" t="s">
        <v>67</v>
      </c>
      <c r="B50" t="s">
        <v>70</v>
      </c>
      <c r="C50">
        <v>10</v>
      </c>
      <c r="D50" t="s">
        <v>108</v>
      </c>
      <c r="E50" t="s">
        <v>104</v>
      </c>
      <c r="F50" t="s">
        <v>105</v>
      </c>
      <c r="G50">
        <v>0</v>
      </c>
      <c r="H50" t="str">
        <f>CountersTable[[#This Row],[ProjectName]]&amp;CountersTable[[#This Row],[Name]]&amp;CountersTable[[#This Row],[Type]]&amp;CountersTable[[#This Row],[Source]]</f>
        <v>Unnamed ProjectsandblastedCountUser Specified</v>
      </c>
      <c r="I50">
        <f t="array" ref="I50">MAX(IF((ProjectInfoTable[ProjectName]=CountersTable[[#This Row],[ProjectName]]),(ProjectInfoTable[ProjectName]=CountersTable[[#This Row],[ProjectName]])*ProjectInfoTable[NumberOfReplications]))</f>
        <v>15</v>
      </c>
      <c r="J50">
        <f t="array" ref="J50">IFERROR(AVERAGE(IF((CountersTable[GroupByKey]=CountersTable[[#This Row],[GroupByKey]]),(CountersTable[GroupByKey]=CountersTable[[#This Row],[GroupByKey]])*CountersTable[RecordedValue])),0)</f>
        <v>0</v>
      </c>
      <c r="K50">
        <f t="array" ref="K50">IFERROR(_xlfn.STDEV.S(IF((CountersTable[GroupByKey]=CountersTable[[#This Row],[GroupByKey]]),(CountersTable[GroupByKey]=CountersTable[[#This Row],[GroupByKey]])*CountersTable[RecordedValue])),0)</f>
        <v>0</v>
      </c>
      <c r="L50">
        <f t="array" ref="L50">MAX(IF((ProjectInfoTable[ProjectName]=CountersTable[[#This Row],[ProjectName]]),(ProjectInfoTable[ProjectName]=CountersTable[[#This Row],[ProjectName]])*ProjectInfoTable[ConfidenceInterval]))</f>
        <v>0.95</v>
      </c>
      <c r="M50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50">
        <f t="array" ref="N50">MIN(IF((CountersTable[GroupByKey]=CountersTable[[#This Row],[GroupByKey]]),(CountersTable[GroupByKey]=CountersTable[[#This Row],[GroupByKey]])*CountersTable[RecordedValue]))</f>
        <v>0</v>
      </c>
      <c r="O50">
        <f t="array" ref="O50">MAX(IF((CountersTable[GroupByKey]=CountersTable[[#This Row],[GroupByKey]]),(CountersTable[GroupByKey]=CountersTable[[#This Row],[GroupByKey]])*CountersTable[RecordedValue]))</f>
        <v>0</v>
      </c>
    </row>
    <row r="51" spans="1:15" x14ac:dyDescent="0.25">
      <c r="A51" t="s">
        <v>67</v>
      </c>
      <c r="B51" t="s">
        <v>70</v>
      </c>
      <c r="C51">
        <v>10</v>
      </c>
      <c r="D51" t="s">
        <v>109</v>
      </c>
      <c r="E51" t="s">
        <v>104</v>
      </c>
      <c r="F51" t="s">
        <v>105</v>
      </c>
      <c r="G51">
        <v>0</v>
      </c>
      <c r="H51" t="str">
        <f>CountersTable[[#This Row],[ProjectName]]&amp;CountersTable[[#This Row],[Name]]&amp;CountersTable[[#This Row],[Type]]&amp;CountersTable[[#This Row],[Source]]</f>
        <v>Unnamed Projectsteel_arrivalsCountUser Specified</v>
      </c>
      <c r="I51">
        <f t="array" ref="I51">MAX(IF((ProjectInfoTable[ProjectName]=CountersTable[[#This Row],[ProjectName]]),(ProjectInfoTable[ProjectName]=CountersTable[[#This Row],[ProjectName]])*ProjectInfoTable[NumberOfReplications]))</f>
        <v>15</v>
      </c>
      <c r="J51">
        <f t="array" ref="J51">IFERROR(AVERAGE(IF((CountersTable[GroupByKey]=CountersTable[[#This Row],[GroupByKey]]),(CountersTable[GroupByKey]=CountersTable[[#This Row],[GroupByKey]])*CountersTable[RecordedValue])),0)</f>
        <v>0</v>
      </c>
      <c r="K51">
        <f t="array" ref="K51">IFERROR(_xlfn.STDEV.S(IF((CountersTable[GroupByKey]=CountersTable[[#This Row],[GroupByKey]]),(CountersTable[GroupByKey]=CountersTable[[#This Row],[GroupByKey]])*CountersTable[RecordedValue])),0)</f>
        <v>0</v>
      </c>
      <c r="L51">
        <f t="array" ref="L51">MAX(IF((ProjectInfoTable[ProjectName]=CountersTable[[#This Row],[ProjectName]]),(ProjectInfoTable[ProjectName]=CountersTable[[#This Row],[ProjectName]])*ProjectInfoTable[ConfidenceInterval]))</f>
        <v>0.95</v>
      </c>
      <c r="M51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51">
        <f t="array" ref="N51">MIN(IF((CountersTable[GroupByKey]=CountersTable[[#This Row],[GroupByKey]]),(CountersTable[GroupByKey]=CountersTable[[#This Row],[GroupByKey]])*CountersTable[RecordedValue]))</f>
        <v>0</v>
      </c>
      <c r="O51">
        <f t="array" ref="O51">MAX(IF((CountersTable[GroupByKey]=CountersTable[[#This Row],[GroupByKey]]),(CountersTable[GroupByKey]=CountersTable[[#This Row],[GroupByKey]])*CountersTable[RecordedValue]))</f>
        <v>0</v>
      </c>
    </row>
    <row r="52" spans="1:15" x14ac:dyDescent="0.25">
      <c r="A52" t="s">
        <v>67</v>
      </c>
      <c r="B52" t="s">
        <v>70</v>
      </c>
      <c r="C52">
        <v>11</v>
      </c>
      <c r="D52" t="s">
        <v>103</v>
      </c>
      <c r="E52" t="s">
        <v>104</v>
      </c>
      <c r="F52" t="s">
        <v>105</v>
      </c>
      <c r="G52">
        <v>0</v>
      </c>
      <c r="H52" t="str">
        <f>CountersTable[[#This Row],[ProjectName]]&amp;CountersTable[[#This Row],[Name]]&amp;CountersTable[[#This Row],[Type]]&amp;CountersTable[[#This Row],[Source]]</f>
        <v>Unnamed Projectnum_cleanedCountUser Specified</v>
      </c>
      <c r="I52">
        <f t="array" ref="I52">MAX(IF((ProjectInfoTable[ProjectName]=CountersTable[[#This Row],[ProjectName]]),(ProjectInfoTable[ProjectName]=CountersTable[[#This Row],[ProjectName]])*ProjectInfoTable[NumberOfReplications]))</f>
        <v>15</v>
      </c>
      <c r="J52">
        <f t="array" ref="J52">IFERROR(AVERAGE(IF((CountersTable[GroupByKey]=CountersTable[[#This Row],[GroupByKey]]),(CountersTable[GroupByKey]=CountersTable[[#This Row],[GroupByKey]])*CountersTable[RecordedValue])),0)</f>
        <v>0</v>
      </c>
      <c r="K52">
        <f t="array" ref="K52">IFERROR(_xlfn.STDEV.S(IF((CountersTable[GroupByKey]=CountersTable[[#This Row],[GroupByKey]]),(CountersTable[GroupByKey]=CountersTable[[#This Row],[GroupByKey]])*CountersTable[RecordedValue])),0)</f>
        <v>0</v>
      </c>
      <c r="L52">
        <f t="array" ref="L52">MAX(IF((ProjectInfoTable[ProjectName]=CountersTable[[#This Row],[ProjectName]]),(ProjectInfoTable[ProjectName]=CountersTable[[#This Row],[ProjectName]])*ProjectInfoTable[ConfidenceInterval]))</f>
        <v>0.95</v>
      </c>
      <c r="M52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52">
        <f t="array" ref="N52">MIN(IF((CountersTable[GroupByKey]=CountersTable[[#This Row],[GroupByKey]]),(CountersTable[GroupByKey]=CountersTable[[#This Row],[GroupByKey]])*CountersTable[RecordedValue]))</f>
        <v>0</v>
      </c>
      <c r="O52">
        <f t="array" ref="O52">MAX(IF((CountersTable[GroupByKey]=CountersTable[[#This Row],[GroupByKey]]),(CountersTable[GroupByKey]=CountersTable[[#This Row],[GroupByKey]])*CountersTable[RecordedValue]))</f>
        <v>0</v>
      </c>
    </row>
    <row r="53" spans="1:15" x14ac:dyDescent="0.25">
      <c r="A53" t="s">
        <v>67</v>
      </c>
      <c r="B53" t="s">
        <v>70</v>
      </c>
      <c r="C53">
        <v>11</v>
      </c>
      <c r="D53" t="s">
        <v>106</v>
      </c>
      <c r="E53" t="s">
        <v>104</v>
      </c>
      <c r="F53" t="s">
        <v>105</v>
      </c>
      <c r="G53">
        <v>0</v>
      </c>
      <c r="H53" t="str">
        <f>CountersTable[[#This Row],[ProjectName]]&amp;CountersTable[[#This Row],[Name]]&amp;CountersTable[[#This Row],[Type]]&amp;CountersTable[[#This Row],[Source]]</f>
        <v>Unnamed ProjectpaintedCountUser Specified</v>
      </c>
      <c r="I53">
        <f t="array" ref="I53">MAX(IF((ProjectInfoTable[ProjectName]=CountersTable[[#This Row],[ProjectName]]),(ProjectInfoTable[ProjectName]=CountersTable[[#This Row],[ProjectName]])*ProjectInfoTable[NumberOfReplications]))</f>
        <v>15</v>
      </c>
      <c r="J53">
        <f t="array" ref="J53">IFERROR(AVERAGE(IF((CountersTable[GroupByKey]=CountersTable[[#This Row],[GroupByKey]]),(CountersTable[GroupByKey]=CountersTable[[#This Row],[GroupByKey]])*CountersTable[RecordedValue])),0)</f>
        <v>0</v>
      </c>
      <c r="K53">
        <f t="array" ref="K53">IFERROR(_xlfn.STDEV.S(IF((CountersTable[GroupByKey]=CountersTable[[#This Row],[GroupByKey]]),(CountersTable[GroupByKey]=CountersTable[[#This Row],[GroupByKey]])*CountersTable[RecordedValue])),0)</f>
        <v>0</v>
      </c>
      <c r="L53">
        <f t="array" ref="L53">MAX(IF((ProjectInfoTable[ProjectName]=CountersTable[[#This Row],[ProjectName]]),(ProjectInfoTable[ProjectName]=CountersTable[[#This Row],[ProjectName]])*ProjectInfoTable[ConfidenceInterval]))</f>
        <v>0.95</v>
      </c>
      <c r="M53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53">
        <f t="array" ref="N53">MIN(IF((CountersTable[GroupByKey]=CountersTable[[#This Row],[GroupByKey]]),(CountersTable[GroupByKey]=CountersTable[[#This Row],[GroupByKey]])*CountersTable[RecordedValue]))</f>
        <v>0</v>
      </c>
      <c r="O53">
        <f t="array" ref="O53">MAX(IF((CountersTable[GroupByKey]=CountersTable[[#This Row],[GroupByKey]]),(CountersTable[GroupByKey]=CountersTable[[#This Row],[GroupByKey]])*CountersTable[RecordedValue]))</f>
        <v>0</v>
      </c>
    </row>
    <row r="54" spans="1:15" x14ac:dyDescent="0.25">
      <c r="A54" t="s">
        <v>67</v>
      </c>
      <c r="B54" t="s">
        <v>70</v>
      </c>
      <c r="C54">
        <v>11</v>
      </c>
      <c r="D54" t="s">
        <v>107</v>
      </c>
      <c r="E54" t="s">
        <v>104</v>
      </c>
      <c r="F54" t="s">
        <v>105</v>
      </c>
      <c r="G54">
        <v>0</v>
      </c>
      <c r="H54" t="str">
        <f>CountersTable[[#This Row],[ProjectName]]&amp;CountersTable[[#This Row],[Name]]&amp;CountersTable[[#This Row],[Type]]&amp;CountersTable[[#This Row],[Source]]</f>
        <v>Unnamed ProjectqcapprovedCountUser Specified</v>
      </c>
      <c r="I54">
        <f t="array" ref="I54">MAX(IF((ProjectInfoTable[ProjectName]=CountersTable[[#This Row],[ProjectName]]),(ProjectInfoTable[ProjectName]=CountersTable[[#This Row],[ProjectName]])*ProjectInfoTable[NumberOfReplications]))</f>
        <v>15</v>
      </c>
      <c r="J54">
        <f t="array" ref="J54">IFERROR(AVERAGE(IF((CountersTable[GroupByKey]=CountersTable[[#This Row],[GroupByKey]]),(CountersTable[GroupByKey]=CountersTable[[#This Row],[GroupByKey]])*CountersTable[RecordedValue])),0)</f>
        <v>0</v>
      </c>
      <c r="K54">
        <f t="array" ref="K54">IFERROR(_xlfn.STDEV.S(IF((CountersTable[GroupByKey]=CountersTable[[#This Row],[GroupByKey]]),(CountersTable[GroupByKey]=CountersTable[[#This Row],[GroupByKey]])*CountersTable[RecordedValue])),0)</f>
        <v>0</v>
      </c>
      <c r="L54">
        <f t="array" ref="L54">MAX(IF((ProjectInfoTable[ProjectName]=CountersTable[[#This Row],[ProjectName]]),(ProjectInfoTable[ProjectName]=CountersTable[[#This Row],[ProjectName]])*ProjectInfoTable[ConfidenceInterval]))</f>
        <v>0.95</v>
      </c>
      <c r="M54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54">
        <f t="array" ref="N54">MIN(IF((CountersTable[GroupByKey]=CountersTable[[#This Row],[GroupByKey]]),(CountersTable[GroupByKey]=CountersTable[[#This Row],[GroupByKey]])*CountersTable[RecordedValue]))</f>
        <v>0</v>
      </c>
      <c r="O54">
        <f t="array" ref="O54">MAX(IF((CountersTable[GroupByKey]=CountersTable[[#This Row],[GroupByKey]]),(CountersTable[GroupByKey]=CountersTable[[#This Row],[GroupByKey]])*CountersTable[RecordedValue]))</f>
        <v>0</v>
      </c>
    </row>
    <row r="55" spans="1:15" x14ac:dyDescent="0.25">
      <c r="A55" t="s">
        <v>67</v>
      </c>
      <c r="B55" t="s">
        <v>70</v>
      </c>
      <c r="C55">
        <v>11</v>
      </c>
      <c r="D55" t="s">
        <v>108</v>
      </c>
      <c r="E55" t="s">
        <v>104</v>
      </c>
      <c r="F55" t="s">
        <v>105</v>
      </c>
      <c r="G55">
        <v>0</v>
      </c>
      <c r="H55" t="str">
        <f>CountersTable[[#This Row],[ProjectName]]&amp;CountersTable[[#This Row],[Name]]&amp;CountersTable[[#This Row],[Type]]&amp;CountersTable[[#This Row],[Source]]</f>
        <v>Unnamed ProjectsandblastedCountUser Specified</v>
      </c>
      <c r="I55">
        <f t="array" ref="I55">MAX(IF((ProjectInfoTable[ProjectName]=CountersTable[[#This Row],[ProjectName]]),(ProjectInfoTable[ProjectName]=CountersTable[[#This Row],[ProjectName]])*ProjectInfoTable[NumberOfReplications]))</f>
        <v>15</v>
      </c>
      <c r="J55">
        <f t="array" ref="J55">IFERROR(AVERAGE(IF((CountersTable[GroupByKey]=CountersTable[[#This Row],[GroupByKey]]),(CountersTable[GroupByKey]=CountersTable[[#This Row],[GroupByKey]])*CountersTable[RecordedValue])),0)</f>
        <v>0</v>
      </c>
      <c r="K55">
        <f t="array" ref="K55">IFERROR(_xlfn.STDEV.S(IF((CountersTable[GroupByKey]=CountersTable[[#This Row],[GroupByKey]]),(CountersTable[GroupByKey]=CountersTable[[#This Row],[GroupByKey]])*CountersTable[RecordedValue])),0)</f>
        <v>0</v>
      </c>
      <c r="L55">
        <f t="array" ref="L55">MAX(IF((ProjectInfoTable[ProjectName]=CountersTable[[#This Row],[ProjectName]]),(ProjectInfoTable[ProjectName]=CountersTable[[#This Row],[ProjectName]])*ProjectInfoTable[ConfidenceInterval]))</f>
        <v>0.95</v>
      </c>
      <c r="M55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55">
        <f t="array" ref="N55">MIN(IF((CountersTable[GroupByKey]=CountersTable[[#This Row],[GroupByKey]]),(CountersTable[GroupByKey]=CountersTable[[#This Row],[GroupByKey]])*CountersTable[RecordedValue]))</f>
        <v>0</v>
      </c>
      <c r="O55">
        <f t="array" ref="O55">MAX(IF((CountersTable[GroupByKey]=CountersTable[[#This Row],[GroupByKey]]),(CountersTable[GroupByKey]=CountersTable[[#This Row],[GroupByKey]])*CountersTable[RecordedValue]))</f>
        <v>0</v>
      </c>
    </row>
    <row r="56" spans="1:15" x14ac:dyDescent="0.25">
      <c r="A56" t="s">
        <v>67</v>
      </c>
      <c r="B56" t="s">
        <v>70</v>
      </c>
      <c r="C56">
        <v>11</v>
      </c>
      <c r="D56" t="s">
        <v>109</v>
      </c>
      <c r="E56" t="s">
        <v>104</v>
      </c>
      <c r="F56" t="s">
        <v>105</v>
      </c>
      <c r="G56">
        <v>0</v>
      </c>
      <c r="H56" t="str">
        <f>CountersTable[[#This Row],[ProjectName]]&amp;CountersTable[[#This Row],[Name]]&amp;CountersTable[[#This Row],[Type]]&amp;CountersTable[[#This Row],[Source]]</f>
        <v>Unnamed Projectsteel_arrivalsCountUser Specified</v>
      </c>
      <c r="I56">
        <f t="array" ref="I56">MAX(IF((ProjectInfoTable[ProjectName]=CountersTable[[#This Row],[ProjectName]]),(ProjectInfoTable[ProjectName]=CountersTable[[#This Row],[ProjectName]])*ProjectInfoTable[NumberOfReplications]))</f>
        <v>15</v>
      </c>
      <c r="J56">
        <f t="array" ref="J56">IFERROR(AVERAGE(IF((CountersTable[GroupByKey]=CountersTable[[#This Row],[GroupByKey]]),(CountersTable[GroupByKey]=CountersTable[[#This Row],[GroupByKey]])*CountersTable[RecordedValue])),0)</f>
        <v>0</v>
      </c>
      <c r="K56">
        <f t="array" ref="K56">IFERROR(_xlfn.STDEV.S(IF((CountersTable[GroupByKey]=CountersTable[[#This Row],[GroupByKey]]),(CountersTable[GroupByKey]=CountersTable[[#This Row],[GroupByKey]])*CountersTable[RecordedValue])),0)</f>
        <v>0</v>
      </c>
      <c r="L56">
        <f t="array" ref="L56">MAX(IF((ProjectInfoTable[ProjectName]=CountersTable[[#This Row],[ProjectName]]),(ProjectInfoTable[ProjectName]=CountersTable[[#This Row],[ProjectName]])*ProjectInfoTable[ConfidenceInterval]))</f>
        <v>0.95</v>
      </c>
      <c r="M56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56">
        <f t="array" ref="N56">MIN(IF((CountersTable[GroupByKey]=CountersTable[[#This Row],[GroupByKey]]),(CountersTable[GroupByKey]=CountersTable[[#This Row],[GroupByKey]])*CountersTable[RecordedValue]))</f>
        <v>0</v>
      </c>
      <c r="O56">
        <f t="array" ref="O56">MAX(IF((CountersTable[GroupByKey]=CountersTable[[#This Row],[GroupByKey]]),(CountersTable[GroupByKey]=CountersTable[[#This Row],[GroupByKey]])*CountersTable[RecordedValue]))</f>
        <v>0</v>
      </c>
    </row>
    <row r="57" spans="1:15" x14ac:dyDescent="0.25">
      <c r="A57" t="s">
        <v>67</v>
      </c>
      <c r="B57" t="s">
        <v>70</v>
      </c>
      <c r="C57">
        <v>12</v>
      </c>
      <c r="D57" t="s">
        <v>103</v>
      </c>
      <c r="E57" t="s">
        <v>104</v>
      </c>
      <c r="F57" t="s">
        <v>105</v>
      </c>
      <c r="G57">
        <v>0</v>
      </c>
      <c r="H57" t="str">
        <f>CountersTable[[#This Row],[ProjectName]]&amp;CountersTable[[#This Row],[Name]]&amp;CountersTable[[#This Row],[Type]]&amp;CountersTable[[#This Row],[Source]]</f>
        <v>Unnamed Projectnum_cleanedCountUser Specified</v>
      </c>
      <c r="I57">
        <f t="array" ref="I57">MAX(IF((ProjectInfoTable[ProjectName]=CountersTable[[#This Row],[ProjectName]]),(ProjectInfoTable[ProjectName]=CountersTable[[#This Row],[ProjectName]])*ProjectInfoTable[NumberOfReplications]))</f>
        <v>15</v>
      </c>
      <c r="J57">
        <f t="array" ref="J57">IFERROR(AVERAGE(IF((CountersTable[GroupByKey]=CountersTable[[#This Row],[GroupByKey]]),(CountersTable[GroupByKey]=CountersTable[[#This Row],[GroupByKey]])*CountersTable[RecordedValue])),0)</f>
        <v>0</v>
      </c>
      <c r="K57">
        <f t="array" ref="K57">IFERROR(_xlfn.STDEV.S(IF((CountersTable[GroupByKey]=CountersTable[[#This Row],[GroupByKey]]),(CountersTable[GroupByKey]=CountersTable[[#This Row],[GroupByKey]])*CountersTable[RecordedValue])),0)</f>
        <v>0</v>
      </c>
      <c r="L57">
        <f t="array" ref="L57">MAX(IF((ProjectInfoTable[ProjectName]=CountersTable[[#This Row],[ProjectName]]),(ProjectInfoTable[ProjectName]=CountersTable[[#This Row],[ProjectName]])*ProjectInfoTable[ConfidenceInterval]))</f>
        <v>0.95</v>
      </c>
      <c r="M57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57">
        <f t="array" ref="N57">MIN(IF((CountersTable[GroupByKey]=CountersTable[[#This Row],[GroupByKey]]),(CountersTable[GroupByKey]=CountersTable[[#This Row],[GroupByKey]])*CountersTable[RecordedValue]))</f>
        <v>0</v>
      </c>
      <c r="O57">
        <f t="array" ref="O57">MAX(IF((CountersTable[GroupByKey]=CountersTable[[#This Row],[GroupByKey]]),(CountersTable[GroupByKey]=CountersTable[[#This Row],[GroupByKey]])*CountersTable[RecordedValue]))</f>
        <v>0</v>
      </c>
    </row>
    <row r="58" spans="1:15" x14ac:dyDescent="0.25">
      <c r="A58" t="s">
        <v>67</v>
      </c>
      <c r="B58" t="s">
        <v>70</v>
      </c>
      <c r="C58">
        <v>12</v>
      </c>
      <c r="D58" t="s">
        <v>106</v>
      </c>
      <c r="E58" t="s">
        <v>104</v>
      </c>
      <c r="F58" t="s">
        <v>105</v>
      </c>
      <c r="G58">
        <v>0</v>
      </c>
      <c r="H58" t="str">
        <f>CountersTable[[#This Row],[ProjectName]]&amp;CountersTable[[#This Row],[Name]]&amp;CountersTable[[#This Row],[Type]]&amp;CountersTable[[#This Row],[Source]]</f>
        <v>Unnamed ProjectpaintedCountUser Specified</v>
      </c>
      <c r="I58">
        <f t="array" ref="I58">MAX(IF((ProjectInfoTable[ProjectName]=CountersTable[[#This Row],[ProjectName]]),(ProjectInfoTable[ProjectName]=CountersTable[[#This Row],[ProjectName]])*ProjectInfoTable[NumberOfReplications]))</f>
        <v>15</v>
      </c>
      <c r="J58">
        <f t="array" ref="J58">IFERROR(AVERAGE(IF((CountersTable[GroupByKey]=CountersTable[[#This Row],[GroupByKey]]),(CountersTable[GroupByKey]=CountersTable[[#This Row],[GroupByKey]])*CountersTable[RecordedValue])),0)</f>
        <v>0</v>
      </c>
      <c r="K58">
        <f t="array" ref="K58">IFERROR(_xlfn.STDEV.S(IF((CountersTable[GroupByKey]=CountersTable[[#This Row],[GroupByKey]]),(CountersTable[GroupByKey]=CountersTable[[#This Row],[GroupByKey]])*CountersTable[RecordedValue])),0)</f>
        <v>0</v>
      </c>
      <c r="L58">
        <f t="array" ref="L58">MAX(IF((ProjectInfoTable[ProjectName]=CountersTable[[#This Row],[ProjectName]]),(ProjectInfoTable[ProjectName]=CountersTable[[#This Row],[ProjectName]])*ProjectInfoTable[ConfidenceInterval]))</f>
        <v>0.95</v>
      </c>
      <c r="M58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58">
        <f t="array" ref="N58">MIN(IF((CountersTable[GroupByKey]=CountersTable[[#This Row],[GroupByKey]]),(CountersTable[GroupByKey]=CountersTable[[#This Row],[GroupByKey]])*CountersTable[RecordedValue]))</f>
        <v>0</v>
      </c>
      <c r="O58">
        <f t="array" ref="O58">MAX(IF((CountersTable[GroupByKey]=CountersTable[[#This Row],[GroupByKey]]),(CountersTable[GroupByKey]=CountersTable[[#This Row],[GroupByKey]])*CountersTable[RecordedValue]))</f>
        <v>0</v>
      </c>
    </row>
    <row r="59" spans="1:15" x14ac:dyDescent="0.25">
      <c r="A59" t="s">
        <v>67</v>
      </c>
      <c r="B59" t="s">
        <v>70</v>
      </c>
      <c r="C59">
        <v>12</v>
      </c>
      <c r="D59" t="s">
        <v>107</v>
      </c>
      <c r="E59" t="s">
        <v>104</v>
      </c>
      <c r="F59" t="s">
        <v>105</v>
      </c>
      <c r="G59">
        <v>0</v>
      </c>
      <c r="H59" t="str">
        <f>CountersTable[[#This Row],[ProjectName]]&amp;CountersTable[[#This Row],[Name]]&amp;CountersTable[[#This Row],[Type]]&amp;CountersTable[[#This Row],[Source]]</f>
        <v>Unnamed ProjectqcapprovedCountUser Specified</v>
      </c>
      <c r="I59">
        <f t="array" ref="I59">MAX(IF((ProjectInfoTable[ProjectName]=CountersTable[[#This Row],[ProjectName]]),(ProjectInfoTable[ProjectName]=CountersTable[[#This Row],[ProjectName]])*ProjectInfoTable[NumberOfReplications]))</f>
        <v>15</v>
      </c>
      <c r="J59">
        <f t="array" ref="J59">IFERROR(AVERAGE(IF((CountersTable[GroupByKey]=CountersTable[[#This Row],[GroupByKey]]),(CountersTable[GroupByKey]=CountersTable[[#This Row],[GroupByKey]])*CountersTable[RecordedValue])),0)</f>
        <v>0</v>
      </c>
      <c r="K59">
        <f t="array" ref="K59">IFERROR(_xlfn.STDEV.S(IF((CountersTable[GroupByKey]=CountersTable[[#This Row],[GroupByKey]]),(CountersTable[GroupByKey]=CountersTable[[#This Row],[GroupByKey]])*CountersTable[RecordedValue])),0)</f>
        <v>0</v>
      </c>
      <c r="L59">
        <f t="array" ref="L59">MAX(IF((ProjectInfoTable[ProjectName]=CountersTable[[#This Row],[ProjectName]]),(ProjectInfoTable[ProjectName]=CountersTable[[#This Row],[ProjectName]])*ProjectInfoTable[ConfidenceInterval]))</f>
        <v>0.95</v>
      </c>
      <c r="M59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59">
        <f t="array" ref="N59">MIN(IF((CountersTable[GroupByKey]=CountersTable[[#This Row],[GroupByKey]]),(CountersTable[GroupByKey]=CountersTable[[#This Row],[GroupByKey]])*CountersTable[RecordedValue]))</f>
        <v>0</v>
      </c>
      <c r="O59">
        <f t="array" ref="O59">MAX(IF((CountersTable[GroupByKey]=CountersTable[[#This Row],[GroupByKey]]),(CountersTable[GroupByKey]=CountersTable[[#This Row],[GroupByKey]])*CountersTable[RecordedValue]))</f>
        <v>0</v>
      </c>
    </row>
    <row r="60" spans="1:15" x14ac:dyDescent="0.25">
      <c r="A60" t="s">
        <v>67</v>
      </c>
      <c r="B60" t="s">
        <v>70</v>
      </c>
      <c r="C60">
        <v>12</v>
      </c>
      <c r="D60" t="s">
        <v>108</v>
      </c>
      <c r="E60" t="s">
        <v>104</v>
      </c>
      <c r="F60" t="s">
        <v>105</v>
      </c>
      <c r="G60">
        <v>0</v>
      </c>
      <c r="H60" t="str">
        <f>CountersTable[[#This Row],[ProjectName]]&amp;CountersTable[[#This Row],[Name]]&amp;CountersTable[[#This Row],[Type]]&amp;CountersTable[[#This Row],[Source]]</f>
        <v>Unnamed ProjectsandblastedCountUser Specified</v>
      </c>
      <c r="I60">
        <f t="array" ref="I60">MAX(IF((ProjectInfoTable[ProjectName]=CountersTable[[#This Row],[ProjectName]]),(ProjectInfoTable[ProjectName]=CountersTable[[#This Row],[ProjectName]])*ProjectInfoTable[NumberOfReplications]))</f>
        <v>15</v>
      </c>
      <c r="J60">
        <f t="array" ref="J60">IFERROR(AVERAGE(IF((CountersTable[GroupByKey]=CountersTable[[#This Row],[GroupByKey]]),(CountersTable[GroupByKey]=CountersTable[[#This Row],[GroupByKey]])*CountersTable[RecordedValue])),0)</f>
        <v>0</v>
      </c>
      <c r="K60">
        <f t="array" ref="K60">IFERROR(_xlfn.STDEV.S(IF((CountersTable[GroupByKey]=CountersTable[[#This Row],[GroupByKey]]),(CountersTable[GroupByKey]=CountersTable[[#This Row],[GroupByKey]])*CountersTable[RecordedValue])),0)</f>
        <v>0</v>
      </c>
      <c r="L60">
        <f t="array" ref="L60">MAX(IF((ProjectInfoTable[ProjectName]=CountersTable[[#This Row],[ProjectName]]),(ProjectInfoTable[ProjectName]=CountersTable[[#This Row],[ProjectName]])*ProjectInfoTable[ConfidenceInterval]))</f>
        <v>0.95</v>
      </c>
      <c r="M60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60">
        <f t="array" ref="N60">MIN(IF((CountersTable[GroupByKey]=CountersTable[[#This Row],[GroupByKey]]),(CountersTable[GroupByKey]=CountersTable[[#This Row],[GroupByKey]])*CountersTable[RecordedValue]))</f>
        <v>0</v>
      </c>
      <c r="O60">
        <f t="array" ref="O60">MAX(IF((CountersTable[GroupByKey]=CountersTable[[#This Row],[GroupByKey]]),(CountersTable[GroupByKey]=CountersTable[[#This Row],[GroupByKey]])*CountersTable[RecordedValue]))</f>
        <v>0</v>
      </c>
    </row>
    <row r="61" spans="1:15" x14ac:dyDescent="0.25">
      <c r="A61" t="s">
        <v>67</v>
      </c>
      <c r="B61" t="s">
        <v>70</v>
      </c>
      <c r="C61">
        <v>12</v>
      </c>
      <c r="D61" t="s">
        <v>109</v>
      </c>
      <c r="E61" t="s">
        <v>104</v>
      </c>
      <c r="F61" t="s">
        <v>105</v>
      </c>
      <c r="G61">
        <v>0</v>
      </c>
      <c r="H61" t="str">
        <f>CountersTable[[#This Row],[ProjectName]]&amp;CountersTable[[#This Row],[Name]]&amp;CountersTable[[#This Row],[Type]]&amp;CountersTable[[#This Row],[Source]]</f>
        <v>Unnamed Projectsteel_arrivalsCountUser Specified</v>
      </c>
      <c r="I61">
        <f t="array" ref="I61">MAX(IF((ProjectInfoTable[ProjectName]=CountersTable[[#This Row],[ProjectName]]),(ProjectInfoTable[ProjectName]=CountersTable[[#This Row],[ProjectName]])*ProjectInfoTable[NumberOfReplications]))</f>
        <v>15</v>
      </c>
      <c r="J61">
        <f t="array" ref="J61">IFERROR(AVERAGE(IF((CountersTable[GroupByKey]=CountersTable[[#This Row],[GroupByKey]]),(CountersTable[GroupByKey]=CountersTable[[#This Row],[GroupByKey]])*CountersTable[RecordedValue])),0)</f>
        <v>0</v>
      </c>
      <c r="K61">
        <f t="array" ref="K61">IFERROR(_xlfn.STDEV.S(IF((CountersTable[GroupByKey]=CountersTable[[#This Row],[GroupByKey]]),(CountersTable[GroupByKey]=CountersTable[[#This Row],[GroupByKey]])*CountersTable[RecordedValue])),0)</f>
        <v>0</v>
      </c>
      <c r="L61">
        <f t="array" ref="L61">MAX(IF((ProjectInfoTable[ProjectName]=CountersTable[[#This Row],[ProjectName]]),(ProjectInfoTable[ProjectName]=CountersTable[[#This Row],[ProjectName]])*ProjectInfoTable[ConfidenceInterval]))</f>
        <v>0.95</v>
      </c>
      <c r="M61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61">
        <f t="array" ref="N61">MIN(IF((CountersTable[GroupByKey]=CountersTable[[#This Row],[GroupByKey]]),(CountersTable[GroupByKey]=CountersTable[[#This Row],[GroupByKey]])*CountersTable[RecordedValue]))</f>
        <v>0</v>
      </c>
      <c r="O61">
        <f t="array" ref="O61">MAX(IF((CountersTable[GroupByKey]=CountersTable[[#This Row],[GroupByKey]]),(CountersTable[GroupByKey]=CountersTable[[#This Row],[GroupByKey]])*CountersTable[RecordedValue]))</f>
        <v>0</v>
      </c>
    </row>
    <row r="62" spans="1:15" x14ac:dyDescent="0.25">
      <c r="A62" t="s">
        <v>67</v>
      </c>
      <c r="B62" t="s">
        <v>70</v>
      </c>
      <c r="C62">
        <v>13</v>
      </c>
      <c r="D62" t="s">
        <v>103</v>
      </c>
      <c r="E62" t="s">
        <v>104</v>
      </c>
      <c r="F62" t="s">
        <v>105</v>
      </c>
      <c r="G62">
        <v>0</v>
      </c>
      <c r="H62" t="str">
        <f>CountersTable[[#This Row],[ProjectName]]&amp;CountersTable[[#This Row],[Name]]&amp;CountersTable[[#This Row],[Type]]&amp;CountersTable[[#This Row],[Source]]</f>
        <v>Unnamed Projectnum_cleanedCountUser Specified</v>
      </c>
      <c r="I62">
        <f t="array" ref="I62">MAX(IF((ProjectInfoTable[ProjectName]=CountersTable[[#This Row],[ProjectName]]),(ProjectInfoTable[ProjectName]=CountersTable[[#This Row],[ProjectName]])*ProjectInfoTable[NumberOfReplications]))</f>
        <v>15</v>
      </c>
      <c r="J62">
        <f t="array" ref="J62">IFERROR(AVERAGE(IF((CountersTable[GroupByKey]=CountersTable[[#This Row],[GroupByKey]]),(CountersTable[GroupByKey]=CountersTable[[#This Row],[GroupByKey]])*CountersTable[RecordedValue])),0)</f>
        <v>0</v>
      </c>
      <c r="K62">
        <f t="array" ref="K62">IFERROR(_xlfn.STDEV.S(IF((CountersTable[GroupByKey]=CountersTable[[#This Row],[GroupByKey]]),(CountersTable[GroupByKey]=CountersTable[[#This Row],[GroupByKey]])*CountersTable[RecordedValue])),0)</f>
        <v>0</v>
      </c>
      <c r="L62">
        <f t="array" ref="L62">MAX(IF((ProjectInfoTable[ProjectName]=CountersTable[[#This Row],[ProjectName]]),(ProjectInfoTable[ProjectName]=CountersTable[[#This Row],[ProjectName]])*ProjectInfoTable[ConfidenceInterval]))</f>
        <v>0.95</v>
      </c>
      <c r="M62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62">
        <f t="array" ref="N62">MIN(IF((CountersTable[GroupByKey]=CountersTable[[#This Row],[GroupByKey]]),(CountersTable[GroupByKey]=CountersTable[[#This Row],[GroupByKey]])*CountersTable[RecordedValue]))</f>
        <v>0</v>
      </c>
      <c r="O62">
        <f t="array" ref="O62">MAX(IF((CountersTable[GroupByKey]=CountersTable[[#This Row],[GroupByKey]]),(CountersTable[GroupByKey]=CountersTable[[#This Row],[GroupByKey]])*CountersTable[RecordedValue]))</f>
        <v>0</v>
      </c>
    </row>
    <row r="63" spans="1:15" x14ac:dyDescent="0.25">
      <c r="A63" t="s">
        <v>67</v>
      </c>
      <c r="B63" t="s">
        <v>70</v>
      </c>
      <c r="C63">
        <v>13</v>
      </c>
      <c r="D63" t="s">
        <v>106</v>
      </c>
      <c r="E63" t="s">
        <v>104</v>
      </c>
      <c r="F63" t="s">
        <v>105</v>
      </c>
      <c r="G63">
        <v>0</v>
      </c>
      <c r="H63" t="str">
        <f>CountersTable[[#This Row],[ProjectName]]&amp;CountersTable[[#This Row],[Name]]&amp;CountersTable[[#This Row],[Type]]&amp;CountersTable[[#This Row],[Source]]</f>
        <v>Unnamed ProjectpaintedCountUser Specified</v>
      </c>
      <c r="I63">
        <f t="array" ref="I63">MAX(IF((ProjectInfoTable[ProjectName]=CountersTable[[#This Row],[ProjectName]]),(ProjectInfoTable[ProjectName]=CountersTable[[#This Row],[ProjectName]])*ProjectInfoTable[NumberOfReplications]))</f>
        <v>15</v>
      </c>
      <c r="J63">
        <f t="array" ref="J63">IFERROR(AVERAGE(IF((CountersTable[GroupByKey]=CountersTable[[#This Row],[GroupByKey]]),(CountersTable[GroupByKey]=CountersTable[[#This Row],[GroupByKey]])*CountersTable[RecordedValue])),0)</f>
        <v>0</v>
      </c>
      <c r="K63">
        <f t="array" ref="K63">IFERROR(_xlfn.STDEV.S(IF((CountersTable[GroupByKey]=CountersTable[[#This Row],[GroupByKey]]),(CountersTable[GroupByKey]=CountersTable[[#This Row],[GroupByKey]])*CountersTable[RecordedValue])),0)</f>
        <v>0</v>
      </c>
      <c r="L63">
        <f t="array" ref="L63">MAX(IF((ProjectInfoTable[ProjectName]=CountersTable[[#This Row],[ProjectName]]),(ProjectInfoTable[ProjectName]=CountersTable[[#This Row],[ProjectName]])*ProjectInfoTable[ConfidenceInterval]))</f>
        <v>0.95</v>
      </c>
      <c r="M63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63">
        <f t="array" ref="N63">MIN(IF((CountersTable[GroupByKey]=CountersTable[[#This Row],[GroupByKey]]),(CountersTable[GroupByKey]=CountersTable[[#This Row],[GroupByKey]])*CountersTable[RecordedValue]))</f>
        <v>0</v>
      </c>
      <c r="O63">
        <f t="array" ref="O63">MAX(IF((CountersTable[GroupByKey]=CountersTable[[#This Row],[GroupByKey]]),(CountersTable[GroupByKey]=CountersTable[[#This Row],[GroupByKey]])*CountersTable[RecordedValue]))</f>
        <v>0</v>
      </c>
    </row>
    <row r="64" spans="1:15" x14ac:dyDescent="0.25">
      <c r="A64" t="s">
        <v>67</v>
      </c>
      <c r="B64" t="s">
        <v>70</v>
      </c>
      <c r="C64">
        <v>13</v>
      </c>
      <c r="D64" t="s">
        <v>107</v>
      </c>
      <c r="E64" t="s">
        <v>104</v>
      </c>
      <c r="F64" t="s">
        <v>105</v>
      </c>
      <c r="G64">
        <v>0</v>
      </c>
      <c r="H64" t="str">
        <f>CountersTable[[#This Row],[ProjectName]]&amp;CountersTable[[#This Row],[Name]]&amp;CountersTable[[#This Row],[Type]]&amp;CountersTable[[#This Row],[Source]]</f>
        <v>Unnamed ProjectqcapprovedCountUser Specified</v>
      </c>
      <c r="I64">
        <f t="array" ref="I64">MAX(IF((ProjectInfoTable[ProjectName]=CountersTable[[#This Row],[ProjectName]]),(ProjectInfoTable[ProjectName]=CountersTable[[#This Row],[ProjectName]])*ProjectInfoTable[NumberOfReplications]))</f>
        <v>15</v>
      </c>
      <c r="J64">
        <f t="array" ref="J64">IFERROR(AVERAGE(IF((CountersTable[GroupByKey]=CountersTable[[#This Row],[GroupByKey]]),(CountersTable[GroupByKey]=CountersTable[[#This Row],[GroupByKey]])*CountersTable[RecordedValue])),0)</f>
        <v>0</v>
      </c>
      <c r="K64">
        <f t="array" ref="K64">IFERROR(_xlfn.STDEV.S(IF((CountersTable[GroupByKey]=CountersTable[[#This Row],[GroupByKey]]),(CountersTable[GroupByKey]=CountersTable[[#This Row],[GroupByKey]])*CountersTable[RecordedValue])),0)</f>
        <v>0</v>
      </c>
      <c r="L64">
        <f t="array" ref="L64">MAX(IF((ProjectInfoTable[ProjectName]=CountersTable[[#This Row],[ProjectName]]),(ProjectInfoTable[ProjectName]=CountersTable[[#This Row],[ProjectName]])*ProjectInfoTable[ConfidenceInterval]))</f>
        <v>0.95</v>
      </c>
      <c r="M64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64">
        <f t="array" ref="N64">MIN(IF((CountersTable[GroupByKey]=CountersTable[[#This Row],[GroupByKey]]),(CountersTable[GroupByKey]=CountersTable[[#This Row],[GroupByKey]])*CountersTable[RecordedValue]))</f>
        <v>0</v>
      </c>
      <c r="O64">
        <f t="array" ref="O64">MAX(IF((CountersTable[GroupByKey]=CountersTable[[#This Row],[GroupByKey]]),(CountersTable[GroupByKey]=CountersTable[[#This Row],[GroupByKey]])*CountersTable[RecordedValue]))</f>
        <v>0</v>
      </c>
    </row>
    <row r="65" spans="1:15" x14ac:dyDescent="0.25">
      <c r="A65" t="s">
        <v>67</v>
      </c>
      <c r="B65" t="s">
        <v>70</v>
      </c>
      <c r="C65">
        <v>13</v>
      </c>
      <c r="D65" t="s">
        <v>108</v>
      </c>
      <c r="E65" t="s">
        <v>104</v>
      </c>
      <c r="F65" t="s">
        <v>105</v>
      </c>
      <c r="G65">
        <v>0</v>
      </c>
      <c r="H65" t="str">
        <f>CountersTable[[#This Row],[ProjectName]]&amp;CountersTable[[#This Row],[Name]]&amp;CountersTable[[#This Row],[Type]]&amp;CountersTable[[#This Row],[Source]]</f>
        <v>Unnamed ProjectsandblastedCountUser Specified</v>
      </c>
      <c r="I65">
        <f t="array" ref="I65">MAX(IF((ProjectInfoTable[ProjectName]=CountersTable[[#This Row],[ProjectName]]),(ProjectInfoTable[ProjectName]=CountersTable[[#This Row],[ProjectName]])*ProjectInfoTable[NumberOfReplications]))</f>
        <v>15</v>
      </c>
      <c r="J65">
        <f t="array" ref="J65">IFERROR(AVERAGE(IF((CountersTable[GroupByKey]=CountersTable[[#This Row],[GroupByKey]]),(CountersTable[GroupByKey]=CountersTable[[#This Row],[GroupByKey]])*CountersTable[RecordedValue])),0)</f>
        <v>0</v>
      </c>
      <c r="K65">
        <f t="array" ref="K65">IFERROR(_xlfn.STDEV.S(IF((CountersTable[GroupByKey]=CountersTable[[#This Row],[GroupByKey]]),(CountersTable[GroupByKey]=CountersTable[[#This Row],[GroupByKey]])*CountersTable[RecordedValue])),0)</f>
        <v>0</v>
      </c>
      <c r="L65">
        <f t="array" ref="L65">MAX(IF((ProjectInfoTable[ProjectName]=CountersTable[[#This Row],[ProjectName]]),(ProjectInfoTable[ProjectName]=CountersTable[[#This Row],[ProjectName]])*ProjectInfoTable[ConfidenceInterval]))</f>
        <v>0.95</v>
      </c>
      <c r="M65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65">
        <f t="array" ref="N65">MIN(IF((CountersTable[GroupByKey]=CountersTable[[#This Row],[GroupByKey]]),(CountersTable[GroupByKey]=CountersTable[[#This Row],[GroupByKey]])*CountersTable[RecordedValue]))</f>
        <v>0</v>
      </c>
      <c r="O65">
        <f t="array" ref="O65">MAX(IF((CountersTable[GroupByKey]=CountersTable[[#This Row],[GroupByKey]]),(CountersTable[GroupByKey]=CountersTable[[#This Row],[GroupByKey]])*CountersTable[RecordedValue]))</f>
        <v>0</v>
      </c>
    </row>
    <row r="66" spans="1:15" x14ac:dyDescent="0.25">
      <c r="A66" t="s">
        <v>67</v>
      </c>
      <c r="B66" t="s">
        <v>70</v>
      </c>
      <c r="C66">
        <v>13</v>
      </c>
      <c r="D66" t="s">
        <v>109</v>
      </c>
      <c r="E66" t="s">
        <v>104</v>
      </c>
      <c r="F66" t="s">
        <v>105</v>
      </c>
      <c r="G66">
        <v>0</v>
      </c>
      <c r="H66" t="str">
        <f>CountersTable[[#This Row],[ProjectName]]&amp;CountersTable[[#This Row],[Name]]&amp;CountersTable[[#This Row],[Type]]&amp;CountersTable[[#This Row],[Source]]</f>
        <v>Unnamed Projectsteel_arrivalsCountUser Specified</v>
      </c>
      <c r="I66">
        <f t="array" ref="I66">MAX(IF((ProjectInfoTable[ProjectName]=CountersTable[[#This Row],[ProjectName]]),(ProjectInfoTable[ProjectName]=CountersTable[[#This Row],[ProjectName]])*ProjectInfoTable[NumberOfReplications]))</f>
        <v>15</v>
      </c>
      <c r="J66">
        <f t="array" ref="J66">IFERROR(AVERAGE(IF((CountersTable[GroupByKey]=CountersTable[[#This Row],[GroupByKey]]),(CountersTable[GroupByKey]=CountersTable[[#This Row],[GroupByKey]])*CountersTable[RecordedValue])),0)</f>
        <v>0</v>
      </c>
      <c r="K66">
        <f t="array" ref="K66">IFERROR(_xlfn.STDEV.S(IF((CountersTable[GroupByKey]=CountersTable[[#This Row],[GroupByKey]]),(CountersTable[GroupByKey]=CountersTable[[#This Row],[GroupByKey]])*CountersTable[RecordedValue])),0)</f>
        <v>0</v>
      </c>
      <c r="L66">
        <f t="array" ref="L66">MAX(IF((ProjectInfoTable[ProjectName]=CountersTable[[#This Row],[ProjectName]]),(ProjectInfoTable[ProjectName]=CountersTable[[#This Row],[ProjectName]])*ProjectInfoTable[ConfidenceInterval]))</f>
        <v>0.95</v>
      </c>
      <c r="M66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66">
        <f t="array" ref="N66">MIN(IF((CountersTable[GroupByKey]=CountersTable[[#This Row],[GroupByKey]]),(CountersTable[GroupByKey]=CountersTable[[#This Row],[GroupByKey]])*CountersTable[RecordedValue]))</f>
        <v>0</v>
      </c>
      <c r="O66">
        <f t="array" ref="O66">MAX(IF((CountersTable[GroupByKey]=CountersTable[[#This Row],[GroupByKey]]),(CountersTable[GroupByKey]=CountersTable[[#This Row],[GroupByKey]])*CountersTable[RecordedValue]))</f>
        <v>0</v>
      </c>
    </row>
    <row r="67" spans="1:15" x14ac:dyDescent="0.25">
      <c r="A67" t="s">
        <v>67</v>
      </c>
      <c r="B67" t="s">
        <v>70</v>
      </c>
      <c r="C67">
        <v>14</v>
      </c>
      <c r="D67" t="s">
        <v>103</v>
      </c>
      <c r="E67" t="s">
        <v>104</v>
      </c>
      <c r="F67" t="s">
        <v>105</v>
      </c>
      <c r="G67">
        <v>0</v>
      </c>
      <c r="H67" t="str">
        <f>CountersTable[[#This Row],[ProjectName]]&amp;CountersTable[[#This Row],[Name]]&amp;CountersTable[[#This Row],[Type]]&amp;CountersTable[[#This Row],[Source]]</f>
        <v>Unnamed Projectnum_cleanedCountUser Specified</v>
      </c>
      <c r="I67">
        <f t="array" ref="I67">MAX(IF((ProjectInfoTable[ProjectName]=CountersTable[[#This Row],[ProjectName]]),(ProjectInfoTable[ProjectName]=CountersTable[[#This Row],[ProjectName]])*ProjectInfoTable[NumberOfReplications]))</f>
        <v>15</v>
      </c>
      <c r="J67">
        <f t="array" ref="J67">IFERROR(AVERAGE(IF((CountersTable[GroupByKey]=CountersTable[[#This Row],[GroupByKey]]),(CountersTable[GroupByKey]=CountersTable[[#This Row],[GroupByKey]])*CountersTable[RecordedValue])),0)</f>
        <v>0</v>
      </c>
      <c r="K67">
        <f t="array" ref="K67">IFERROR(_xlfn.STDEV.S(IF((CountersTable[GroupByKey]=CountersTable[[#This Row],[GroupByKey]]),(CountersTable[GroupByKey]=CountersTable[[#This Row],[GroupByKey]])*CountersTable[RecordedValue])),0)</f>
        <v>0</v>
      </c>
      <c r="L67">
        <f t="array" ref="L67">MAX(IF((ProjectInfoTable[ProjectName]=CountersTable[[#This Row],[ProjectName]]),(ProjectInfoTable[ProjectName]=CountersTable[[#This Row],[ProjectName]])*ProjectInfoTable[ConfidenceInterval]))</f>
        <v>0.95</v>
      </c>
      <c r="M67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67">
        <f t="array" ref="N67">MIN(IF((CountersTable[GroupByKey]=CountersTable[[#This Row],[GroupByKey]]),(CountersTable[GroupByKey]=CountersTable[[#This Row],[GroupByKey]])*CountersTable[RecordedValue]))</f>
        <v>0</v>
      </c>
      <c r="O67">
        <f t="array" ref="O67">MAX(IF((CountersTable[GroupByKey]=CountersTable[[#This Row],[GroupByKey]]),(CountersTable[GroupByKey]=CountersTable[[#This Row],[GroupByKey]])*CountersTable[RecordedValue]))</f>
        <v>0</v>
      </c>
    </row>
    <row r="68" spans="1:15" x14ac:dyDescent="0.25">
      <c r="A68" t="s">
        <v>67</v>
      </c>
      <c r="B68" t="s">
        <v>70</v>
      </c>
      <c r="C68">
        <v>14</v>
      </c>
      <c r="D68" t="s">
        <v>106</v>
      </c>
      <c r="E68" t="s">
        <v>104</v>
      </c>
      <c r="F68" t="s">
        <v>105</v>
      </c>
      <c r="G68">
        <v>0</v>
      </c>
      <c r="H68" t="str">
        <f>CountersTable[[#This Row],[ProjectName]]&amp;CountersTable[[#This Row],[Name]]&amp;CountersTable[[#This Row],[Type]]&amp;CountersTable[[#This Row],[Source]]</f>
        <v>Unnamed ProjectpaintedCountUser Specified</v>
      </c>
      <c r="I68">
        <f t="array" ref="I68">MAX(IF((ProjectInfoTable[ProjectName]=CountersTable[[#This Row],[ProjectName]]),(ProjectInfoTable[ProjectName]=CountersTable[[#This Row],[ProjectName]])*ProjectInfoTable[NumberOfReplications]))</f>
        <v>15</v>
      </c>
      <c r="J68">
        <f t="array" ref="J68">IFERROR(AVERAGE(IF((CountersTable[GroupByKey]=CountersTable[[#This Row],[GroupByKey]]),(CountersTable[GroupByKey]=CountersTable[[#This Row],[GroupByKey]])*CountersTable[RecordedValue])),0)</f>
        <v>0</v>
      </c>
      <c r="K68">
        <f t="array" ref="K68">IFERROR(_xlfn.STDEV.S(IF((CountersTable[GroupByKey]=CountersTable[[#This Row],[GroupByKey]]),(CountersTable[GroupByKey]=CountersTable[[#This Row],[GroupByKey]])*CountersTable[RecordedValue])),0)</f>
        <v>0</v>
      </c>
      <c r="L68">
        <f t="array" ref="L68">MAX(IF((ProjectInfoTable[ProjectName]=CountersTable[[#This Row],[ProjectName]]),(ProjectInfoTable[ProjectName]=CountersTable[[#This Row],[ProjectName]])*ProjectInfoTable[ConfidenceInterval]))</f>
        <v>0.95</v>
      </c>
      <c r="M68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68">
        <f t="array" ref="N68">MIN(IF((CountersTable[GroupByKey]=CountersTable[[#This Row],[GroupByKey]]),(CountersTable[GroupByKey]=CountersTable[[#This Row],[GroupByKey]])*CountersTable[RecordedValue]))</f>
        <v>0</v>
      </c>
      <c r="O68">
        <f t="array" ref="O68">MAX(IF((CountersTable[GroupByKey]=CountersTable[[#This Row],[GroupByKey]]),(CountersTable[GroupByKey]=CountersTable[[#This Row],[GroupByKey]])*CountersTable[RecordedValue]))</f>
        <v>0</v>
      </c>
    </row>
    <row r="69" spans="1:15" x14ac:dyDescent="0.25">
      <c r="A69" t="s">
        <v>67</v>
      </c>
      <c r="B69" t="s">
        <v>70</v>
      </c>
      <c r="C69">
        <v>14</v>
      </c>
      <c r="D69" t="s">
        <v>107</v>
      </c>
      <c r="E69" t="s">
        <v>104</v>
      </c>
      <c r="F69" t="s">
        <v>105</v>
      </c>
      <c r="G69">
        <v>0</v>
      </c>
      <c r="H69" t="str">
        <f>CountersTable[[#This Row],[ProjectName]]&amp;CountersTable[[#This Row],[Name]]&amp;CountersTable[[#This Row],[Type]]&amp;CountersTable[[#This Row],[Source]]</f>
        <v>Unnamed ProjectqcapprovedCountUser Specified</v>
      </c>
      <c r="I69">
        <f t="array" ref="I69">MAX(IF((ProjectInfoTable[ProjectName]=CountersTable[[#This Row],[ProjectName]]),(ProjectInfoTable[ProjectName]=CountersTable[[#This Row],[ProjectName]])*ProjectInfoTable[NumberOfReplications]))</f>
        <v>15</v>
      </c>
      <c r="J69">
        <f t="array" ref="J69">IFERROR(AVERAGE(IF((CountersTable[GroupByKey]=CountersTable[[#This Row],[GroupByKey]]),(CountersTable[GroupByKey]=CountersTable[[#This Row],[GroupByKey]])*CountersTable[RecordedValue])),0)</f>
        <v>0</v>
      </c>
      <c r="K69">
        <f t="array" ref="K69">IFERROR(_xlfn.STDEV.S(IF((CountersTable[GroupByKey]=CountersTable[[#This Row],[GroupByKey]]),(CountersTable[GroupByKey]=CountersTable[[#This Row],[GroupByKey]])*CountersTable[RecordedValue])),0)</f>
        <v>0</v>
      </c>
      <c r="L69">
        <f t="array" ref="L69">MAX(IF((ProjectInfoTable[ProjectName]=CountersTable[[#This Row],[ProjectName]]),(ProjectInfoTable[ProjectName]=CountersTable[[#This Row],[ProjectName]])*ProjectInfoTable[ConfidenceInterval]))</f>
        <v>0.95</v>
      </c>
      <c r="M69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69">
        <f t="array" ref="N69">MIN(IF((CountersTable[GroupByKey]=CountersTable[[#This Row],[GroupByKey]]),(CountersTable[GroupByKey]=CountersTable[[#This Row],[GroupByKey]])*CountersTable[RecordedValue]))</f>
        <v>0</v>
      </c>
      <c r="O69">
        <f t="array" ref="O69">MAX(IF((CountersTable[GroupByKey]=CountersTable[[#This Row],[GroupByKey]]),(CountersTable[GroupByKey]=CountersTable[[#This Row],[GroupByKey]])*CountersTable[RecordedValue]))</f>
        <v>0</v>
      </c>
    </row>
    <row r="70" spans="1:15" x14ac:dyDescent="0.25">
      <c r="A70" t="s">
        <v>67</v>
      </c>
      <c r="B70" t="s">
        <v>70</v>
      </c>
      <c r="C70">
        <v>14</v>
      </c>
      <c r="D70" t="s">
        <v>108</v>
      </c>
      <c r="E70" t="s">
        <v>104</v>
      </c>
      <c r="F70" t="s">
        <v>105</v>
      </c>
      <c r="G70">
        <v>0</v>
      </c>
      <c r="H70" t="str">
        <f>CountersTable[[#This Row],[ProjectName]]&amp;CountersTable[[#This Row],[Name]]&amp;CountersTable[[#This Row],[Type]]&amp;CountersTable[[#This Row],[Source]]</f>
        <v>Unnamed ProjectsandblastedCountUser Specified</v>
      </c>
      <c r="I70">
        <f t="array" ref="I70">MAX(IF((ProjectInfoTable[ProjectName]=CountersTable[[#This Row],[ProjectName]]),(ProjectInfoTable[ProjectName]=CountersTable[[#This Row],[ProjectName]])*ProjectInfoTable[NumberOfReplications]))</f>
        <v>15</v>
      </c>
      <c r="J70">
        <f t="array" ref="J70">IFERROR(AVERAGE(IF((CountersTable[GroupByKey]=CountersTable[[#This Row],[GroupByKey]]),(CountersTable[GroupByKey]=CountersTable[[#This Row],[GroupByKey]])*CountersTable[RecordedValue])),0)</f>
        <v>0</v>
      </c>
      <c r="K70">
        <f t="array" ref="K70">IFERROR(_xlfn.STDEV.S(IF((CountersTable[GroupByKey]=CountersTable[[#This Row],[GroupByKey]]),(CountersTable[GroupByKey]=CountersTable[[#This Row],[GroupByKey]])*CountersTable[RecordedValue])),0)</f>
        <v>0</v>
      </c>
      <c r="L70">
        <f t="array" ref="L70">MAX(IF((ProjectInfoTable[ProjectName]=CountersTable[[#This Row],[ProjectName]]),(ProjectInfoTable[ProjectName]=CountersTable[[#This Row],[ProjectName]])*ProjectInfoTable[ConfidenceInterval]))</f>
        <v>0.95</v>
      </c>
      <c r="M70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70">
        <f t="array" ref="N70">MIN(IF((CountersTable[GroupByKey]=CountersTable[[#This Row],[GroupByKey]]),(CountersTable[GroupByKey]=CountersTable[[#This Row],[GroupByKey]])*CountersTable[RecordedValue]))</f>
        <v>0</v>
      </c>
      <c r="O70">
        <f t="array" ref="O70">MAX(IF((CountersTable[GroupByKey]=CountersTable[[#This Row],[GroupByKey]]),(CountersTable[GroupByKey]=CountersTable[[#This Row],[GroupByKey]])*CountersTable[RecordedValue]))</f>
        <v>0</v>
      </c>
    </row>
    <row r="71" spans="1:15" x14ac:dyDescent="0.25">
      <c r="A71" t="s">
        <v>67</v>
      </c>
      <c r="B71" t="s">
        <v>70</v>
      </c>
      <c r="C71">
        <v>14</v>
      </c>
      <c r="D71" t="s">
        <v>109</v>
      </c>
      <c r="E71" t="s">
        <v>104</v>
      </c>
      <c r="F71" t="s">
        <v>105</v>
      </c>
      <c r="G71">
        <v>0</v>
      </c>
      <c r="H71" t="str">
        <f>CountersTable[[#This Row],[ProjectName]]&amp;CountersTable[[#This Row],[Name]]&amp;CountersTable[[#This Row],[Type]]&amp;CountersTable[[#This Row],[Source]]</f>
        <v>Unnamed Projectsteel_arrivalsCountUser Specified</v>
      </c>
      <c r="I71">
        <f t="array" ref="I71">MAX(IF((ProjectInfoTable[ProjectName]=CountersTable[[#This Row],[ProjectName]]),(ProjectInfoTable[ProjectName]=CountersTable[[#This Row],[ProjectName]])*ProjectInfoTable[NumberOfReplications]))</f>
        <v>15</v>
      </c>
      <c r="J71">
        <f t="array" ref="J71">IFERROR(AVERAGE(IF((CountersTable[GroupByKey]=CountersTable[[#This Row],[GroupByKey]]),(CountersTable[GroupByKey]=CountersTable[[#This Row],[GroupByKey]])*CountersTable[RecordedValue])),0)</f>
        <v>0</v>
      </c>
      <c r="K71">
        <f t="array" ref="K71">IFERROR(_xlfn.STDEV.S(IF((CountersTable[GroupByKey]=CountersTable[[#This Row],[GroupByKey]]),(CountersTable[GroupByKey]=CountersTable[[#This Row],[GroupByKey]])*CountersTable[RecordedValue])),0)</f>
        <v>0</v>
      </c>
      <c r="L71">
        <f t="array" ref="L71">MAX(IF((ProjectInfoTable[ProjectName]=CountersTable[[#This Row],[ProjectName]]),(ProjectInfoTable[ProjectName]=CountersTable[[#This Row],[ProjectName]])*ProjectInfoTable[ConfidenceInterval]))</f>
        <v>0.95</v>
      </c>
      <c r="M71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71">
        <f t="array" ref="N71">MIN(IF((CountersTable[GroupByKey]=CountersTable[[#This Row],[GroupByKey]]),(CountersTable[GroupByKey]=CountersTable[[#This Row],[GroupByKey]])*CountersTable[RecordedValue]))</f>
        <v>0</v>
      </c>
      <c r="O71">
        <f t="array" ref="O71">MAX(IF((CountersTable[GroupByKey]=CountersTable[[#This Row],[GroupByKey]]),(CountersTable[GroupByKey]=CountersTable[[#This Row],[GroupByKey]])*CountersTable[RecordedValue]))</f>
        <v>0</v>
      </c>
    </row>
    <row r="72" spans="1:15" x14ac:dyDescent="0.25">
      <c r="A72" t="s">
        <v>67</v>
      </c>
      <c r="B72" t="s">
        <v>70</v>
      </c>
      <c r="C72">
        <v>15</v>
      </c>
      <c r="D72" t="s">
        <v>103</v>
      </c>
      <c r="E72" t="s">
        <v>104</v>
      </c>
      <c r="F72" t="s">
        <v>105</v>
      </c>
      <c r="G72">
        <v>0</v>
      </c>
      <c r="H72" t="str">
        <f>CountersTable[[#This Row],[ProjectName]]&amp;CountersTable[[#This Row],[Name]]&amp;CountersTable[[#This Row],[Type]]&amp;CountersTable[[#This Row],[Source]]</f>
        <v>Unnamed Projectnum_cleanedCountUser Specified</v>
      </c>
      <c r="I72">
        <f t="array" ref="I72">MAX(IF((ProjectInfoTable[ProjectName]=CountersTable[[#This Row],[ProjectName]]),(ProjectInfoTable[ProjectName]=CountersTable[[#This Row],[ProjectName]])*ProjectInfoTable[NumberOfReplications]))</f>
        <v>15</v>
      </c>
      <c r="J72">
        <f t="array" ref="J72">IFERROR(AVERAGE(IF((CountersTable[GroupByKey]=CountersTable[[#This Row],[GroupByKey]]),(CountersTable[GroupByKey]=CountersTable[[#This Row],[GroupByKey]])*CountersTable[RecordedValue])),0)</f>
        <v>0</v>
      </c>
      <c r="K72">
        <f t="array" ref="K72">IFERROR(_xlfn.STDEV.S(IF((CountersTable[GroupByKey]=CountersTable[[#This Row],[GroupByKey]]),(CountersTable[GroupByKey]=CountersTable[[#This Row],[GroupByKey]])*CountersTable[RecordedValue])),0)</f>
        <v>0</v>
      </c>
      <c r="L72">
        <f t="array" ref="L72">MAX(IF((ProjectInfoTable[ProjectName]=CountersTable[[#This Row],[ProjectName]]),(ProjectInfoTable[ProjectName]=CountersTable[[#This Row],[ProjectName]])*ProjectInfoTable[ConfidenceInterval]))</f>
        <v>0.95</v>
      </c>
      <c r="M72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72">
        <f t="array" ref="N72">MIN(IF((CountersTable[GroupByKey]=CountersTable[[#This Row],[GroupByKey]]),(CountersTable[GroupByKey]=CountersTable[[#This Row],[GroupByKey]])*CountersTable[RecordedValue]))</f>
        <v>0</v>
      </c>
      <c r="O72">
        <f t="array" ref="O72">MAX(IF((CountersTable[GroupByKey]=CountersTable[[#This Row],[GroupByKey]]),(CountersTable[GroupByKey]=CountersTable[[#This Row],[GroupByKey]])*CountersTable[RecordedValue]))</f>
        <v>0</v>
      </c>
    </row>
    <row r="73" spans="1:15" x14ac:dyDescent="0.25">
      <c r="A73" t="s">
        <v>67</v>
      </c>
      <c r="B73" t="s">
        <v>70</v>
      </c>
      <c r="C73">
        <v>15</v>
      </c>
      <c r="D73" t="s">
        <v>106</v>
      </c>
      <c r="E73" t="s">
        <v>104</v>
      </c>
      <c r="F73" t="s">
        <v>105</v>
      </c>
      <c r="G73">
        <v>0</v>
      </c>
      <c r="H73" t="str">
        <f>CountersTable[[#This Row],[ProjectName]]&amp;CountersTable[[#This Row],[Name]]&amp;CountersTable[[#This Row],[Type]]&amp;CountersTable[[#This Row],[Source]]</f>
        <v>Unnamed ProjectpaintedCountUser Specified</v>
      </c>
      <c r="I73">
        <f t="array" ref="I73">MAX(IF((ProjectInfoTable[ProjectName]=CountersTable[[#This Row],[ProjectName]]),(ProjectInfoTable[ProjectName]=CountersTable[[#This Row],[ProjectName]])*ProjectInfoTable[NumberOfReplications]))</f>
        <v>15</v>
      </c>
      <c r="J73">
        <f t="array" ref="J73">IFERROR(AVERAGE(IF((CountersTable[GroupByKey]=CountersTable[[#This Row],[GroupByKey]]),(CountersTable[GroupByKey]=CountersTable[[#This Row],[GroupByKey]])*CountersTable[RecordedValue])),0)</f>
        <v>0</v>
      </c>
      <c r="K73">
        <f t="array" ref="K73">IFERROR(_xlfn.STDEV.S(IF((CountersTable[GroupByKey]=CountersTable[[#This Row],[GroupByKey]]),(CountersTable[GroupByKey]=CountersTable[[#This Row],[GroupByKey]])*CountersTable[RecordedValue])),0)</f>
        <v>0</v>
      </c>
      <c r="L73">
        <f t="array" ref="L73">MAX(IF((ProjectInfoTable[ProjectName]=CountersTable[[#This Row],[ProjectName]]),(ProjectInfoTable[ProjectName]=CountersTable[[#This Row],[ProjectName]])*ProjectInfoTable[ConfidenceInterval]))</f>
        <v>0.95</v>
      </c>
      <c r="M73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73">
        <f t="array" ref="N73">MIN(IF((CountersTable[GroupByKey]=CountersTable[[#This Row],[GroupByKey]]),(CountersTable[GroupByKey]=CountersTable[[#This Row],[GroupByKey]])*CountersTable[RecordedValue]))</f>
        <v>0</v>
      </c>
      <c r="O73">
        <f t="array" ref="O73">MAX(IF((CountersTable[GroupByKey]=CountersTable[[#This Row],[GroupByKey]]),(CountersTable[GroupByKey]=CountersTable[[#This Row],[GroupByKey]])*CountersTable[RecordedValue]))</f>
        <v>0</v>
      </c>
    </row>
    <row r="74" spans="1:15" x14ac:dyDescent="0.25">
      <c r="A74" t="s">
        <v>67</v>
      </c>
      <c r="B74" t="s">
        <v>70</v>
      </c>
      <c r="C74">
        <v>15</v>
      </c>
      <c r="D74" t="s">
        <v>107</v>
      </c>
      <c r="E74" t="s">
        <v>104</v>
      </c>
      <c r="F74" t="s">
        <v>105</v>
      </c>
      <c r="G74">
        <v>0</v>
      </c>
      <c r="H74" t="str">
        <f>CountersTable[[#This Row],[ProjectName]]&amp;CountersTable[[#This Row],[Name]]&amp;CountersTable[[#This Row],[Type]]&amp;CountersTable[[#This Row],[Source]]</f>
        <v>Unnamed ProjectqcapprovedCountUser Specified</v>
      </c>
      <c r="I74">
        <f t="array" ref="I74">MAX(IF((ProjectInfoTable[ProjectName]=CountersTable[[#This Row],[ProjectName]]),(ProjectInfoTable[ProjectName]=CountersTable[[#This Row],[ProjectName]])*ProjectInfoTable[NumberOfReplications]))</f>
        <v>15</v>
      </c>
      <c r="J74">
        <f t="array" ref="J74">IFERROR(AVERAGE(IF((CountersTable[GroupByKey]=CountersTable[[#This Row],[GroupByKey]]),(CountersTable[GroupByKey]=CountersTable[[#This Row],[GroupByKey]])*CountersTable[RecordedValue])),0)</f>
        <v>0</v>
      </c>
      <c r="K74">
        <f t="array" ref="K74">IFERROR(_xlfn.STDEV.S(IF((CountersTable[GroupByKey]=CountersTable[[#This Row],[GroupByKey]]),(CountersTable[GroupByKey]=CountersTable[[#This Row],[GroupByKey]])*CountersTable[RecordedValue])),0)</f>
        <v>0</v>
      </c>
      <c r="L74">
        <f t="array" ref="L74">MAX(IF((ProjectInfoTable[ProjectName]=CountersTable[[#This Row],[ProjectName]]),(ProjectInfoTable[ProjectName]=CountersTable[[#This Row],[ProjectName]])*ProjectInfoTable[ConfidenceInterval]))</f>
        <v>0.95</v>
      </c>
      <c r="M74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74">
        <f t="array" ref="N74">MIN(IF((CountersTable[GroupByKey]=CountersTable[[#This Row],[GroupByKey]]),(CountersTable[GroupByKey]=CountersTable[[#This Row],[GroupByKey]])*CountersTable[RecordedValue]))</f>
        <v>0</v>
      </c>
      <c r="O74">
        <f t="array" ref="O74">MAX(IF((CountersTable[GroupByKey]=CountersTable[[#This Row],[GroupByKey]]),(CountersTable[GroupByKey]=CountersTable[[#This Row],[GroupByKey]])*CountersTable[RecordedValue]))</f>
        <v>0</v>
      </c>
    </row>
    <row r="75" spans="1:15" x14ac:dyDescent="0.25">
      <c r="A75" t="s">
        <v>67</v>
      </c>
      <c r="B75" t="s">
        <v>70</v>
      </c>
      <c r="C75">
        <v>15</v>
      </c>
      <c r="D75" t="s">
        <v>108</v>
      </c>
      <c r="E75" t="s">
        <v>104</v>
      </c>
      <c r="F75" t="s">
        <v>105</v>
      </c>
      <c r="G75">
        <v>0</v>
      </c>
      <c r="H75" t="str">
        <f>CountersTable[[#This Row],[ProjectName]]&amp;CountersTable[[#This Row],[Name]]&amp;CountersTable[[#This Row],[Type]]&amp;CountersTable[[#This Row],[Source]]</f>
        <v>Unnamed ProjectsandblastedCountUser Specified</v>
      </c>
      <c r="I75">
        <f t="array" ref="I75">MAX(IF((ProjectInfoTable[ProjectName]=CountersTable[[#This Row],[ProjectName]]),(ProjectInfoTable[ProjectName]=CountersTable[[#This Row],[ProjectName]])*ProjectInfoTable[NumberOfReplications]))</f>
        <v>15</v>
      </c>
      <c r="J75">
        <f t="array" ref="J75">IFERROR(AVERAGE(IF((CountersTable[GroupByKey]=CountersTable[[#This Row],[GroupByKey]]),(CountersTable[GroupByKey]=CountersTable[[#This Row],[GroupByKey]])*CountersTable[RecordedValue])),0)</f>
        <v>0</v>
      </c>
      <c r="K75">
        <f t="array" ref="K75">IFERROR(_xlfn.STDEV.S(IF((CountersTable[GroupByKey]=CountersTable[[#This Row],[GroupByKey]]),(CountersTable[GroupByKey]=CountersTable[[#This Row],[GroupByKey]])*CountersTable[RecordedValue])),0)</f>
        <v>0</v>
      </c>
      <c r="L75">
        <f t="array" ref="L75">MAX(IF((ProjectInfoTable[ProjectName]=CountersTable[[#This Row],[ProjectName]]),(ProjectInfoTable[ProjectName]=CountersTable[[#This Row],[ProjectName]])*ProjectInfoTable[ConfidenceInterval]))</f>
        <v>0.95</v>
      </c>
      <c r="M75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75">
        <f t="array" ref="N75">MIN(IF((CountersTable[GroupByKey]=CountersTable[[#This Row],[GroupByKey]]),(CountersTable[GroupByKey]=CountersTable[[#This Row],[GroupByKey]])*CountersTable[RecordedValue]))</f>
        <v>0</v>
      </c>
      <c r="O75">
        <f t="array" ref="O75">MAX(IF((CountersTable[GroupByKey]=CountersTable[[#This Row],[GroupByKey]]),(CountersTable[GroupByKey]=CountersTable[[#This Row],[GroupByKey]])*CountersTable[RecordedValue]))</f>
        <v>0</v>
      </c>
    </row>
    <row r="76" spans="1:15" x14ac:dyDescent="0.25">
      <c r="A76" t="s">
        <v>67</v>
      </c>
      <c r="B76" t="s">
        <v>70</v>
      </c>
      <c r="C76">
        <v>15</v>
      </c>
      <c r="D76" t="s">
        <v>109</v>
      </c>
      <c r="E76" t="s">
        <v>104</v>
      </c>
      <c r="F76" t="s">
        <v>105</v>
      </c>
      <c r="G76">
        <v>0</v>
      </c>
      <c r="H76" t="str">
        <f>CountersTable[[#This Row],[ProjectName]]&amp;CountersTable[[#This Row],[Name]]&amp;CountersTable[[#This Row],[Type]]&amp;CountersTable[[#This Row],[Source]]</f>
        <v>Unnamed Projectsteel_arrivalsCountUser Specified</v>
      </c>
      <c r="I76">
        <f t="array" ref="I76">MAX(IF((ProjectInfoTable[ProjectName]=CountersTable[[#This Row],[ProjectName]]),(ProjectInfoTable[ProjectName]=CountersTable[[#This Row],[ProjectName]])*ProjectInfoTable[NumberOfReplications]))</f>
        <v>15</v>
      </c>
      <c r="J76">
        <f t="array" ref="J76">IFERROR(AVERAGE(IF((CountersTable[GroupByKey]=CountersTable[[#This Row],[GroupByKey]]),(CountersTable[GroupByKey]=CountersTable[[#This Row],[GroupByKey]])*CountersTable[RecordedValue])),0)</f>
        <v>0</v>
      </c>
      <c r="K76">
        <f t="array" ref="K76">IFERROR(_xlfn.STDEV.S(IF((CountersTable[GroupByKey]=CountersTable[[#This Row],[GroupByKey]]),(CountersTable[GroupByKey]=CountersTable[[#This Row],[GroupByKey]])*CountersTable[RecordedValue])),0)</f>
        <v>0</v>
      </c>
      <c r="L76">
        <f t="array" ref="L76">MAX(IF((ProjectInfoTable[ProjectName]=CountersTable[[#This Row],[ProjectName]]),(ProjectInfoTable[ProjectName]=CountersTable[[#This Row],[ProjectName]])*ProjectInfoTable[ConfidenceInterval]))</f>
        <v>0.95</v>
      </c>
      <c r="M76">
        <f>IFERROR(_xlfn.T.INV.2T(1 - CountersTable[[#This Row],[ConfidenceInterval]],(CountersTable[[#This Row],[RepsRequested]]-1))*CountersTable[[#This Row],[StandardDeviation]]/SQRT(CountersTable[[#This Row],[RepsRequested]]),400000000000000000000)</f>
        <v>0</v>
      </c>
      <c r="N76">
        <f t="array" ref="N76">MIN(IF((CountersTable[GroupByKey]=CountersTable[[#This Row],[GroupByKey]]),(CountersTable[GroupByKey]=CountersTable[[#This Row],[GroupByKey]])*CountersTable[RecordedValue]))</f>
        <v>0</v>
      </c>
      <c r="O76">
        <f t="array" ref="O76">MAX(IF((CountersTable[GroupByKey]=CountersTable[[#This Row],[GroupByKey]]),(CountersTable[GroupByKey]=CountersTable[[#This Row],[GroupByKey]])*CountersTable[RecordedValue]))</f>
        <v>0</v>
      </c>
    </row>
  </sheetData>
  <phoneticPr fontId="2" type="noConversion"/>
  <conditionalFormatting sqref="H2:O76">
    <cfRule type="expression" dxfId="16" priority="2">
      <formula>MOD(ROW(),2)=0</formula>
    </cfRule>
  </conditionalFormatting>
  <conditionalFormatting sqref="M2:M76">
    <cfRule type="expression" dxfId="15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406"/>
  <sheetViews>
    <sheetView topLeftCell="H1" workbookViewId="0">
      <selection activeCell="V28" sqref="V28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37.425781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81.140625" bestFit="1" customWidth="1"/>
    <col min="10" max="10" width="17.28515625" bestFit="1" customWidth="1"/>
    <col min="11" max="11" width="10.5703125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70</v>
      </c>
      <c r="C2">
        <v>1</v>
      </c>
      <c r="D2" t="s">
        <v>110</v>
      </c>
      <c r="E2" t="s">
        <v>111</v>
      </c>
      <c r="F2" t="s">
        <v>112</v>
      </c>
      <c r="G2">
        <v>0</v>
      </c>
      <c r="H2">
        <v>0</v>
      </c>
      <c r="I2" t="str">
        <f>OutputTable[[#This Row],[ProjectName]]&amp;OutputTable[[#This Row],[Name]]&amp;OutputTable[[#This Row],[Type]]&amp;OutputTable[[#This Row],[Source]]</f>
        <v>Unnamed ProjectSystem.NumberOutNumber OutSystem</v>
      </c>
      <c r="J2">
        <f t="array" ref="J2">MAX(IF((ProjectInfoTable[ProjectName]=OutputTable[[#This Row],[ProjectName]]),(ProjectInfoTable[ProjectName]=OutputTable[[#This Row],[ProjectName]])*ProjectInfoTable[NumberOfReplications]))</f>
        <v>15</v>
      </c>
      <c r="K2">
        <f t="array" ref="K2">IFERROR(AVERAGE(IF((OutputTable[GroupByKey]=OutputTable[[#This Row],[GroupByKey]]),(OutputTable[GroupByKey]=OutputTable[[#This Row],[GroupByKey]])*OutputTable[RecordedValue])),0)</f>
        <v>0</v>
      </c>
      <c r="L2">
        <f t="array" ref="L2">IFERROR(_xlfn.STDEV.S(IF((OutputTable[GroupByKey]=OutputTable[[#This Row],[GroupByKey]]),(OutputTable[GroupByKey]=OutputTable[[#This Row],[GroupByKey]])*OutputTable[RecordedValue])),0)</f>
        <v>0</v>
      </c>
      <c r="M2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">
        <f t="array" ref="O2">MIN(IF((OutputTable[GroupByKey]=OutputTable[[#This Row],[GroupByKey]]),(OutputTable[GroupByKey]=OutputTable[[#This Row],[GroupByKey]])*OutputTable[RecordedValue]))</f>
        <v>0</v>
      </c>
      <c r="P2">
        <f t="array" ref="P2">MAX(IF((OutputTable[GroupByKey]=OutputTable[[#This Row],[GroupByKey]]),(OutputTable[GroupByKey]=OutputTable[[#This Row],[GroupByKey]])*OutputTable[RecordedValue]))</f>
        <v>0</v>
      </c>
    </row>
    <row r="3" spans="1:16" x14ac:dyDescent="0.25">
      <c r="A3" t="s">
        <v>67</v>
      </c>
      <c r="B3" t="s">
        <v>70</v>
      </c>
      <c r="C3">
        <v>1</v>
      </c>
      <c r="D3" t="s">
        <v>113</v>
      </c>
      <c r="E3" t="s">
        <v>114</v>
      </c>
      <c r="F3" t="s">
        <v>73</v>
      </c>
      <c r="G3">
        <v>0</v>
      </c>
      <c r="H3">
        <v>0</v>
      </c>
      <c r="I3" t="str">
        <f>OutputTable[[#This Row],[ProjectName]]&amp;OutputTable[[#This Row],[Name]]&amp;OutputTable[[#This Row],[Type]]&amp;OutputTable[[#This Row],[Source]]</f>
        <v>Unnamed Projectassembler.NumberSeizedTotal Number SeizedResource</v>
      </c>
      <c r="J3">
        <f t="array" ref="J3">MAX(IF((ProjectInfoTable[ProjectName]=OutputTable[[#This Row],[ProjectName]]),(ProjectInfoTable[ProjectName]=OutputTable[[#This Row],[ProjectName]])*ProjectInfoTable[NumberOfReplications]))</f>
        <v>15</v>
      </c>
      <c r="K3">
        <f t="array" ref="K3">IFERROR(AVERAGE(IF((OutputTable[GroupByKey]=OutputTable[[#This Row],[GroupByKey]]),(OutputTable[GroupByKey]=OutputTable[[#This Row],[GroupByKey]])*OutputTable[RecordedValue])),0)</f>
        <v>0</v>
      </c>
      <c r="L3">
        <f t="array" ref="L3">IFERROR(_xlfn.STDEV.S(IF((OutputTable[GroupByKey]=OutputTable[[#This Row],[GroupByKey]]),(OutputTable[GroupByKey]=OutputTable[[#This Row],[GroupByKey]])*OutputTable[RecordedValue])),0)</f>
        <v>0</v>
      </c>
      <c r="M3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">
        <f t="array" ref="O3">MIN(IF((OutputTable[GroupByKey]=OutputTable[[#This Row],[GroupByKey]]),(OutputTable[GroupByKey]=OutputTable[[#This Row],[GroupByKey]])*OutputTable[RecordedValue]))</f>
        <v>0</v>
      </c>
      <c r="P3">
        <f t="array" ref="P3">MAX(IF((OutputTable[GroupByKey]=OutputTable[[#This Row],[GroupByKey]]),(OutputTable[GroupByKey]=OutputTable[[#This Row],[GroupByKey]])*OutputTable[RecordedValue]))</f>
        <v>0</v>
      </c>
    </row>
    <row r="4" spans="1:16" x14ac:dyDescent="0.25">
      <c r="A4" t="s">
        <v>67</v>
      </c>
      <c r="B4" t="s">
        <v>70</v>
      </c>
      <c r="C4">
        <v>1</v>
      </c>
      <c r="D4" t="s">
        <v>115</v>
      </c>
      <c r="E4" t="s">
        <v>116</v>
      </c>
      <c r="F4" t="s">
        <v>73</v>
      </c>
      <c r="G4">
        <v>0</v>
      </c>
      <c r="H4">
        <v>0</v>
      </c>
      <c r="I4" t="str">
        <f>OutputTable[[#This Row],[ProjectName]]&amp;OutputTable[[#This Row],[Name]]&amp;OutputTable[[#This Row],[Type]]&amp;OutputTable[[#This Row],[Source]]</f>
        <v>Unnamed Projectassembler.ScheduledUtilizationScheduled UtilizationResource</v>
      </c>
      <c r="J4">
        <f t="array" ref="J4">MAX(IF((ProjectInfoTable[ProjectName]=OutputTable[[#This Row],[ProjectName]]),(ProjectInfoTable[ProjectName]=OutputTable[[#This Row],[ProjectName]])*ProjectInfoTable[NumberOfReplications]))</f>
        <v>15</v>
      </c>
      <c r="K4">
        <f t="array" ref="K4">IFERROR(AVERAGE(IF((OutputTable[GroupByKey]=OutputTable[[#This Row],[GroupByKey]]),(OutputTable[GroupByKey]=OutputTable[[#This Row],[GroupByKey]])*OutputTable[RecordedValue])),0)</f>
        <v>0</v>
      </c>
      <c r="L4">
        <f t="array" ref="L4">IFERROR(_xlfn.STDEV.S(IF((OutputTable[GroupByKey]=OutputTable[[#This Row],[GroupByKey]]),(OutputTable[GroupByKey]=OutputTable[[#This Row],[GroupByKey]])*OutputTable[RecordedValue])),0)</f>
        <v>0</v>
      </c>
      <c r="M4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">
        <f t="array" ref="O4">MIN(IF((OutputTable[GroupByKey]=OutputTable[[#This Row],[GroupByKey]]),(OutputTable[GroupByKey]=OutputTable[[#This Row],[GroupByKey]])*OutputTable[RecordedValue]))</f>
        <v>0</v>
      </c>
      <c r="P4">
        <f t="array" ref="P4">MAX(IF((OutputTable[GroupByKey]=OutputTable[[#This Row],[GroupByKey]]),(OutputTable[GroupByKey]=OutputTable[[#This Row],[GroupByKey]])*OutputTable[RecordedValue]))</f>
        <v>0</v>
      </c>
    </row>
    <row r="5" spans="1:16" x14ac:dyDescent="0.25">
      <c r="A5" t="s">
        <v>67</v>
      </c>
      <c r="B5" t="s">
        <v>70</v>
      </c>
      <c r="C5">
        <v>1</v>
      </c>
      <c r="D5" t="s">
        <v>117</v>
      </c>
      <c r="E5" t="s">
        <v>114</v>
      </c>
      <c r="F5" t="s">
        <v>73</v>
      </c>
      <c r="G5">
        <v>0</v>
      </c>
      <c r="H5">
        <v>0</v>
      </c>
      <c r="I5" t="str">
        <f>OutputTable[[#This Row],[ProjectName]]&amp;OutputTable[[#This Row],[Name]]&amp;OutputTable[[#This Row],[Type]]&amp;OutputTable[[#This Row],[Source]]</f>
        <v>Unnamed Projectassemblyqcworker.NumberSeizedTotal Number SeizedResource</v>
      </c>
      <c r="J5">
        <f t="array" ref="J5">MAX(IF((ProjectInfoTable[ProjectName]=OutputTable[[#This Row],[ProjectName]]),(ProjectInfoTable[ProjectName]=OutputTable[[#This Row],[ProjectName]])*ProjectInfoTable[NumberOfReplications]))</f>
        <v>15</v>
      </c>
      <c r="K5">
        <f t="array" ref="K5">IFERROR(AVERAGE(IF((OutputTable[GroupByKey]=OutputTable[[#This Row],[GroupByKey]]),(OutputTable[GroupByKey]=OutputTable[[#This Row],[GroupByKey]])*OutputTable[RecordedValue])),0)</f>
        <v>0</v>
      </c>
      <c r="L5">
        <f t="array" ref="L5">IFERROR(_xlfn.STDEV.S(IF((OutputTable[GroupByKey]=OutputTable[[#This Row],[GroupByKey]]),(OutputTable[GroupByKey]=OutputTable[[#This Row],[GroupByKey]])*OutputTable[RecordedValue])),0)</f>
        <v>0</v>
      </c>
      <c r="M5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">
        <f t="array" ref="O5">MIN(IF((OutputTable[GroupByKey]=OutputTable[[#This Row],[GroupByKey]]),(OutputTable[GroupByKey]=OutputTable[[#This Row],[GroupByKey]])*OutputTable[RecordedValue]))</f>
        <v>0</v>
      </c>
      <c r="P5">
        <f t="array" ref="P5">MAX(IF((OutputTable[GroupByKey]=OutputTable[[#This Row],[GroupByKey]]),(OutputTable[GroupByKey]=OutputTable[[#This Row],[GroupByKey]])*OutputTable[RecordedValue]))</f>
        <v>0</v>
      </c>
    </row>
    <row r="6" spans="1:16" x14ac:dyDescent="0.25">
      <c r="A6" t="s">
        <v>67</v>
      </c>
      <c r="B6" t="s">
        <v>70</v>
      </c>
      <c r="C6">
        <v>1</v>
      </c>
      <c r="D6" t="s">
        <v>118</v>
      </c>
      <c r="E6" t="s">
        <v>116</v>
      </c>
      <c r="F6" t="s">
        <v>73</v>
      </c>
      <c r="G6">
        <v>0</v>
      </c>
      <c r="H6">
        <v>0</v>
      </c>
      <c r="I6" t="str">
        <f>OutputTable[[#This Row],[ProjectName]]&amp;OutputTable[[#This Row],[Name]]&amp;OutputTable[[#This Row],[Type]]&amp;OutputTable[[#This Row],[Source]]</f>
        <v>Unnamed Projectassemblyqcworker.ScheduledUtilizationScheduled UtilizationResource</v>
      </c>
      <c r="J6">
        <f t="array" ref="J6">MAX(IF((ProjectInfoTable[ProjectName]=OutputTable[[#This Row],[ProjectName]]),(ProjectInfoTable[ProjectName]=OutputTable[[#This Row],[ProjectName]])*ProjectInfoTable[NumberOfReplications]))</f>
        <v>15</v>
      </c>
      <c r="K6">
        <f t="array" ref="K6">IFERROR(AVERAGE(IF((OutputTable[GroupByKey]=OutputTable[[#This Row],[GroupByKey]]),(OutputTable[GroupByKey]=OutputTable[[#This Row],[GroupByKey]])*OutputTable[RecordedValue])),0)</f>
        <v>0</v>
      </c>
      <c r="L6">
        <f t="array" ref="L6">IFERROR(_xlfn.STDEV.S(IF((OutputTable[GroupByKey]=OutputTable[[#This Row],[GroupByKey]]),(OutputTable[GroupByKey]=OutputTable[[#This Row],[GroupByKey]])*OutputTable[RecordedValue])),0)</f>
        <v>0</v>
      </c>
      <c r="M6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">
        <f t="array" ref="O6">MIN(IF((OutputTable[GroupByKey]=OutputTable[[#This Row],[GroupByKey]]),(OutputTable[GroupByKey]=OutputTable[[#This Row],[GroupByKey]])*OutputTable[RecordedValue]))</f>
        <v>0</v>
      </c>
      <c r="P6">
        <f t="array" ref="P6">MAX(IF((OutputTable[GroupByKey]=OutputTable[[#This Row],[GroupByKey]]),(OutputTable[GroupByKey]=OutputTable[[#This Row],[GroupByKey]])*OutputTable[RecordedValue]))</f>
        <v>0</v>
      </c>
    </row>
    <row r="7" spans="1:16" x14ac:dyDescent="0.25">
      <c r="A7" t="s">
        <v>67</v>
      </c>
      <c r="B7" t="s">
        <v>70</v>
      </c>
      <c r="C7">
        <v>1</v>
      </c>
      <c r="D7" t="s">
        <v>119</v>
      </c>
      <c r="E7" t="s">
        <v>120</v>
      </c>
      <c r="F7" t="s">
        <v>79</v>
      </c>
      <c r="G7">
        <v>0</v>
      </c>
      <c r="H7">
        <v>0</v>
      </c>
      <c r="I7" t="str">
        <f>OutputTable[[#This Row],[ProjectName]]&amp;OutputTable[[#This Row],[Name]]&amp;OutputTable[[#This Row],[Type]]&amp;OutputTable[[#This Row],[Source]]</f>
        <v>Unnamed Projectbatched_parts.NumberInNumber InEntity</v>
      </c>
      <c r="J7">
        <f t="array" ref="J7">MAX(IF((ProjectInfoTable[ProjectName]=OutputTable[[#This Row],[ProjectName]]),(ProjectInfoTable[ProjectName]=OutputTable[[#This Row],[ProjectName]])*ProjectInfoTable[NumberOfReplications]))</f>
        <v>15</v>
      </c>
      <c r="K7">
        <f t="array" ref="K7">IFERROR(AVERAGE(IF((OutputTable[GroupByKey]=OutputTable[[#This Row],[GroupByKey]]),(OutputTable[GroupByKey]=OutputTable[[#This Row],[GroupByKey]])*OutputTable[RecordedValue])),0)</f>
        <v>0</v>
      </c>
      <c r="L7">
        <f t="array" ref="L7">IFERROR(_xlfn.STDEV.S(IF((OutputTable[GroupByKey]=OutputTable[[#This Row],[GroupByKey]]),(OutputTable[GroupByKey]=OutputTable[[#This Row],[GroupByKey]])*OutputTable[RecordedValue])),0)</f>
        <v>0</v>
      </c>
      <c r="M7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">
        <f t="array" ref="O7">MIN(IF((OutputTable[GroupByKey]=OutputTable[[#This Row],[GroupByKey]]),(OutputTable[GroupByKey]=OutputTable[[#This Row],[GroupByKey]])*OutputTable[RecordedValue]))</f>
        <v>0</v>
      </c>
      <c r="P7">
        <f t="array" ref="P7">MAX(IF((OutputTable[GroupByKey]=OutputTable[[#This Row],[GroupByKey]]),(OutputTable[GroupByKey]=OutputTable[[#This Row],[GroupByKey]])*OutputTable[RecordedValue]))</f>
        <v>0</v>
      </c>
    </row>
    <row r="8" spans="1:16" x14ac:dyDescent="0.25">
      <c r="A8" t="s">
        <v>67</v>
      </c>
      <c r="B8" t="s">
        <v>70</v>
      </c>
      <c r="C8">
        <v>1</v>
      </c>
      <c r="D8" t="s">
        <v>121</v>
      </c>
      <c r="E8" t="s">
        <v>111</v>
      </c>
      <c r="F8" t="s">
        <v>79</v>
      </c>
      <c r="G8">
        <v>0</v>
      </c>
      <c r="H8">
        <v>0</v>
      </c>
      <c r="I8" t="str">
        <f>OutputTable[[#This Row],[ProjectName]]&amp;OutputTable[[#This Row],[Name]]&amp;OutputTable[[#This Row],[Type]]&amp;OutputTable[[#This Row],[Source]]</f>
        <v>Unnamed Projectbatched_parts.NumberOutNumber OutEntity</v>
      </c>
      <c r="J8">
        <f t="array" ref="J8">MAX(IF((ProjectInfoTable[ProjectName]=OutputTable[[#This Row],[ProjectName]]),(ProjectInfoTable[ProjectName]=OutputTable[[#This Row],[ProjectName]])*ProjectInfoTable[NumberOfReplications]))</f>
        <v>15</v>
      </c>
      <c r="K8">
        <f t="array" ref="K8">IFERROR(AVERAGE(IF((OutputTable[GroupByKey]=OutputTable[[#This Row],[GroupByKey]]),(OutputTable[GroupByKey]=OutputTable[[#This Row],[GroupByKey]])*OutputTable[RecordedValue])),0)</f>
        <v>0</v>
      </c>
      <c r="L8">
        <f t="array" ref="L8">IFERROR(_xlfn.STDEV.S(IF((OutputTable[GroupByKey]=OutputTable[[#This Row],[GroupByKey]]),(OutputTable[GroupByKey]=OutputTable[[#This Row],[GroupByKey]])*OutputTable[RecordedValue])),0)</f>
        <v>0</v>
      </c>
      <c r="M8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">
        <f t="array" ref="O8">MIN(IF((OutputTable[GroupByKey]=OutputTable[[#This Row],[GroupByKey]]),(OutputTable[GroupByKey]=OutputTable[[#This Row],[GroupByKey]])*OutputTable[RecordedValue]))</f>
        <v>0</v>
      </c>
      <c r="P8">
        <f t="array" ref="P8">MAX(IF((OutputTable[GroupByKey]=OutputTable[[#This Row],[GroupByKey]]),(OutputTable[GroupByKey]=OutputTable[[#This Row],[GroupByKey]])*OutputTable[RecordedValue]))</f>
        <v>0</v>
      </c>
    </row>
    <row r="9" spans="1:16" x14ac:dyDescent="0.25">
      <c r="A9" t="s">
        <v>67</v>
      </c>
      <c r="B9" t="s">
        <v>70</v>
      </c>
      <c r="C9">
        <v>1</v>
      </c>
      <c r="D9" t="s">
        <v>122</v>
      </c>
      <c r="E9" t="s">
        <v>114</v>
      </c>
      <c r="F9" t="s">
        <v>73</v>
      </c>
      <c r="G9">
        <v>0</v>
      </c>
      <c r="H9">
        <v>0</v>
      </c>
      <c r="I9" t="str">
        <f>OutputTable[[#This Row],[ProjectName]]&amp;OutputTable[[#This Row],[Name]]&amp;OutputTable[[#This Row],[Type]]&amp;OutputTable[[#This Row],[Source]]</f>
        <v>Unnamed Projectcleaner.NumberSeizedTotal Number SeizedResource</v>
      </c>
      <c r="J9">
        <f t="array" ref="J9">MAX(IF((ProjectInfoTable[ProjectName]=OutputTable[[#This Row],[ProjectName]]),(ProjectInfoTable[ProjectName]=OutputTable[[#This Row],[ProjectName]])*ProjectInfoTable[NumberOfReplications]))</f>
        <v>15</v>
      </c>
      <c r="K9">
        <f t="array" ref="K9">IFERROR(AVERAGE(IF((OutputTable[GroupByKey]=OutputTable[[#This Row],[GroupByKey]]),(OutputTable[GroupByKey]=OutputTable[[#This Row],[GroupByKey]])*OutputTable[RecordedValue])),0)</f>
        <v>0</v>
      </c>
      <c r="L9">
        <f t="array" ref="L9">IFERROR(_xlfn.STDEV.S(IF((OutputTable[GroupByKey]=OutputTable[[#This Row],[GroupByKey]]),(OutputTable[GroupByKey]=OutputTable[[#This Row],[GroupByKey]])*OutputTable[RecordedValue])),0)</f>
        <v>0</v>
      </c>
      <c r="M9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">
        <f t="array" ref="O9">MIN(IF((OutputTable[GroupByKey]=OutputTable[[#This Row],[GroupByKey]]),(OutputTable[GroupByKey]=OutputTable[[#This Row],[GroupByKey]])*OutputTable[RecordedValue]))</f>
        <v>0</v>
      </c>
      <c r="P9">
        <f t="array" ref="P9">MAX(IF((OutputTable[GroupByKey]=OutputTable[[#This Row],[GroupByKey]]),(OutputTable[GroupByKey]=OutputTable[[#This Row],[GroupByKey]])*OutputTable[RecordedValue]))</f>
        <v>0</v>
      </c>
    </row>
    <row r="10" spans="1:16" x14ac:dyDescent="0.25">
      <c r="A10" t="s">
        <v>67</v>
      </c>
      <c r="B10" t="s">
        <v>70</v>
      </c>
      <c r="C10">
        <v>1</v>
      </c>
      <c r="D10" t="s">
        <v>123</v>
      </c>
      <c r="E10" t="s">
        <v>116</v>
      </c>
      <c r="F10" t="s">
        <v>73</v>
      </c>
      <c r="G10">
        <v>0</v>
      </c>
      <c r="H10">
        <v>0</v>
      </c>
      <c r="I10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10">
        <f t="array" ref="J10">MAX(IF((ProjectInfoTable[ProjectName]=OutputTable[[#This Row],[ProjectName]]),(ProjectInfoTable[ProjectName]=OutputTable[[#This Row],[ProjectName]])*ProjectInfoTable[NumberOfReplications]))</f>
        <v>15</v>
      </c>
      <c r="K10">
        <f t="array" ref="K10">IFERROR(AVERAGE(IF((OutputTable[GroupByKey]=OutputTable[[#This Row],[GroupByKey]]),(OutputTable[GroupByKey]=OutputTable[[#This Row],[GroupByKey]])*OutputTable[RecordedValue])),0)</f>
        <v>0</v>
      </c>
      <c r="L10">
        <f t="array" ref="L10">IFERROR(_xlfn.STDEV.S(IF((OutputTable[GroupByKey]=OutputTable[[#This Row],[GroupByKey]]),(OutputTable[GroupByKey]=OutputTable[[#This Row],[GroupByKey]])*OutputTable[RecordedValue])),0)</f>
        <v>0</v>
      </c>
      <c r="M10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">
        <f t="array" ref="O10">MIN(IF((OutputTable[GroupByKey]=OutputTable[[#This Row],[GroupByKey]]),(OutputTable[GroupByKey]=OutputTable[[#This Row],[GroupByKey]])*OutputTable[RecordedValue]))</f>
        <v>0</v>
      </c>
      <c r="P10">
        <f t="array" ref="P10">MAX(IF((OutputTable[GroupByKey]=OutputTable[[#This Row],[GroupByKey]]),(OutputTable[GroupByKey]=OutputTable[[#This Row],[GroupByKey]])*OutputTable[RecordedValue]))</f>
        <v>0</v>
      </c>
    </row>
    <row r="11" spans="1:16" x14ac:dyDescent="0.25">
      <c r="A11" t="s">
        <v>67</v>
      </c>
      <c r="B11" t="s">
        <v>70</v>
      </c>
      <c r="C11">
        <v>1</v>
      </c>
      <c r="D11" t="s">
        <v>124</v>
      </c>
      <c r="E11" t="s">
        <v>114</v>
      </c>
      <c r="F11" t="s">
        <v>73</v>
      </c>
      <c r="G11">
        <v>0</v>
      </c>
      <c r="H11">
        <v>0</v>
      </c>
      <c r="I11" t="str">
        <f>OutputTable[[#This Row],[ProjectName]]&amp;OutputTable[[#This Row],[Name]]&amp;OutputTable[[#This Row],[Type]]&amp;OutputTable[[#This Row],[Source]]</f>
        <v>Unnamed Projectcutter.NumberSeizedTotal Number SeizedResource</v>
      </c>
      <c r="J11">
        <f t="array" ref="J11">MAX(IF((ProjectInfoTable[ProjectName]=OutputTable[[#This Row],[ProjectName]]),(ProjectInfoTable[ProjectName]=OutputTable[[#This Row],[ProjectName]])*ProjectInfoTable[NumberOfReplications]))</f>
        <v>15</v>
      </c>
      <c r="K11">
        <f t="array" ref="K11">IFERROR(AVERAGE(IF((OutputTable[GroupByKey]=OutputTable[[#This Row],[GroupByKey]]),(OutputTable[GroupByKey]=OutputTable[[#This Row],[GroupByKey]])*OutputTable[RecordedValue])),0)</f>
        <v>0</v>
      </c>
      <c r="L11">
        <f t="array" ref="L11">IFERROR(_xlfn.STDEV.S(IF((OutputTable[GroupByKey]=OutputTable[[#This Row],[GroupByKey]]),(OutputTable[GroupByKey]=OutputTable[[#This Row],[GroupByKey]])*OutputTable[RecordedValue])),0)</f>
        <v>0</v>
      </c>
      <c r="M1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">
        <f t="array" ref="O11">MIN(IF((OutputTable[GroupByKey]=OutputTable[[#This Row],[GroupByKey]]),(OutputTable[GroupByKey]=OutputTable[[#This Row],[GroupByKey]])*OutputTable[RecordedValue]))</f>
        <v>0</v>
      </c>
      <c r="P11">
        <f t="array" ref="P11">MAX(IF((OutputTable[GroupByKey]=OutputTable[[#This Row],[GroupByKey]]),(OutputTable[GroupByKey]=OutputTable[[#This Row],[GroupByKey]])*OutputTable[RecordedValue]))</f>
        <v>0</v>
      </c>
    </row>
    <row r="12" spans="1:16" x14ac:dyDescent="0.25">
      <c r="A12" t="s">
        <v>67</v>
      </c>
      <c r="B12" t="s">
        <v>70</v>
      </c>
      <c r="C12">
        <v>1</v>
      </c>
      <c r="D12" t="s">
        <v>125</v>
      </c>
      <c r="E12" t="s">
        <v>116</v>
      </c>
      <c r="F12" t="s">
        <v>73</v>
      </c>
      <c r="G12">
        <v>0</v>
      </c>
      <c r="H12">
        <v>0</v>
      </c>
      <c r="I12" t="str">
        <f>OutputTable[[#This Row],[ProjectName]]&amp;OutputTable[[#This Row],[Name]]&amp;OutputTable[[#This Row],[Type]]&amp;OutputTable[[#This Row],[Source]]</f>
        <v>Unnamed Projectcutter.ScheduledUtilizationScheduled UtilizationResource</v>
      </c>
      <c r="J12">
        <f t="array" ref="J12">MAX(IF((ProjectInfoTable[ProjectName]=OutputTable[[#This Row],[ProjectName]]),(ProjectInfoTable[ProjectName]=OutputTable[[#This Row],[ProjectName]])*ProjectInfoTable[NumberOfReplications]))</f>
        <v>15</v>
      </c>
      <c r="K12">
        <f t="array" ref="K12">IFERROR(AVERAGE(IF((OutputTable[GroupByKey]=OutputTable[[#This Row],[GroupByKey]]),(OutputTable[GroupByKey]=OutputTable[[#This Row],[GroupByKey]])*OutputTable[RecordedValue])),0)</f>
        <v>0</v>
      </c>
      <c r="L12">
        <f t="array" ref="L12">IFERROR(_xlfn.STDEV.S(IF((OutputTable[GroupByKey]=OutputTable[[#This Row],[GroupByKey]]),(OutputTable[GroupByKey]=OutputTable[[#This Row],[GroupByKey]])*OutputTable[RecordedValue])),0)</f>
        <v>0</v>
      </c>
      <c r="M12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">
        <f t="array" ref="O12">MIN(IF((OutputTable[GroupByKey]=OutputTable[[#This Row],[GroupByKey]]),(OutputTable[GroupByKey]=OutputTable[[#This Row],[GroupByKey]])*OutputTable[RecordedValue]))</f>
        <v>0</v>
      </c>
      <c r="P12">
        <f t="array" ref="P12">MAX(IF((OutputTable[GroupByKey]=OutputTable[[#This Row],[GroupByKey]]),(OutputTable[GroupByKey]=OutputTable[[#This Row],[GroupByKey]])*OutputTable[RecordedValue]))</f>
        <v>0</v>
      </c>
    </row>
    <row r="13" spans="1:16" x14ac:dyDescent="0.25">
      <c r="A13" t="s">
        <v>67</v>
      </c>
      <c r="B13" t="s">
        <v>70</v>
      </c>
      <c r="C13">
        <v>1</v>
      </c>
      <c r="D13" t="s">
        <v>126</v>
      </c>
      <c r="E13" t="s">
        <v>114</v>
      </c>
      <c r="F13" t="s">
        <v>73</v>
      </c>
      <c r="G13">
        <v>0</v>
      </c>
      <c r="H13">
        <v>0</v>
      </c>
      <c r="I13" t="str">
        <f>OutputTable[[#This Row],[ProjectName]]&amp;OutputTable[[#This Row],[Name]]&amp;OutputTable[[#This Row],[Type]]&amp;OutputTable[[#This Row],[Source]]</f>
        <v>Unnamed Projectfinalqcman.NumberSeizedTotal Number SeizedResource</v>
      </c>
      <c r="J13">
        <f t="array" ref="J13">MAX(IF((ProjectInfoTable[ProjectName]=OutputTable[[#This Row],[ProjectName]]),(ProjectInfoTable[ProjectName]=OutputTable[[#This Row],[ProjectName]])*ProjectInfoTable[NumberOfReplications]))</f>
        <v>15</v>
      </c>
      <c r="K13">
        <f t="array" ref="K13">IFERROR(AVERAGE(IF((OutputTable[GroupByKey]=OutputTable[[#This Row],[GroupByKey]]),(OutputTable[GroupByKey]=OutputTable[[#This Row],[GroupByKey]])*OutputTable[RecordedValue])),0)</f>
        <v>0</v>
      </c>
      <c r="L13">
        <f t="array" ref="L13">IFERROR(_xlfn.STDEV.S(IF((OutputTable[GroupByKey]=OutputTable[[#This Row],[GroupByKey]]),(OutputTable[GroupByKey]=OutputTable[[#This Row],[GroupByKey]])*OutputTable[RecordedValue])),0)</f>
        <v>0</v>
      </c>
      <c r="M13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">
        <f t="array" ref="O13">MIN(IF((OutputTable[GroupByKey]=OutputTable[[#This Row],[GroupByKey]]),(OutputTable[GroupByKey]=OutputTable[[#This Row],[GroupByKey]])*OutputTable[RecordedValue]))</f>
        <v>0</v>
      </c>
      <c r="P13">
        <f t="array" ref="P13">MAX(IF((OutputTable[GroupByKey]=OutputTable[[#This Row],[GroupByKey]]),(OutputTable[GroupByKey]=OutputTable[[#This Row],[GroupByKey]])*OutputTable[RecordedValue]))</f>
        <v>0</v>
      </c>
    </row>
    <row r="14" spans="1:16" x14ac:dyDescent="0.25">
      <c r="A14" t="s">
        <v>67</v>
      </c>
      <c r="B14" t="s">
        <v>70</v>
      </c>
      <c r="C14">
        <v>1</v>
      </c>
      <c r="D14" t="s">
        <v>127</v>
      </c>
      <c r="E14" t="s">
        <v>116</v>
      </c>
      <c r="F14" t="s">
        <v>73</v>
      </c>
      <c r="G14">
        <v>0</v>
      </c>
      <c r="H14">
        <v>0</v>
      </c>
      <c r="I14" t="str">
        <f>OutputTable[[#This Row],[ProjectName]]&amp;OutputTable[[#This Row],[Name]]&amp;OutputTable[[#This Row],[Type]]&amp;OutputTable[[#This Row],[Source]]</f>
        <v>Unnamed Projectfinalqcman.ScheduledUtilizationScheduled UtilizationResource</v>
      </c>
      <c r="J14">
        <f t="array" ref="J14">MAX(IF((ProjectInfoTable[ProjectName]=OutputTable[[#This Row],[ProjectName]]),(ProjectInfoTable[ProjectName]=OutputTable[[#This Row],[ProjectName]])*ProjectInfoTable[NumberOfReplications]))</f>
        <v>15</v>
      </c>
      <c r="K14">
        <f t="array" ref="K14">IFERROR(AVERAGE(IF((OutputTable[GroupByKey]=OutputTable[[#This Row],[GroupByKey]]),(OutputTable[GroupByKey]=OutputTable[[#This Row],[GroupByKey]])*OutputTable[RecordedValue])),0)</f>
        <v>0</v>
      </c>
      <c r="L14">
        <f t="array" ref="L14">IFERROR(_xlfn.STDEV.S(IF((OutputTable[GroupByKey]=OutputTable[[#This Row],[GroupByKey]]),(OutputTable[GroupByKey]=OutputTable[[#This Row],[GroupByKey]])*OutputTable[RecordedValue])),0)</f>
        <v>0</v>
      </c>
      <c r="M14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">
        <f t="array" ref="O14">MIN(IF((OutputTable[GroupByKey]=OutputTable[[#This Row],[GroupByKey]]),(OutputTable[GroupByKey]=OutputTable[[#This Row],[GroupByKey]])*OutputTable[RecordedValue]))</f>
        <v>0</v>
      </c>
      <c r="P14">
        <f t="array" ref="P14">MAX(IF((OutputTable[GroupByKey]=OutputTable[[#This Row],[GroupByKey]]),(OutputTable[GroupByKey]=OutputTable[[#This Row],[GroupByKey]])*OutputTable[RecordedValue]))</f>
        <v>0</v>
      </c>
    </row>
    <row r="15" spans="1:16" x14ac:dyDescent="0.25">
      <c r="A15" t="s">
        <v>67</v>
      </c>
      <c r="B15" t="s">
        <v>70</v>
      </c>
      <c r="C15">
        <v>1</v>
      </c>
      <c r="D15" t="s">
        <v>128</v>
      </c>
      <c r="E15" t="s">
        <v>114</v>
      </c>
      <c r="F15" t="s">
        <v>73</v>
      </c>
      <c r="G15">
        <v>0</v>
      </c>
      <c r="H15">
        <v>0</v>
      </c>
      <c r="I15" t="str">
        <f>OutputTable[[#This Row],[ProjectName]]&amp;OutputTable[[#This Row],[Name]]&amp;OutputTable[[#This Row],[Type]]&amp;OutputTable[[#This Row],[Source]]</f>
        <v>Unnamed Projectpaintingmachine.NumberSeizedTotal Number SeizedResource</v>
      </c>
      <c r="J15">
        <f t="array" ref="J15">MAX(IF((ProjectInfoTable[ProjectName]=OutputTable[[#This Row],[ProjectName]]),(ProjectInfoTable[ProjectName]=OutputTable[[#This Row],[ProjectName]])*ProjectInfoTable[NumberOfReplications]))</f>
        <v>15</v>
      </c>
      <c r="K15">
        <f t="array" ref="K15">IFERROR(AVERAGE(IF((OutputTable[GroupByKey]=OutputTable[[#This Row],[GroupByKey]]),(OutputTable[GroupByKey]=OutputTable[[#This Row],[GroupByKey]])*OutputTable[RecordedValue])),0)</f>
        <v>0</v>
      </c>
      <c r="L15">
        <f t="array" ref="L15">IFERROR(_xlfn.STDEV.S(IF((OutputTable[GroupByKey]=OutputTable[[#This Row],[GroupByKey]]),(OutputTable[GroupByKey]=OutputTable[[#This Row],[GroupByKey]])*OutputTable[RecordedValue])),0)</f>
        <v>0</v>
      </c>
      <c r="M15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">
        <f t="array" ref="O15">MIN(IF((OutputTable[GroupByKey]=OutputTable[[#This Row],[GroupByKey]]),(OutputTable[GroupByKey]=OutputTable[[#This Row],[GroupByKey]])*OutputTable[RecordedValue]))</f>
        <v>0</v>
      </c>
      <c r="P15">
        <f t="array" ref="P15">MAX(IF((OutputTable[GroupByKey]=OutputTable[[#This Row],[GroupByKey]]),(OutputTable[GroupByKey]=OutputTable[[#This Row],[GroupByKey]])*OutputTable[RecordedValue]))</f>
        <v>0</v>
      </c>
    </row>
    <row r="16" spans="1:16" x14ac:dyDescent="0.25">
      <c r="A16" t="s">
        <v>67</v>
      </c>
      <c r="B16" t="s">
        <v>70</v>
      </c>
      <c r="C16">
        <v>1</v>
      </c>
      <c r="D16" t="s">
        <v>129</v>
      </c>
      <c r="E16" t="s">
        <v>116</v>
      </c>
      <c r="F16" t="s">
        <v>73</v>
      </c>
      <c r="G16">
        <v>0</v>
      </c>
      <c r="H16">
        <v>0</v>
      </c>
      <c r="I16" t="str">
        <f>OutputTable[[#This Row],[ProjectName]]&amp;OutputTable[[#This Row],[Name]]&amp;OutputTable[[#This Row],[Type]]&amp;OutputTable[[#This Row],[Source]]</f>
        <v>Unnamed Projectpaintingmachine.ScheduledUtilizationScheduled UtilizationResource</v>
      </c>
      <c r="J16">
        <f t="array" ref="J16">MAX(IF((ProjectInfoTable[ProjectName]=OutputTable[[#This Row],[ProjectName]]),(ProjectInfoTable[ProjectName]=OutputTable[[#This Row],[ProjectName]])*ProjectInfoTable[NumberOfReplications]))</f>
        <v>15</v>
      </c>
      <c r="K16">
        <f t="array" ref="K16">IFERROR(AVERAGE(IF((OutputTable[GroupByKey]=OutputTable[[#This Row],[GroupByKey]]),(OutputTable[GroupByKey]=OutputTable[[#This Row],[GroupByKey]])*OutputTable[RecordedValue])),0)</f>
        <v>0</v>
      </c>
      <c r="L16">
        <f t="array" ref="L16">IFERROR(_xlfn.STDEV.S(IF((OutputTable[GroupByKey]=OutputTable[[#This Row],[GroupByKey]]),(OutputTable[GroupByKey]=OutputTable[[#This Row],[GroupByKey]])*OutputTable[RecordedValue])),0)</f>
        <v>0</v>
      </c>
      <c r="M16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">
        <f t="array" ref="O16">MIN(IF((OutputTable[GroupByKey]=OutputTable[[#This Row],[GroupByKey]]),(OutputTable[GroupByKey]=OutputTable[[#This Row],[GroupByKey]])*OutputTable[RecordedValue]))</f>
        <v>0</v>
      </c>
      <c r="P16">
        <f t="array" ref="P16">MAX(IF((OutputTable[GroupByKey]=OutputTable[[#This Row],[GroupByKey]]),(OutputTable[GroupByKey]=OutputTable[[#This Row],[GroupByKey]])*OutputTable[RecordedValue]))</f>
        <v>0</v>
      </c>
    </row>
    <row r="17" spans="1:16" x14ac:dyDescent="0.25">
      <c r="A17" t="s">
        <v>67</v>
      </c>
      <c r="B17" t="s">
        <v>70</v>
      </c>
      <c r="C17">
        <v>1</v>
      </c>
      <c r="D17" t="s">
        <v>130</v>
      </c>
      <c r="E17" t="s">
        <v>114</v>
      </c>
      <c r="F17" t="s">
        <v>73</v>
      </c>
      <c r="G17">
        <v>0</v>
      </c>
      <c r="H17">
        <v>0</v>
      </c>
      <c r="I17" t="str">
        <f>OutputTable[[#This Row],[ProjectName]]&amp;OutputTable[[#This Row],[Name]]&amp;OutputTable[[#This Row],[Type]]&amp;OutputTable[[#This Row],[Source]]</f>
        <v>Unnamed Projectpaintingoperator.NumberSeizedTotal Number SeizedResource</v>
      </c>
      <c r="J17">
        <f t="array" ref="J17">MAX(IF((ProjectInfoTable[ProjectName]=OutputTable[[#This Row],[ProjectName]]),(ProjectInfoTable[ProjectName]=OutputTable[[#This Row],[ProjectName]])*ProjectInfoTable[NumberOfReplications]))</f>
        <v>15</v>
      </c>
      <c r="K17">
        <f t="array" ref="K17">IFERROR(AVERAGE(IF((OutputTable[GroupByKey]=OutputTable[[#This Row],[GroupByKey]]),(OutputTable[GroupByKey]=OutputTable[[#This Row],[GroupByKey]])*OutputTable[RecordedValue])),0)</f>
        <v>0</v>
      </c>
      <c r="L17">
        <f t="array" ref="L17">IFERROR(_xlfn.STDEV.S(IF((OutputTable[GroupByKey]=OutputTable[[#This Row],[GroupByKey]]),(OutputTable[GroupByKey]=OutputTable[[#This Row],[GroupByKey]])*OutputTable[RecordedValue])),0)</f>
        <v>0</v>
      </c>
      <c r="M17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">
        <f t="array" ref="O17">MIN(IF((OutputTable[GroupByKey]=OutputTable[[#This Row],[GroupByKey]]),(OutputTable[GroupByKey]=OutputTable[[#This Row],[GroupByKey]])*OutputTable[RecordedValue]))</f>
        <v>0</v>
      </c>
      <c r="P17">
        <f t="array" ref="P17">MAX(IF((OutputTable[GroupByKey]=OutputTable[[#This Row],[GroupByKey]]),(OutputTable[GroupByKey]=OutputTable[[#This Row],[GroupByKey]])*OutputTable[RecordedValue]))</f>
        <v>0</v>
      </c>
    </row>
    <row r="18" spans="1:16" x14ac:dyDescent="0.25">
      <c r="A18" t="s">
        <v>67</v>
      </c>
      <c r="B18" t="s">
        <v>70</v>
      </c>
      <c r="C18">
        <v>1</v>
      </c>
      <c r="D18" t="s">
        <v>131</v>
      </c>
      <c r="E18" t="s">
        <v>116</v>
      </c>
      <c r="F18" t="s">
        <v>73</v>
      </c>
      <c r="G18">
        <v>0</v>
      </c>
      <c r="H18">
        <v>0</v>
      </c>
      <c r="I18" t="str">
        <f>OutputTable[[#This Row],[ProjectName]]&amp;OutputTable[[#This Row],[Name]]&amp;OutputTable[[#This Row],[Type]]&amp;OutputTable[[#This Row],[Source]]</f>
        <v>Unnamed Projectpaintingoperator.ScheduledUtilizationScheduled UtilizationResource</v>
      </c>
      <c r="J18">
        <f t="array" ref="J18">MAX(IF((ProjectInfoTable[ProjectName]=OutputTable[[#This Row],[ProjectName]]),(ProjectInfoTable[ProjectName]=OutputTable[[#This Row],[ProjectName]])*ProjectInfoTable[NumberOfReplications]))</f>
        <v>15</v>
      </c>
      <c r="K18">
        <f t="array" ref="K18">IFERROR(AVERAGE(IF((OutputTable[GroupByKey]=OutputTable[[#This Row],[GroupByKey]]),(OutputTable[GroupByKey]=OutputTable[[#This Row],[GroupByKey]])*OutputTable[RecordedValue])),0)</f>
        <v>0</v>
      </c>
      <c r="L18">
        <f t="array" ref="L18">IFERROR(_xlfn.STDEV.S(IF((OutputTable[GroupByKey]=OutputTable[[#This Row],[GroupByKey]]),(OutputTable[GroupByKey]=OutputTable[[#This Row],[GroupByKey]])*OutputTable[RecordedValue])),0)</f>
        <v>0</v>
      </c>
      <c r="M18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">
        <f t="array" ref="O18">MIN(IF((OutputTable[GroupByKey]=OutputTable[[#This Row],[GroupByKey]]),(OutputTable[GroupByKey]=OutputTable[[#This Row],[GroupByKey]])*OutputTable[RecordedValue]))</f>
        <v>0</v>
      </c>
      <c r="P18">
        <f t="array" ref="P18">MAX(IF((OutputTable[GroupByKey]=OutputTable[[#This Row],[GroupByKey]]),(OutputTable[GroupByKey]=OutputTable[[#This Row],[GroupByKey]])*OutputTable[RecordedValue]))</f>
        <v>0</v>
      </c>
    </row>
    <row r="19" spans="1:16" x14ac:dyDescent="0.25">
      <c r="A19" t="s">
        <v>67</v>
      </c>
      <c r="B19" t="s">
        <v>70</v>
      </c>
      <c r="C19">
        <v>1</v>
      </c>
      <c r="D19" t="s">
        <v>132</v>
      </c>
      <c r="E19" t="s">
        <v>114</v>
      </c>
      <c r="F19" t="s">
        <v>73</v>
      </c>
      <c r="G19">
        <v>0</v>
      </c>
      <c r="H19">
        <v>0</v>
      </c>
      <c r="I19" t="str">
        <f>OutputTable[[#This Row],[ProjectName]]&amp;OutputTable[[#This Row],[Name]]&amp;OutputTable[[#This Row],[Type]]&amp;OutputTable[[#This Row],[Source]]</f>
        <v>Unnamed Projectsandblastmachine.NumberSeizedTotal Number SeizedResource</v>
      </c>
      <c r="J19">
        <f t="array" ref="J19">MAX(IF((ProjectInfoTable[ProjectName]=OutputTable[[#This Row],[ProjectName]]),(ProjectInfoTable[ProjectName]=OutputTable[[#This Row],[ProjectName]])*ProjectInfoTable[NumberOfReplications]))</f>
        <v>15</v>
      </c>
      <c r="K19">
        <f t="array" ref="K19">IFERROR(AVERAGE(IF((OutputTable[GroupByKey]=OutputTable[[#This Row],[GroupByKey]]),(OutputTable[GroupByKey]=OutputTable[[#This Row],[GroupByKey]])*OutputTable[RecordedValue])),0)</f>
        <v>0</v>
      </c>
      <c r="L19">
        <f t="array" ref="L19">IFERROR(_xlfn.STDEV.S(IF((OutputTable[GroupByKey]=OutputTable[[#This Row],[GroupByKey]]),(OutputTable[GroupByKey]=OutputTable[[#This Row],[GroupByKey]])*OutputTable[RecordedValue])),0)</f>
        <v>0</v>
      </c>
      <c r="M19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">
        <f t="array" ref="O19">MIN(IF((OutputTable[GroupByKey]=OutputTable[[#This Row],[GroupByKey]]),(OutputTable[GroupByKey]=OutputTable[[#This Row],[GroupByKey]])*OutputTable[RecordedValue]))</f>
        <v>0</v>
      </c>
      <c r="P19">
        <f t="array" ref="P19">MAX(IF((OutputTable[GroupByKey]=OutputTable[[#This Row],[GroupByKey]]),(OutputTable[GroupByKey]=OutputTable[[#This Row],[GroupByKey]])*OutputTable[RecordedValue]))</f>
        <v>0</v>
      </c>
    </row>
    <row r="20" spans="1:16" x14ac:dyDescent="0.25">
      <c r="A20" t="s">
        <v>67</v>
      </c>
      <c r="B20" t="s">
        <v>70</v>
      </c>
      <c r="C20">
        <v>1</v>
      </c>
      <c r="D20" t="s">
        <v>133</v>
      </c>
      <c r="E20" t="s">
        <v>116</v>
      </c>
      <c r="F20" t="s">
        <v>73</v>
      </c>
      <c r="G20">
        <v>0</v>
      </c>
      <c r="H20">
        <v>0</v>
      </c>
      <c r="I20" t="str">
        <f>OutputTable[[#This Row],[ProjectName]]&amp;OutputTable[[#This Row],[Name]]&amp;OutputTable[[#This Row],[Type]]&amp;OutputTable[[#This Row],[Source]]</f>
        <v>Unnamed Projectsandblastmachine.ScheduledUtilizationScheduled UtilizationResource</v>
      </c>
      <c r="J20">
        <f t="array" ref="J20">MAX(IF((ProjectInfoTable[ProjectName]=OutputTable[[#This Row],[ProjectName]]),(ProjectInfoTable[ProjectName]=OutputTable[[#This Row],[ProjectName]])*ProjectInfoTable[NumberOfReplications]))</f>
        <v>15</v>
      </c>
      <c r="K20">
        <f t="array" ref="K20">IFERROR(AVERAGE(IF((OutputTable[GroupByKey]=OutputTable[[#This Row],[GroupByKey]]),(OutputTable[GroupByKey]=OutputTable[[#This Row],[GroupByKey]])*OutputTable[RecordedValue])),0)</f>
        <v>0</v>
      </c>
      <c r="L20">
        <f t="array" ref="L20">IFERROR(_xlfn.STDEV.S(IF((OutputTable[GroupByKey]=OutputTable[[#This Row],[GroupByKey]]),(OutputTable[GroupByKey]=OutputTable[[#This Row],[GroupByKey]])*OutputTable[RecordedValue])),0)</f>
        <v>0</v>
      </c>
      <c r="M20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">
        <f t="array" ref="O20">MIN(IF((OutputTable[GroupByKey]=OutputTable[[#This Row],[GroupByKey]]),(OutputTable[GroupByKey]=OutputTable[[#This Row],[GroupByKey]])*OutputTable[RecordedValue]))</f>
        <v>0</v>
      </c>
      <c r="P20">
        <f t="array" ref="P20">MAX(IF((OutputTable[GroupByKey]=OutputTable[[#This Row],[GroupByKey]]),(OutputTable[GroupByKey]=OutputTable[[#This Row],[GroupByKey]])*OutputTable[RecordedValue]))</f>
        <v>0</v>
      </c>
    </row>
    <row r="21" spans="1:16" x14ac:dyDescent="0.25">
      <c r="A21" t="s">
        <v>67</v>
      </c>
      <c r="B21" t="s">
        <v>70</v>
      </c>
      <c r="C21">
        <v>1</v>
      </c>
      <c r="D21" t="s">
        <v>134</v>
      </c>
      <c r="E21" t="s">
        <v>114</v>
      </c>
      <c r="F21" t="s">
        <v>73</v>
      </c>
      <c r="G21">
        <v>0</v>
      </c>
      <c r="H21">
        <v>0</v>
      </c>
      <c r="I21" t="str">
        <f>OutputTable[[#This Row],[ProjectName]]&amp;OutputTable[[#This Row],[Name]]&amp;OutputTable[[#This Row],[Type]]&amp;OutputTable[[#This Row],[Source]]</f>
        <v>Unnamed Projectsandblastoperator.NumberSeizedTotal Number SeizedResource</v>
      </c>
      <c r="J21">
        <f t="array" ref="J21">MAX(IF((ProjectInfoTable[ProjectName]=OutputTable[[#This Row],[ProjectName]]),(ProjectInfoTable[ProjectName]=OutputTable[[#This Row],[ProjectName]])*ProjectInfoTable[NumberOfReplications]))</f>
        <v>15</v>
      </c>
      <c r="K21">
        <f t="array" ref="K21">IFERROR(AVERAGE(IF((OutputTable[GroupByKey]=OutputTable[[#This Row],[GroupByKey]]),(OutputTable[GroupByKey]=OutputTable[[#This Row],[GroupByKey]])*OutputTable[RecordedValue])),0)</f>
        <v>0</v>
      </c>
      <c r="L21">
        <f t="array" ref="L21">IFERROR(_xlfn.STDEV.S(IF((OutputTable[GroupByKey]=OutputTable[[#This Row],[GroupByKey]]),(OutputTable[GroupByKey]=OutputTable[[#This Row],[GroupByKey]])*OutputTable[RecordedValue])),0)</f>
        <v>0</v>
      </c>
      <c r="M2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">
        <f t="array" ref="O21">MIN(IF((OutputTable[GroupByKey]=OutputTable[[#This Row],[GroupByKey]]),(OutputTable[GroupByKey]=OutputTable[[#This Row],[GroupByKey]])*OutputTable[RecordedValue]))</f>
        <v>0</v>
      </c>
      <c r="P21">
        <f t="array" ref="P21">MAX(IF((OutputTable[GroupByKey]=OutputTable[[#This Row],[GroupByKey]]),(OutputTable[GroupByKey]=OutputTable[[#This Row],[GroupByKey]])*OutputTable[RecordedValue]))</f>
        <v>0</v>
      </c>
    </row>
    <row r="22" spans="1:16" x14ac:dyDescent="0.25">
      <c r="A22" t="s">
        <v>67</v>
      </c>
      <c r="B22" t="s">
        <v>70</v>
      </c>
      <c r="C22">
        <v>1</v>
      </c>
      <c r="D22" t="s">
        <v>135</v>
      </c>
      <c r="E22" t="s">
        <v>116</v>
      </c>
      <c r="F22" t="s">
        <v>73</v>
      </c>
      <c r="G22">
        <v>0</v>
      </c>
      <c r="H22">
        <v>0</v>
      </c>
      <c r="I22" t="str">
        <f>OutputTable[[#This Row],[ProjectName]]&amp;OutputTable[[#This Row],[Name]]&amp;OutputTable[[#This Row],[Type]]&amp;OutputTable[[#This Row],[Source]]</f>
        <v>Unnamed Projectsandblastoperator.ScheduledUtilizationScheduled UtilizationResource</v>
      </c>
      <c r="J22">
        <f t="array" ref="J22">MAX(IF((ProjectInfoTable[ProjectName]=OutputTable[[#This Row],[ProjectName]]),(ProjectInfoTable[ProjectName]=OutputTable[[#This Row],[ProjectName]])*ProjectInfoTable[NumberOfReplications]))</f>
        <v>15</v>
      </c>
      <c r="K22">
        <f t="array" ref="K22">IFERROR(AVERAGE(IF((OutputTable[GroupByKey]=OutputTable[[#This Row],[GroupByKey]]),(OutputTable[GroupByKey]=OutputTable[[#This Row],[GroupByKey]])*OutputTable[RecordedValue])),0)</f>
        <v>0</v>
      </c>
      <c r="L22">
        <f t="array" ref="L22">IFERROR(_xlfn.STDEV.S(IF((OutputTable[GroupByKey]=OutputTable[[#This Row],[GroupByKey]]),(OutputTable[GroupByKey]=OutputTable[[#This Row],[GroupByKey]])*OutputTable[RecordedValue])),0)</f>
        <v>0</v>
      </c>
      <c r="M22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">
        <f t="array" ref="O22">MIN(IF((OutputTable[GroupByKey]=OutputTable[[#This Row],[GroupByKey]]),(OutputTable[GroupByKey]=OutputTable[[#This Row],[GroupByKey]])*OutputTable[RecordedValue]))</f>
        <v>0</v>
      </c>
      <c r="P22">
        <f t="array" ref="P22">MAX(IF((OutputTable[GroupByKey]=OutputTable[[#This Row],[GroupByKey]]),(OutputTable[GroupByKey]=OutputTable[[#This Row],[GroupByKey]])*OutputTable[RecordedValue]))</f>
        <v>0</v>
      </c>
    </row>
    <row r="23" spans="1:16" x14ac:dyDescent="0.25">
      <c r="A23" t="s">
        <v>67</v>
      </c>
      <c r="B23" t="s">
        <v>70</v>
      </c>
      <c r="C23">
        <v>1</v>
      </c>
      <c r="D23" t="s">
        <v>136</v>
      </c>
      <c r="E23" t="s">
        <v>120</v>
      </c>
      <c r="F23" t="s">
        <v>79</v>
      </c>
      <c r="G23">
        <v>0</v>
      </c>
      <c r="H23">
        <v>0</v>
      </c>
      <c r="I23" t="str">
        <f>OutputTable[[#This Row],[ProjectName]]&amp;OutputTable[[#This Row],[Name]]&amp;OutputTable[[#This Row],[Type]]&amp;OutputTable[[#This Row],[Source]]</f>
        <v>Unnamed Projectsteelsheet.NumberInNumber InEntity</v>
      </c>
      <c r="J23">
        <f t="array" ref="J23">MAX(IF((ProjectInfoTable[ProjectName]=OutputTable[[#This Row],[ProjectName]]),(ProjectInfoTable[ProjectName]=OutputTable[[#This Row],[ProjectName]])*ProjectInfoTable[NumberOfReplications]))</f>
        <v>15</v>
      </c>
      <c r="K23">
        <f t="array" ref="K23">IFERROR(AVERAGE(IF((OutputTable[GroupByKey]=OutputTable[[#This Row],[GroupByKey]]),(OutputTable[GroupByKey]=OutputTable[[#This Row],[GroupByKey]])*OutputTable[RecordedValue])),0)</f>
        <v>0</v>
      </c>
      <c r="L23">
        <f t="array" ref="L23">IFERROR(_xlfn.STDEV.S(IF((OutputTable[GroupByKey]=OutputTable[[#This Row],[GroupByKey]]),(OutputTable[GroupByKey]=OutputTable[[#This Row],[GroupByKey]])*OutputTable[RecordedValue])),0)</f>
        <v>0</v>
      </c>
      <c r="M23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">
        <f t="array" ref="O23">MIN(IF((OutputTable[GroupByKey]=OutputTable[[#This Row],[GroupByKey]]),(OutputTable[GroupByKey]=OutputTable[[#This Row],[GroupByKey]])*OutputTable[RecordedValue]))</f>
        <v>0</v>
      </c>
      <c r="P23">
        <f t="array" ref="P23">MAX(IF((OutputTable[GroupByKey]=OutputTable[[#This Row],[GroupByKey]]),(OutputTable[GroupByKey]=OutputTable[[#This Row],[GroupByKey]])*OutputTable[RecordedValue]))</f>
        <v>0</v>
      </c>
    </row>
    <row r="24" spans="1:16" x14ac:dyDescent="0.25">
      <c r="A24" t="s">
        <v>67</v>
      </c>
      <c r="B24" t="s">
        <v>70</v>
      </c>
      <c r="C24">
        <v>1</v>
      </c>
      <c r="D24" t="s">
        <v>137</v>
      </c>
      <c r="E24" t="s">
        <v>111</v>
      </c>
      <c r="F24" t="s">
        <v>79</v>
      </c>
      <c r="G24">
        <v>0</v>
      </c>
      <c r="H24">
        <v>0</v>
      </c>
      <c r="I24" t="str">
        <f>OutputTable[[#This Row],[ProjectName]]&amp;OutputTable[[#This Row],[Name]]&amp;OutputTable[[#This Row],[Type]]&amp;OutputTable[[#This Row],[Source]]</f>
        <v>Unnamed Projectsteelsheet.NumberOutNumber OutEntity</v>
      </c>
      <c r="J24">
        <f t="array" ref="J24">MAX(IF((ProjectInfoTable[ProjectName]=OutputTable[[#This Row],[ProjectName]]),(ProjectInfoTable[ProjectName]=OutputTable[[#This Row],[ProjectName]])*ProjectInfoTable[NumberOfReplications]))</f>
        <v>15</v>
      </c>
      <c r="K24">
        <f t="array" ref="K24">IFERROR(AVERAGE(IF((OutputTable[GroupByKey]=OutputTable[[#This Row],[GroupByKey]]),(OutputTable[GroupByKey]=OutputTable[[#This Row],[GroupByKey]])*OutputTable[RecordedValue])),0)</f>
        <v>0</v>
      </c>
      <c r="L24">
        <f t="array" ref="L24">IFERROR(_xlfn.STDEV.S(IF((OutputTable[GroupByKey]=OutputTable[[#This Row],[GroupByKey]]),(OutputTable[GroupByKey]=OutputTable[[#This Row],[GroupByKey]])*OutputTable[RecordedValue])),0)</f>
        <v>0</v>
      </c>
      <c r="M24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">
        <f t="array" ref="O24">MIN(IF((OutputTable[GroupByKey]=OutputTable[[#This Row],[GroupByKey]]),(OutputTable[GroupByKey]=OutputTable[[#This Row],[GroupByKey]])*OutputTable[RecordedValue]))</f>
        <v>0</v>
      </c>
      <c r="P24">
        <f t="array" ref="P24">MAX(IF((OutputTable[GroupByKey]=OutputTable[[#This Row],[GroupByKey]]),(OutputTable[GroupByKey]=OutputTable[[#This Row],[GroupByKey]])*OutputTable[RecordedValue]))</f>
        <v>0</v>
      </c>
    </row>
    <row r="25" spans="1:16" x14ac:dyDescent="0.25">
      <c r="A25" t="s">
        <v>67</v>
      </c>
      <c r="B25" t="s">
        <v>70</v>
      </c>
      <c r="C25">
        <v>1</v>
      </c>
      <c r="D25" t="s">
        <v>138</v>
      </c>
      <c r="E25" t="s">
        <v>114</v>
      </c>
      <c r="F25" t="s">
        <v>73</v>
      </c>
      <c r="G25">
        <v>0</v>
      </c>
      <c r="H25">
        <v>0</v>
      </c>
      <c r="I25" t="str">
        <f>OutputTable[[#This Row],[ProjectName]]&amp;OutputTable[[#This Row],[Name]]&amp;OutputTable[[#This Row],[Type]]&amp;OutputTable[[#This Row],[Source]]</f>
        <v>Unnamed Projectwelder.NumberSeizedTotal Number SeizedResource</v>
      </c>
      <c r="J25">
        <f t="array" ref="J25">MAX(IF((ProjectInfoTable[ProjectName]=OutputTable[[#This Row],[ProjectName]]),(ProjectInfoTable[ProjectName]=OutputTable[[#This Row],[ProjectName]])*ProjectInfoTable[NumberOfReplications]))</f>
        <v>15</v>
      </c>
      <c r="K25">
        <f t="array" ref="K25">IFERROR(AVERAGE(IF((OutputTable[GroupByKey]=OutputTable[[#This Row],[GroupByKey]]),(OutputTable[GroupByKey]=OutputTable[[#This Row],[GroupByKey]])*OutputTable[RecordedValue])),0)</f>
        <v>0</v>
      </c>
      <c r="L25">
        <f t="array" ref="L25">IFERROR(_xlfn.STDEV.S(IF((OutputTable[GroupByKey]=OutputTable[[#This Row],[GroupByKey]]),(OutputTable[GroupByKey]=OutputTable[[#This Row],[GroupByKey]])*OutputTable[RecordedValue])),0)</f>
        <v>0</v>
      </c>
      <c r="M25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">
        <f t="array" ref="O25">MIN(IF((OutputTable[GroupByKey]=OutputTable[[#This Row],[GroupByKey]]),(OutputTable[GroupByKey]=OutputTable[[#This Row],[GroupByKey]])*OutputTable[RecordedValue]))</f>
        <v>0</v>
      </c>
      <c r="P25">
        <f t="array" ref="P25">MAX(IF((OutputTable[GroupByKey]=OutputTable[[#This Row],[GroupByKey]]),(OutputTable[GroupByKey]=OutputTable[[#This Row],[GroupByKey]])*OutputTable[RecordedValue]))</f>
        <v>0</v>
      </c>
    </row>
    <row r="26" spans="1:16" x14ac:dyDescent="0.25">
      <c r="A26" t="s">
        <v>67</v>
      </c>
      <c r="B26" t="s">
        <v>70</v>
      </c>
      <c r="C26">
        <v>1</v>
      </c>
      <c r="D26" t="s">
        <v>139</v>
      </c>
      <c r="E26" t="s">
        <v>116</v>
      </c>
      <c r="F26" t="s">
        <v>73</v>
      </c>
      <c r="G26">
        <v>0</v>
      </c>
      <c r="H26">
        <v>0</v>
      </c>
      <c r="I26" t="str">
        <f>OutputTable[[#This Row],[ProjectName]]&amp;OutputTable[[#This Row],[Name]]&amp;OutputTable[[#This Row],[Type]]&amp;OutputTable[[#This Row],[Source]]</f>
        <v>Unnamed Projectwelder.ScheduledUtilizationScheduled UtilizationResource</v>
      </c>
      <c r="J26">
        <f t="array" ref="J26">MAX(IF((ProjectInfoTable[ProjectName]=OutputTable[[#This Row],[ProjectName]]),(ProjectInfoTable[ProjectName]=OutputTable[[#This Row],[ProjectName]])*ProjectInfoTable[NumberOfReplications]))</f>
        <v>15</v>
      </c>
      <c r="K26">
        <f t="array" ref="K26">IFERROR(AVERAGE(IF((OutputTable[GroupByKey]=OutputTable[[#This Row],[GroupByKey]]),(OutputTable[GroupByKey]=OutputTable[[#This Row],[GroupByKey]])*OutputTable[RecordedValue])),0)</f>
        <v>0</v>
      </c>
      <c r="L26">
        <f t="array" ref="L26">IFERROR(_xlfn.STDEV.S(IF((OutputTable[GroupByKey]=OutputTable[[#This Row],[GroupByKey]]),(OutputTable[GroupByKey]=OutputTable[[#This Row],[GroupByKey]])*OutputTable[RecordedValue])),0)</f>
        <v>0</v>
      </c>
      <c r="M26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">
        <f t="array" ref="O26">MIN(IF((OutputTable[GroupByKey]=OutputTable[[#This Row],[GroupByKey]]),(OutputTable[GroupByKey]=OutputTable[[#This Row],[GroupByKey]])*OutputTable[RecordedValue]))</f>
        <v>0</v>
      </c>
      <c r="P26">
        <f t="array" ref="P26">MAX(IF((OutputTable[GroupByKey]=OutputTable[[#This Row],[GroupByKey]]),(OutputTable[GroupByKey]=OutputTable[[#This Row],[GroupByKey]])*OutputTable[RecordedValue]))</f>
        <v>0</v>
      </c>
    </row>
    <row r="27" spans="1:16" x14ac:dyDescent="0.25">
      <c r="A27" t="s">
        <v>67</v>
      </c>
      <c r="B27" t="s">
        <v>70</v>
      </c>
      <c r="C27">
        <v>1</v>
      </c>
      <c r="D27" t="s">
        <v>140</v>
      </c>
      <c r="E27" t="s">
        <v>114</v>
      </c>
      <c r="F27" t="s">
        <v>73</v>
      </c>
      <c r="G27">
        <v>0</v>
      </c>
      <c r="H27">
        <v>0</v>
      </c>
      <c r="I27" t="str">
        <f>OutputTable[[#This Row],[ProjectName]]&amp;OutputTable[[#This Row],[Name]]&amp;OutputTable[[#This Row],[Type]]&amp;OutputTable[[#This Row],[Source]]</f>
        <v>Unnamed Projectweldingqcworker.NumberSeizedTotal Number SeizedResource</v>
      </c>
      <c r="J27">
        <f t="array" ref="J27">MAX(IF((ProjectInfoTable[ProjectName]=OutputTable[[#This Row],[ProjectName]]),(ProjectInfoTable[ProjectName]=OutputTable[[#This Row],[ProjectName]])*ProjectInfoTable[NumberOfReplications]))</f>
        <v>15</v>
      </c>
      <c r="K27">
        <f t="array" ref="K27">IFERROR(AVERAGE(IF((OutputTable[GroupByKey]=OutputTable[[#This Row],[GroupByKey]]),(OutputTable[GroupByKey]=OutputTable[[#This Row],[GroupByKey]])*OutputTable[RecordedValue])),0)</f>
        <v>0</v>
      </c>
      <c r="L27">
        <f t="array" ref="L27">IFERROR(_xlfn.STDEV.S(IF((OutputTable[GroupByKey]=OutputTable[[#This Row],[GroupByKey]]),(OutputTable[GroupByKey]=OutputTable[[#This Row],[GroupByKey]])*OutputTable[RecordedValue])),0)</f>
        <v>0</v>
      </c>
      <c r="M27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">
        <f t="array" ref="O27">MIN(IF((OutputTable[GroupByKey]=OutputTable[[#This Row],[GroupByKey]]),(OutputTable[GroupByKey]=OutputTable[[#This Row],[GroupByKey]])*OutputTable[RecordedValue]))</f>
        <v>0</v>
      </c>
      <c r="P27">
        <f t="array" ref="P27">MAX(IF((OutputTable[GroupByKey]=OutputTable[[#This Row],[GroupByKey]]),(OutputTable[GroupByKey]=OutputTable[[#This Row],[GroupByKey]])*OutputTable[RecordedValue]))</f>
        <v>0</v>
      </c>
    </row>
    <row r="28" spans="1:16" x14ac:dyDescent="0.25">
      <c r="A28" t="s">
        <v>67</v>
      </c>
      <c r="B28" t="s">
        <v>70</v>
      </c>
      <c r="C28">
        <v>1</v>
      </c>
      <c r="D28" t="s">
        <v>141</v>
      </c>
      <c r="E28" t="s">
        <v>116</v>
      </c>
      <c r="F28" t="s">
        <v>73</v>
      </c>
      <c r="G28">
        <v>0</v>
      </c>
      <c r="H28">
        <v>0</v>
      </c>
      <c r="I28" t="str">
        <f>OutputTable[[#This Row],[ProjectName]]&amp;OutputTable[[#This Row],[Name]]&amp;OutputTable[[#This Row],[Type]]&amp;OutputTable[[#This Row],[Source]]</f>
        <v>Unnamed Projectweldingqcworker.ScheduledUtilizationScheduled UtilizationResource</v>
      </c>
      <c r="J28">
        <f t="array" ref="J28">MAX(IF((ProjectInfoTable[ProjectName]=OutputTable[[#This Row],[ProjectName]]),(ProjectInfoTable[ProjectName]=OutputTable[[#This Row],[ProjectName]])*ProjectInfoTable[NumberOfReplications]))</f>
        <v>15</v>
      </c>
      <c r="K28">
        <f t="array" ref="K28">IFERROR(AVERAGE(IF((OutputTable[GroupByKey]=OutputTable[[#This Row],[GroupByKey]]),(OutputTable[GroupByKey]=OutputTable[[#This Row],[GroupByKey]])*OutputTable[RecordedValue])),0)</f>
        <v>0</v>
      </c>
      <c r="L28">
        <f t="array" ref="L28">IFERROR(_xlfn.STDEV.S(IF((OutputTable[GroupByKey]=OutputTable[[#This Row],[GroupByKey]]),(OutputTable[GroupByKey]=OutputTable[[#This Row],[GroupByKey]])*OutputTable[RecordedValue])),0)</f>
        <v>0</v>
      </c>
      <c r="M28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">
        <f t="array" ref="O28">MIN(IF((OutputTable[GroupByKey]=OutputTable[[#This Row],[GroupByKey]]),(OutputTable[GroupByKey]=OutputTable[[#This Row],[GroupByKey]])*OutputTable[RecordedValue]))</f>
        <v>0</v>
      </c>
      <c r="P28">
        <f t="array" ref="P28">MAX(IF((OutputTable[GroupByKey]=OutputTable[[#This Row],[GroupByKey]]),(OutputTable[GroupByKey]=OutputTable[[#This Row],[GroupByKey]])*OutputTable[RecordedValue]))</f>
        <v>0</v>
      </c>
    </row>
    <row r="29" spans="1:16" x14ac:dyDescent="0.25">
      <c r="A29" t="s">
        <v>67</v>
      </c>
      <c r="B29" t="s">
        <v>70</v>
      </c>
      <c r="C29">
        <v>2</v>
      </c>
      <c r="D29" t="s">
        <v>110</v>
      </c>
      <c r="E29" t="s">
        <v>111</v>
      </c>
      <c r="F29" t="s">
        <v>112</v>
      </c>
      <c r="G29">
        <v>0</v>
      </c>
      <c r="H29">
        <v>0</v>
      </c>
      <c r="I29" t="str">
        <f>OutputTable[[#This Row],[ProjectName]]&amp;OutputTable[[#This Row],[Name]]&amp;OutputTable[[#This Row],[Type]]&amp;OutputTable[[#This Row],[Source]]</f>
        <v>Unnamed ProjectSystem.NumberOutNumber OutSystem</v>
      </c>
      <c r="J29">
        <f t="array" ref="J29">MAX(IF((ProjectInfoTable[ProjectName]=OutputTable[[#This Row],[ProjectName]]),(ProjectInfoTable[ProjectName]=OutputTable[[#This Row],[ProjectName]])*ProjectInfoTable[NumberOfReplications]))</f>
        <v>15</v>
      </c>
      <c r="K29">
        <f t="array" ref="K29">IFERROR(AVERAGE(IF((OutputTable[GroupByKey]=OutputTable[[#This Row],[GroupByKey]]),(OutputTable[GroupByKey]=OutputTable[[#This Row],[GroupByKey]])*OutputTable[RecordedValue])),0)</f>
        <v>0</v>
      </c>
      <c r="L29">
        <f t="array" ref="L29">IFERROR(_xlfn.STDEV.S(IF((OutputTable[GroupByKey]=OutputTable[[#This Row],[GroupByKey]]),(OutputTable[GroupByKey]=OutputTable[[#This Row],[GroupByKey]])*OutputTable[RecordedValue])),0)</f>
        <v>0</v>
      </c>
      <c r="M29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">
        <f t="array" ref="O29">MIN(IF((OutputTable[GroupByKey]=OutputTable[[#This Row],[GroupByKey]]),(OutputTable[GroupByKey]=OutputTable[[#This Row],[GroupByKey]])*OutputTable[RecordedValue]))</f>
        <v>0</v>
      </c>
      <c r="P29">
        <f t="array" ref="P29">MAX(IF((OutputTable[GroupByKey]=OutputTable[[#This Row],[GroupByKey]]),(OutputTable[GroupByKey]=OutputTable[[#This Row],[GroupByKey]])*OutputTable[RecordedValue]))</f>
        <v>0</v>
      </c>
    </row>
    <row r="30" spans="1:16" x14ac:dyDescent="0.25">
      <c r="A30" t="s">
        <v>67</v>
      </c>
      <c r="B30" t="s">
        <v>70</v>
      </c>
      <c r="C30">
        <v>2</v>
      </c>
      <c r="D30" t="s">
        <v>113</v>
      </c>
      <c r="E30" t="s">
        <v>114</v>
      </c>
      <c r="F30" t="s">
        <v>73</v>
      </c>
      <c r="G30">
        <v>0</v>
      </c>
      <c r="H30">
        <v>0</v>
      </c>
      <c r="I30" t="str">
        <f>OutputTable[[#This Row],[ProjectName]]&amp;OutputTable[[#This Row],[Name]]&amp;OutputTable[[#This Row],[Type]]&amp;OutputTable[[#This Row],[Source]]</f>
        <v>Unnamed Projectassembler.NumberSeizedTotal Number SeizedResource</v>
      </c>
      <c r="J30">
        <f t="array" ref="J30">MAX(IF((ProjectInfoTable[ProjectName]=OutputTable[[#This Row],[ProjectName]]),(ProjectInfoTable[ProjectName]=OutputTable[[#This Row],[ProjectName]])*ProjectInfoTable[NumberOfReplications]))</f>
        <v>15</v>
      </c>
      <c r="K30">
        <f t="array" ref="K30">IFERROR(AVERAGE(IF((OutputTable[GroupByKey]=OutputTable[[#This Row],[GroupByKey]]),(OutputTable[GroupByKey]=OutputTable[[#This Row],[GroupByKey]])*OutputTable[RecordedValue])),0)</f>
        <v>0</v>
      </c>
      <c r="L30">
        <f t="array" ref="L30">IFERROR(_xlfn.STDEV.S(IF((OutputTable[GroupByKey]=OutputTable[[#This Row],[GroupByKey]]),(OutputTable[GroupByKey]=OutputTable[[#This Row],[GroupByKey]])*OutputTable[RecordedValue])),0)</f>
        <v>0</v>
      </c>
      <c r="M30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">
        <f t="array" ref="O30">MIN(IF((OutputTable[GroupByKey]=OutputTable[[#This Row],[GroupByKey]]),(OutputTable[GroupByKey]=OutputTable[[#This Row],[GroupByKey]])*OutputTable[RecordedValue]))</f>
        <v>0</v>
      </c>
      <c r="P30">
        <f t="array" ref="P30">MAX(IF((OutputTable[GroupByKey]=OutputTable[[#This Row],[GroupByKey]]),(OutputTable[GroupByKey]=OutputTable[[#This Row],[GroupByKey]])*OutputTable[RecordedValue]))</f>
        <v>0</v>
      </c>
    </row>
    <row r="31" spans="1:16" x14ac:dyDescent="0.25">
      <c r="A31" t="s">
        <v>67</v>
      </c>
      <c r="B31" t="s">
        <v>70</v>
      </c>
      <c r="C31">
        <v>2</v>
      </c>
      <c r="D31" t="s">
        <v>115</v>
      </c>
      <c r="E31" t="s">
        <v>116</v>
      </c>
      <c r="F31" t="s">
        <v>73</v>
      </c>
      <c r="G31">
        <v>0</v>
      </c>
      <c r="H31">
        <v>0</v>
      </c>
      <c r="I31" t="str">
        <f>OutputTable[[#This Row],[ProjectName]]&amp;OutputTable[[#This Row],[Name]]&amp;OutputTable[[#This Row],[Type]]&amp;OutputTable[[#This Row],[Source]]</f>
        <v>Unnamed Projectassembler.ScheduledUtilizationScheduled UtilizationResource</v>
      </c>
      <c r="J31">
        <f t="array" ref="J31">MAX(IF((ProjectInfoTable[ProjectName]=OutputTable[[#This Row],[ProjectName]]),(ProjectInfoTable[ProjectName]=OutputTable[[#This Row],[ProjectName]])*ProjectInfoTable[NumberOfReplications]))</f>
        <v>15</v>
      </c>
      <c r="K31">
        <f t="array" ref="K31">IFERROR(AVERAGE(IF((OutputTable[GroupByKey]=OutputTable[[#This Row],[GroupByKey]]),(OutputTable[GroupByKey]=OutputTable[[#This Row],[GroupByKey]])*OutputTable[RecordedValue])),0)</f>
        <v>0</v>
      </c>
      <c r="L31">
        <f t="array" ref="L31">IFERROR(_xlfn.STDEV.S(IF((OutputTable[GroupByKey]=OutputTable[[#This Row],[GroupByKey]]),(OutputTable[GroupByKey]=OutputTable[[#This Row],[GroupByKey]])*OutputTable[RecordedValue])),0)</f>
        <v>0</v>
      </c>
      <c r="M3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">
        <f t="array" ref="O31">MIN(IF((OutputTable[GroupByKey]=OutputTable[[#This Row],[GroupByKey]]),(OutputTable[GroupByKey]=OutputTable[[#This Row],[GroupByKey]])*OutputTable[RecordedValue]))</f>
        <v>0</v>
      </c>
      <c r="P31">
        <f t="array" ref="P31">MAX(IF((OutputTable[GroupByKey]=OutputTable[[#This Row],[GroupByKey]]),(OutputTable[GroupByKey]=OutputTable[[#This Row],[GroupByKey]])*OutputTable[RecordedValue]))</f>
        <v>0</v>
      </c>
    </row>
    <row r="32" spans="1:16" x14ac:dyDescent="0.25">
      <c r="A32" t="s">
        <v>67</v>
      </c>
      <c r="B32" t="s">
        <v>70</v>
      </c>
      <c r="C32">
        <v>2</v>
      </c>
      <c r="D32" t="s">
        <v>117</v>
      </c>
      <c r="E32" t="s">
        <v>114</v>
      </c>
      <c r="F32" t="s">
        <v>73</v>
      </c>
      <c r="G32">
        <v>0</v>
      </c>
      <c r="H32">
        <v>0</v>
      </c>
      <c r="I32" s="5" t="str">
        <f>OutputTable[[#This Row],[ProjectName]]&amp;OutputTable[[#This Row],[Name]]&amp;OutputTable[[#This Row],[Type]]&amp;OutputTable[[#This Row],[Source]]</f>
        <v>Unnamed Projectassemblyqcworker.NumberSeizedTotal Number SeizedResource</v>
      </c>
      <c r="J32" s="5">
        <f t="array" ref="J32">MAX(IF((ProjectInfoTable[ProjectName]=OutputTable[[#This Row],[ProjectName]]),(ProjectInfoTable[ProjectName]=OutputTable[[#This Row],[ProjectName]])*ProjectInfoTable[NumberOfReplications]))</f>
        <v>15</v>
      </c>
      <c r="K32" s="5">
        <f t="array" ref="K32">IFERROR(AVERAGE(IF((OutputTable[GroupByKey]=OutputTable[[#This Row],[GroupByKey]]),(OutputTable[GroupByKey]=OutputTable[[#This Row],[GroupByKey]])*OutputTable[RecordedValue])),0)</f>
        <v>0</v>
      </c>
      <c r="L32" s="5">
        <f t="array" ref="L32">IFERROR(_xlfn.STDEV.S(IF((OutputTable[GroupByKey]=OutputTable[[#This Row],[GroupByKey]]),(OutputTable[GroupByKey]=OutputTable[[#This Row],[GroupByKey]])*OutputTable[RecordedValue])),0)</f>
        <v>0</v>
      </c>
      <c r="M32" s="5">
        <f t="array" ref="M32">MAX(IF((ProjectInfoTable[ProjectName]=OutputTable[[#This Row],[ProjectName]]),(ProjectInfoTable[ProjectName]=OutputTable[[#This Row],[ProjectName]])*ProjectInfoTable[ConfidenceInterval]))</f>
        <v>0.95</v>
      </c>
      <c r="N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" s="5">
        <f t="array" ref="O32">MIN(IF((OutputTable[GroupByKey]=OutputTable[[#This Row],[GroupByKey]]),(OutputTable[GroupByKey]=OutputTable[[#This Row],[GroupByKey]])*OutputTable[RecordedValue]))</f>
        <v>0</v>
      </c>
      <c r="P32" s="5">
        <f t="array" ref="P32">MAX(IF((OutputTable[GroupByKey]=OutputTable[[#This Row],[GroupByKey]]),(OutputTable[GroupByKey]=OutputTable[[#This Row],[GroupByKey]])*OutputTable[RecordedValue]))</f>
        <v>0</v>
      </c>
    </row>
    <row r="33" spans="1:16" x14ac:dyDescent="0.25">
      <c r="A33" t="s">
        <v>67</v>
      </c>
      <c r="B33" t="s">
        <v>70</v>
      </c>
      <c r="C33">
        <v>2</v>
      </c>
      <c r="D33" t="s">
        <v>118</v>
      </c>
      <c r="E33" t="s">
        <v>116</v>
      </c>
      <c r="F33" t="s">
        <v>73</v>
      </c>
      <c r="G33">
        <v>0</v>
      </c>
      <c r="H33">
        <v>0</v>
      </c>
      <c r="I33" s="5" t="str">
        <f>OutputTable[[#This Row],[ProjectName]]&amp;OutputTable[[#This Row],[Name]]&amp;OutputTable[[#This Row],[Type]]&amp;OutputTable[[#This Row],[Source]]</f>
        <v>Unnamed Projectassemblyqcworker.ScheduledUtilizationScheduled UtilizationResource</v>
      </c>
      <c r="J33" s="5">
        <f t="array" ref="J33">MAX(IF((ProjectInfoTable[ProjectName]=OutputTable[[#This Row],[ProjectName]]),(ProjectInfoTable[ProjectName]=OutputTable[[#This Row],[ProjectName]])*ProjectInfoTable[NumberOfReplications]))</f>
        <v>15</v>
      </c>
      <c r="K33" s="5">
        <f t="array" ref="K33">IFERROR(AVERAGE(IF((OutputTable[GroupByKey]=OutputTable[[#This Row],[GroupByKey]]),(OutputTable[GroupByKey]=OutputTable[[#This Row],[GroupByKey]])*OutputTable[RecordedValue])),0)</f>
        <v>0</v>
      </c>
      <c r="L33" s="5">
        <f t="array" ref="L33">IFERROR(_xlfn.STDEV.S(IF((OutputTable[GroupByKey]=OutputTable[[#This Row],[GroupByKey]]),(OutputTable[GroupByKey]=OutputTable[[#This Row],[GroupByKey]])*OutputTable[RecordedValue])),0)</f>
        <v>0</v>
      </c>
      <c r="M33" s="5">
        <f t="array" ref="M33">MAX(IF((ProjectInfoTable[ProjectName]=OutputTable[[#This Row],[ProjectName]]),(ProjectInfoTable[ProjectName]=OutputTable[[#This Row],[ProjectName]])*ProjectInfoTable[ConfidenceInterval]))</f>
        <v>0.95</v>
      </c>
      <c r="N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" s="5">
        <f t="array" ref="O33">MIN(IF((OutputTable[GroupByKey]=OutputTable[[#This Row],[GroupByKey]]),(OutputTable[GroupByKey]=OutputTable[[#This Row],[GroupByKey]])*OutputTable[RecordedValue]))</f>
        <v>0</v>
      </c>
      <c r="P33" s="5">
        <f t="array" ref="P33">MAX(IF((OutputTable[GroupByKey]=OutputTable[[#This Row],[GroupByKey]]),(OutputTable[GroupByKey]=OutputTable[[#This Row],[GroupByKey]])*OutputTable[RecordedValue]))</f>
        <v>0</v>
      </c>
    </row>
    <row r="34" spans="1:16" x14ac:dyDescent="0.25">
      <c r="A34" t="s">
        <v>67</v>
      </c>
      <c r="B34" t="s">
        <v>70</v>
      </c>
      <c r="C34">
        <v>2</v>
      </c>
      <c r="D34" t="s">
        <v>119</v>
      </c>
      <c r="E34" t="s">
        <v>120</v>
      </c>
      <c r="F34" t="s">
        <v>79</v>
      </c>
      <c r="G34">
        <v>0</v>
      </c>
      <c r="H34">
        <v>0</v>
      </c>
      <c r="I34" s="5" t="str">
        <f>OutputTable[[#This Row],[ProjectName]]&amp;OutputTable[[#This Row],[Name]]&amp;OutputTable[[#This Row],[Type]]&amp;OutputTable[[#This Row],[Source]]</f>
        <v>Unnamed Projectbatched_parts.NumberInNumber InEntity</v>
      </c>
      <c r="J34" s="5">
        <f t="array" ref="J34">MAX(IF((ProjectInfoTable[ProjectName]=OutputTable[[#This Row],[ProjectName]]),(ProjectInfoTable[ProjectName]=OutputTable[[#This Row],[ProjectName]])*ProjectInfoTable[NumberOfReplications]))</f>
        <v>15</v>
      </c>
      <c r="K34" s="5">
        <f t="array" ref="K34">IFERROR(AVERAGE(IF((OutputTable[GroupByKey]=OutputTable[[#This Row],[GroupByKey]]),(OutputTable[GroupByKey]=OutputTable[[#This Row],[GroupByKey]])*OutputTable[RecordedValue])),0)</f>
        <v>0</v>
      </c>
      <c r="L34" s="5">
        <f t="array" ref="L34">IFERROR(_xlfn.STDEV.S(IF((OutputTable[GroupByKey]=OutputTable[[#This Row],[GroupByKey]]),(OutputTable[GroupByKey]=OutputTable[[#This Row],[GroupByKey]])*OutputTable[RecordedValue])),0)</f>
        <v>0</v>
      </c>
      <c r="M34" s="5">
        <f t="array" ref="M34">MAX(IF((ProjectInfoTable[ProjectName]=OutputTable[[#This Row],[ProjectName]]),(ProjectInfoTable[ProjectName]=OutputTable[[#This Row],[ProjectName]])*ProjectInfoTable[ConfidenceInterval]))</f>
        <v>0.95</v>
      </c>
      <c r="N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" s="5">
        <f t="array" ref="O34">MIN(IF((OutputTable[GroupByKey]=OutputTable[[#This Row],[GroupByKey]]),(OutputTable[GroupByKey]=OutputTable[[#This Row],[GroupByKey]])*OutputTable[RecordedValue]))</f>
        <v>0</v>
      </c>
      <c r="P34" s="5">
        <f t="array" ref="P34">MAX(IF((OutputTable[GroupByKey]=OutputTable[[#This Row],[GroupByKey]]),(OutputTable[GroupByKey]=OutputTable[[#This Row],[GroupByKey]])*OutputTable[RecordedValue]))</f>
        <v>0</v>
      </c>
    </row>
    <row r="35" spans="1:16" x14ac:dyDescent="0.25">
      <c r="A35" t="s">
        <v>67</v>
      </c>
      <c r="B35" t="s">
        <v>70</v>
      </c>
      <c r="C35">
        <v>2</v>
      </c>
      <c r="D35" t="s">
        <v>121</v>
      </c>
      <c r="E35" t="s">
        <v>111</v>
      </c>
      <c r="F35" t="s">
        <v>79</v>
      </c>
      <c r="G35">
        <v>0</v>
      </c>
      <c r="H35">
        <v>0</v>
      </c>
      <c r="I35" s="5" t="str">
        <f>OutputTable[[#This Row],[ProjectName]]&amp;OutputTable[[#This Row],[Name]]&amp;OutputTable[[#This Row],[Type]]&amp;OutputTable[[#This Row],[Source]]</f>
        <v>Unnamed Projectbatched_parts.NumberOutNumber OutEntity</v>
      </c>
      <c r="J35" s="5">
        <f t="array" ref="J35">MAX(IF((ProjectInfoTable[ProjectName]=OutputTable[[#This Row],[ProjectName]]),(ProjectInfoTable[ProjectName]=OutputTable[[#This Row],[ProjectName]])*ProjectInfoTable[NumberOfReplications]))</f>
        <v>15</v>
      </c>
      <c r="K35" s="5">
        <f t="array" ref="K35">IFERROR(AVERAGE(IF((OutputTable[GroupByKey]=OutputTable[[#This Row],[GroupByKey]]),(OutputTable[GroupByKey]=OutputTable[[#This Row],[GroupByKey]])*OutputTable[RecordedValue])),0)</f>
        <v>0</v>
      </c>
      <c r="L35" s="5">
        <f t="array" ref="L35">IFERROR(_xlfn.STDEV.S(IF((OutputTable[GroupByKey]=OutputTable[[#This Row],[GroupByKey]]),(OutputTable[GroupByKey]=OutputTable[[#This Row],[GroupByKey]])*OutputTable[RecordedValue])),0)</f>
        <v>0</v>
      </c>
      <c r="M35" s="5">
        <f t="array" ref="M35">MAX(IF((ProjectInfoTable[ProjectName]=OutputTable[[#This Row],[ProjectName]]),(ProjectInfoTable[ProjectName]=OutputTable[[#This Row],[ProjectName]])*ProjectInfoTable[ConfidenceInterval]))</f>
        <v>0.95</v>
      </c>
      <c r="N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" s="5">
        <f t="array" ref="O35">MIN(IF((OutputTable[GroupByKey]=OutputTable[[#This Row],[GroupByKey]]),(OutputTable[GroupByKey]=OutputTable[[#This Row],[GroupByKey]])*OutputTable[RecordedValue]))</f>
        <v>0</v>
      </c>
      <c r="P35" s="5">
        <f t="array" ref="P35">MAX(IF((OutputTable[GroupByKey]=OutputTable[[#This Row],[GroupByKey]]),(OutputTable[GroupByKey]=OutputTable[[#This Row],[GroupByKey]])*OutputTable[RecordedValue]))</f>
        <v>0</v>
      </c>
    </row>
    <row r="36" spans="1:16" x14ac:dyDescent="0.25">
      <c r="A36" t="s">
        <v>67</v>
      </c>
      <c r="B36" t="s">
        <v>70</v>
      </c>
      <c r="C36">
        <v>2</v>
      </c>
      <c r="D36" t="s">
        <v>122</v>
      </c>
      <c r="E36" t="s">
        <v>114</v>
      </c>
      <c r="F36" t="s">
        <v>73</v>
      </c>
      <c r="G36">
        <v>0</v>
      </c>
      <c r="H36">
        <v>0</v>
      </c>
      <c r="I36" s="5" t="str">
        <f>OutputTable[[#This Row],[ProjectName]]&amp;OutputTable[[#This Row],[Name]]&amp;OutputTable[[#This Row],[Type]]&amp;OutputTable[[#This Row],[Source]]</f>
        <v>Unnamed Projectcleaner.NumberSeizedTotal Number SeizedResource</v>
      </c>
      <c r="J36" s="5">
        <f t="array" ref="J36">MAX(IF((ProjectInfoTable[ProjectName]=OutputTable[[#This Row],[ProjectName]]),(ProjectInfoTable[ProjectName]=OutputTable[[#This Row],[ProjectName]])*ProjectInfoTable[NumberOfReplications]))</f>
        <v>15</v>
      </c>
      <c r="K36" s="5">
        <f t="array" ref="K36">IFERROR(AVERAGE(IF((OutputTable[GroupByKey]=OutputTable[[#This Row],[GroupByKey]]),(OutputTable[GroupByKey]=OutputTable[[#This Row],[GroupByKey]])*OutputTable[RecordedValue])),0)</f>
        <v>0</v>
      </c>
      <c r="L36" s="5">
        <f t="array" ref="L36">IFERROR(_xlfn.STDEV.S(IF((OutputTable[GroupByKey]=OutputTable[[#This Row],[GroupByKey]]),(OutputTable[GroupByKey]=OutputTable[[#This Row],[GroupByKey]])*OutputTable[RecordedValue])),0)</f>
        <v>0</v>
      </c>
      <c r="M36" s="5">
        <f t="array" ref="M36">MAX(IF((ProjectInfoTable[ProjectName]=OutputTable[[#This Row],[ProjectName]]),(ProjectInfoTable[ProjectName]=OutputTable[[#This Row],[ProjectName]])*ProjectInfoTable[ConfidenceInterval]))</f>
        <v>0.95</v>
      </c>
      <c r="N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" s="5">
        <f t="array" ref="O36">MIN(IF((OutputTable[GroupByKey]=OutputTable[[#This Row],[GroupByKey]]),(OutputTable[GroupByKey]=OutputTable[[#This Row],[GroupByKey]])*OutputTable[RecordedValue]))</f>
        <v>0</v>
      </c>
      <c r="P36" s="5">
        <f t="array" ref="P36">MAX(IF((OutputTable[GroupByKey]=OutputTable[[#This Row],[GroupByKey]]),(OutputTable[GroupByKey]=OutputTable[[#This Row],[GroupByKey]])*OutputTable[RecordedValue]))</f>
        <v>0</v>
      </c>
    </row>
    <row r="37" spans="1:16" x14ac:dyDescent="0.25">
      <c r="A37" t="s">
        <v>67</v>
      </c>
      <c r="B37" t="s">
        <v>70</v>
      </c>
      <c r="C37">
        <v>2</v>
      </c>
      <c r="D37" t="s">
        <v>123</v>
      </c>
      <c r="E37" t="s">
        <v>116</v>
      </c>
      <c r="F37" t="s">
        <v>73</v>
      </c>
      <c r="G37">
        <v>0</v>
      </c>
      <c r="H37">
        <v>0</v>
      </c>
      <c r="I37" s="5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37" s="5">
        <f t="array" ref="J37">MAX(IF((ProjectInfoTable[ProjectName]=OutputTable[[#This Row],[ProjectName]]),(ProjectInfoTable[ProjectName]=OutputTable[[#This Row],[ProjectName]])*ProjectInfoTable[NumberOfReplications]))</f>
        <v>15</v>
      </c>
      <c r="K37" s="5">
        <f t="array" ref="K37">IFERROR(AVERAGE(IF((OutputTable[GroupByKey]=OutputTable[[#This Row],[GroupByKey]]),(OutputTable[GroupByKey]=OutputTable[[#This Row],[GroupByKey]])*OutputTable[RecordedValue])),0)</f>
        <v>0</v>
      </c>
      <c r="L37" s="5">
        <f t="array" ref="L37">IFERROR(_xlfn.STDEV.S(IF((OutputTable[GroupByKey]=OutputTable[[#This Row],[GroupByKey]]),(OutputTable[GroupByKey]=OutputTable[[#This Row],[GroupByKey]])*OutputTable[RecordedValue])),0)</f>
        <v>0</v>
      </c>
      <c r="M37" s="5">
        <f t="array" ref="M37">MAX(IF((ProjectInfoTable[ProjectName]=OutputTable[[#This Row],[ProjectName]]),(ProjectInfoTable[ProjectName]=OutputTable[[#This Row],[ProjectName]])*ProjectInfoTable[ConfidenceInterval]))</f>
        <v>0.95</v>
      </c>
      <c r="N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" s="5">
        <f t="array" ref="O37">MIN(IF((OutputTable[GroupByKey]=OutputTable[[#This Row],[GroupByKey]]),(OutputTable[GroupByKey]=OutputTable[[#This Row],[GroupByKey]])*OutputTable[RecordedValue]))</f>
        <v>0</v>
      </c>
      <c r="P37" s="5">
        <f t="array" ref="P37">MAX(IF((OutputTable[GroupByKey]=OutputTable[[#This Row],[GroupByKey]]),(OutputTable[GroupByKey]=OutputTable[[#This Row],[GroupByKey]])*OutputTable[RecordedValue]))</f>
        <v>0</v>
      </c>
    </row>
    <row r="38" spans="1:16" x14ac:dyDescent="0.25">
      <c r="A38" t="s">
        <v>67</v>
      </c>
      <c r="B38" t="s">
        <v>70</v>
      </c>
      <c r="C38">
        <v>2</v>
      </c>
      <c r="D38" t="s">
        <v>124</v>
      </c>
      <c r="E38" t="s">
        <v>114</v>
      </c>
      <c r="F38" t="s">
        <v>73</v>
      </c>
      <c r="G38">
        <v>0</v>
      </c>
      <c r="H38">
        <v>0</v>
      </c>
      <c r="I38" s="5" t="str">
        <f>OutputTable[[#This Row],[ProjectName]]&amp;OutputTable[[#This Row],[Name]]&amp;OutputTable[[#This Row],[Type]]&amp;OutputTable[[#This Row],[Source]]</f>
        <v>Unnamed Projectcutter.NumberSeizedTotal Number SeizedResource</v>
      </c>
      <c r="J38" s="5">
        <f t="array" ref="J38">MAX(IF((ProjectInfoTable[ProjectName]=OutputTable[[#This Row],[ProjectName]]),(ProjectInfoTable[ProjectName]=OutputTable[[#This Row],[ProjectName]])*ProjectInfoTable[NumberOfReplications]))</f>
        <v>15</v>
      </c>
      <c r="K38" s="5">
        <f t="array" ref="K38">IFERROR(AVERAGE(IF((OutputTable[GroupByKey]=OutputTable[[#This Row],[GroupByKey]]),(OutputTable[GroupByKey]=OutputTable[[#This Row],[GroupByKey]])*OutputTable[RecordedValue])),0)</f>
        <v>0</v>
      </c>
      <c r="L38" s="5">
        <f t="array" ref="L38">IFERROR(_xlfn.STDEV.S(IF((OutputTable[GroupByKey]=OutputTable[[#This Row],[GroupByKey]]),(OutputTable[GroupByKey]=OutputTable[[#This Row],[GroupByKey]])*OutputTable[RecordedValue])),0)</f>
        <v>0</v>
      </c>
      <c r="M38" s="5">
        <f t="array" ref="M38">MAX(IF((ProjectInfoTable[ProjectName]=OutputTable[[#This Row],[ProjectName]]),(ProjectInfoTable[ProjectName]=OutputTable[[#This Row],[ProjectName]])*ProjectInfoTable[ConfidenceInterval]))</f>
        <v>0.95</v>
      </c>
      <c r="N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" s="5">
        <f t="array" ref="O38">MIN(IF((OutputTable[GroupByKey]=OutputTable[[#This Row],[GroupByKey]]),(OutputTable[GroupByKey]=OutputTable[[#This Row],[GroupByKey]])*OutputTable[RecordedValue]))</f>
        <v>0</v>
      </c>
      <c r="P38" s="5">
        <f t="array" ref="P38">MAX(IF((OutputTable[GroupByKey]=OutputTable[[#This Row],[GroupByKey]]),(OutputTable[GroupByKey]=OutputTable[[#This Row],[GroupByKey]])*OutputTable[RecordedValue]))</f>
        <v>0</v>
      </c>
    </row>
    <row r="39" spans="1:16" x14ac:dyDescent="0.25">
      <c r="A39" t="s">
        <v>67</v>
      </c>
      <c r="B39" t="s">
        <v>70</v>
      </c>
      <c r="C39">
        <v>2</v>
      </c>
      <c r="D39" t="s">
        <v>125</v>
      </c>
      <c r="E39" t="s">
        <v>116</v>
      </c>
      <c r="F39" t="s">
        <v>73</v>
      </c>
      <c r="G39">
        <v>0</v>
      </c>
      <c r="H39">
        <v>0</v>
      </c>
      <c r="I39" s="5" t="str">
        <f>OutputTable[[#This Row],[ProjectName]]&amp;OutputTable[[#This Row],[Name]]&amp;OutputTable[[#This Row],[Type]]&amp;OutputTable[[#This Row],[Source]]</f>
        <v>Unnamed Projectcutter.ScheduledUtilizationScheduled UtilizationResource</v>
      </c>
      <c r="J39" s="5">
        <f t="array" ref="J39">MAX(IF((ProjectInfoTable[ProjectName]=OutputTable[[#This Row],[ProjectName]]),(ProjectInfoTable[ProjectName]=OutputTable[[#This Row],[ProjectName]])*ProjectInfoTable[NumberOfReplications]))</f>
        <v>15</v>
      </c>
      <c r="K39" s="5">
        <f t="array" ref="K39">IFERROR(AVERAGE(IF((OutputTable[GroupByKey]=OutputTable[[#This Row],[GroupByKey]]),(OutputTable[GroupByKey]=OutputTable[[#This Row],[GroupByKey]])*OutputTable[RecordedValue])),0)</f>
        <v>0</v>
      </c>
      <c r="L39" s="5">
        <f t="array" ref="L39">IFERROR(_xlfn.STDEV.S(IF((OutputTable[GroupByKey]=OutputTable[[#This Row],[GroupByKey]]),(OutputTable[GroupByKey]=OutputTable[[#This Row],[GroupByKey]])*OutputTable[RecordedValue])),0)</f>
        <v>0</v>
      </c>
      <c r="M39" s="5">
        <f t="array" ref="M39">MAX(IF((ProjectInfoTable[ProjectName]=OutputTable[[#This Row],[ProjectName]]),(ProjectInfoTable[ProjectName]=OutputTable[[#This Row],[ProjectName]])*ProjectInfoTable[ConfidenceInterval]))</f>
        <v>0.95</v>
      </c>
      <c r="N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" s="5">
        <f t="array" ref="O39">MIN(IF((OutputTable[GroupByKey]=OutputTable[[#This Row],[GroupByKey]]),(OutputTable[GroupByKey]=OutputTable[[#This Row],[GroupByKey]])*OutputTable[RecordedValue]))</f>
        <v>0</v>
      </c>
      <c r="P39" s="5">
        <f t="array" ref="P39">MAX(IF((OutputTable[GroupByKey]=OutputTable[[#This Row],[GroupByKey]]),(OutputTable[GroupByKey]=OutputTable[[#This Row],[GroupByKey]])*OutputTable[RecordedValue]))</f>
        <v>0</v>
      </c>
    </row>
    <row r="40" spans="1:16" x14ac:dyDescent="0.25">
      <c r="A40" t="s">
        <v>67</v>
      </c>
      <c r="B40" t="s">
        <v>70</v>
      </c>
      <c r="C40">
        <v>2</v>
      </c>
      <c r="D40" t="s">
        <v>126</v>
      </c>
      <c r="E40" t="s">
        <v>114</v>
      </c>
      <c r="F40" t="s">
        <v>73</v>
      </c>
      <c r="G40">
        <v>0</v>
      </c>
      <c r="H40">
        <v>0</v>
      </c>
      <c r="I40" s="5" t="str">
        <f>OutputTable[[#This Row],[ProjectName]]&amp;OutputTable[[#This Row],[Name]]&amp;OutputTable[[#This Row],[Type]]&amp;OutputTable[[#This Row],[Source]]</f>
        <v>Unnamed Projectfinalqcman.NumberSeizedTotal Number SeizedResource</v>
      </c>
      <c r="J40" s="5">
        <f t="array" ref="J40">MAX(IF((ProjectInfoTable[ProjectName]=OutputTable[[#This Row],[ProjectName]]),(ProjectInfoTable[ProjectName]=OutputTable[[#This Row],[ProjectName]])*ProjectInfoTable[NumberOfReplications]))</f>
        <v>15</v>
      </c>
      <c r="K40" s="5">
        <f t="array" ref="K40">IFERROR(AVERAGE(IF((OutputTable[GroupByKey]=OutputTable[[#This Row],[GroupByKey]]),(OutputTable[GroupByKey]=OutputTable[[#This Row],[GroupByKey]])*OutputTable[RecordedValue])),0)</f>
        <v>0</v>
      </c>
      <c r="L40" s="5">
        <f t="array" ref="L40">IFERROR(_xlfn.STDEV.S(IF((OutputTable[GroupByKey]=OutputTable[[#This Row],[GroupByKey]]),(OutputTable[GroupByKey]=OutputTable[[#This Row],[GroupByKey]])*OutputTable[RecordedValue])),0)</f>
        <v>0</v>
      </c>
      <c r="M40" s="5">
        <f t="array" ref="M40">MAX(IF((ProjectInfoTable[ProjectName]=OutputTable[[#This Row],[ProjectName]]),(ProjectInfoTable[ProjectName]=OutputTable[[#This Row],[ProjectName]])*ProjectInfoTable[ConfidenceInterval]))</f>
        <v>0.95</v>
      </c>
      <c r="N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" s="5">
        <f t="array" ref="O40">MIN(IF((OutputTable[GroupByKey]=OutputTable[[#This Row],[GroupByKey]]),(OutputTable[GroupByKey]=OutputTable[[#This Row],[GroupByKey]])*OutputTable[RecordedValue]))</f>
        <v>0</v>
      </c>
      <c r="P40" s="5">
        <f t="array" ref="P40">MAX(IF((OutputTable[GroupByKey]=OutputTable[[#This Row],[GroupByKey]]),(OutputTable[GroupByKey]=OutputTable[[#This Row],[GroupByKey]])*OutputTable[RecordedValue]))</f>
        <v>0</v>
      </c>
    </row>
    <row r="41" spans="1:16" x14ac:dyDescent="0.25">
      <c r="A41" t="s">
        <v>67</v>
      </c>
      <c r="B41" t="s">
        <v>70</v>
      </c>
      <c r="C41">
        <v>2</v>
      </c>
      <c r="D41" t="s">
        <v>127</v>
      </c>
      <c r="E41" t="s">
        <v>116</v>
      </c>
      <c r="F41" t="s">
        <v>73</v>
      </c>
      <c r="G41">
        <v>0</v>
      </c>
      <c r="H41">
        <v>0</v>
      </c>
      <c r="I41" s="5" t="str">
        <f>OutputTable[[#This Row],[ProjectName]]&amp;OutputTable[[#This Row],[Name]]&amp;OutputTable[[#This Row],[Type]]&amp;OutputTable[[#This Row],[Source]]</f>
        <v>Unnamed Projectfinalqcman.ScheduledUtilizationScheduled UtilizationResource</v>
      </c>
      <c r="J41" s="5">
        <f t="array" ref="J41">MAX(IF((ProjectInfoTable[ProjectName]=OutputTable[[#This Row],[ProjectName]]),(ProjectInfoTable[ProjectName]=OutputTable[[#This Row],[ProjectName]])*ProjectInfoTable[NumberOfReplications]))</f>
        <v>15</v>
      </c>
      <c r="K41" s="5">
        <f t="array" ref="K41">IFERROR(AVERAGE(IF((OutputTable[GroupByKey]=OutputTable[[#This Row],[GroupByKey]]),(OutputTable[GroupByKey]=OutputTable[[#This Row],[GroupByKey]])*OutputTable[RecordedValue])),0)</f>
        <v>0</v>
      </c>
      <c r="L41" s="5">
        <f t="array" ref="L41">IFERROR(_xlfn.STDEV.S(IF((OutputTable[GroupByKey]=OutputTable[[#This Row],[GroupByKey]]),(OutputTable[GroupByKey]=OutputTable[[#This Row],[GroupByKey]])*OutputTable[RecordedValue])),0)</f>
        <v>0</v>
      </c>
      <c r="M41" s="5">
        <f t="array" ref="M41">MAX(IF((ProjectInfoTable[ProjectName]=OutputTable[[#This Row],[ProjectName]]),(ProjectInfoTable[ProjectName]=OutputTable[[#This Row],[ProjectName]])*ProjectInfoTable[ConfidenceInterval]))</f>
        <v>0.95</v>
      </c>
      <c r="N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1" s="5">
        <f t="array" ref="O41">MIN(IF((OutputTable[GroupByKey]=OutputTable[[#This Row],[GroupByKey]]),(OutputTable[GroupByKey]=OutputTable[[#This Row],[GroupByKey]])*OutputTable[RecordedValue]))</f>
        <v>0</v>
      </c>
      <c r="P41" s="5">
        <f t="array" ref="P41">MAX(IF((OutputTable[GroupByKey]=OutputTable[[#This Row],[GroupByKey]]),(OutputTable[GroupByKey]=OutputTable[[#This Row],[GroupByKey]])*OutputTable[RecordedValue]))</f>
        <v>0</v>
      </c>
    </row>
    <row r="42" spans="1:16" x14ac:dyDescent="0.25">
      <c r="A42" t="s">
        <v>67</v>
      </c>
      <c r="B42" t="s">
        <v>70</v>
      </c>
      <c r="C42">
        <v>2</v>
      </c>
      <c r="D42" t="s">
        <v>128</v>
      </c>
      <c r="E42" t="s">
        <v>114</v>
      </c>
      <c r="F42" t="s">
        <v>73</v>
      </c>
      <c r="G42">
        <v>0</v>
      </c>
      <c r="H42">
        <v>0</v>
      </c>
      <c r="I42" s="5" t="str">
        <f>OutputTable[[#This Row],[ProjectName]]&amp;OutputTable[[#This Row],[Name]]&amp;OutputTable[[#This Row],[Type]]&amp;OutputTable[[#This Row],[Source]]</f>
        <v>Unnamed Projectpaintingmachine.NumberSeizedTotal Number SeizedResource</v>
      </c>
      <c r="J42" s="5">
        <f t="array" ref="J42">MAX(IF((ProjectInfoTable[ProjectName]=OutputTable[[#This Row],[ProjectName]]),(ProjectInfoTable[ProjectName]=OutputTable[[#This Row],[ProjectName]])*ProjectInfoTable[NumberOfReplications]))</f>
        <v>15</v>
      </c>
      <c r="K42" s="5">
        <f t="array" ref="K42">IFERROR(AVERAGE(IF((OutputTable[GroupByKey]=OutputTable[[#This Row],[GroupByKey]]),(OutputTable[GroupByKey]=OutputTable[[#This Row],[GroupByKey]])*OutputTable[RecordedValue])),0)</f>
        <v>0</v>
      </c>
      <c r="L42" s="5">
        <f t="array" ref="L42">IFERROR(_xlfn.STDEV.S(IF((OutputTable[GroupByKey]=OutputTable[[#This Row],[GroupByKey]]),(OutputTable[GroupByKey]=OutputTable[[#This Row],[GroupByKey]])*OutputTable[RecordedValue])),0)</f>
        <v>0</v>
      </c>
      <c r="M42" s="5">
        <f t="array" ref="M42">MAX(IF((ProjectInfoTable[ProjectName]=OutputTable[[#This Row],[ProjectName]]),(ProjectInfoTable[ProjectName]=OutputTable[[#This Row],[ProjectName]])*ProjectInfoTable[ConfidenceInterval]))</f>
        <v>0.95</v>
      </c>
      <c r="N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2" s="5">
        <f t="array" ref="O42">MIN(IF((OutputTable[GroupByKey]=OutputTable[[#This Row],[GroupByKey]]),(OutputTable[GroupByKey]=OutputTable[[#This Row],[GroupByKey]])*OutputTable[RecordedValue]))</f>
        <v>0</v>
      </c>
      <c r="P42" s="5">
        <f t="array" ref="P42">MAX(IF((OutputTable[GroupByKey]=OutputTable[[#This Row],[GroupByKey]]),(OutputTable[GroupByKey]=OutputTable[[#This Row],[GroupByKey]])*OutputTable[RecordedValue]))</f>
        <v>0</v>
      </c>
    </row>
    <row r="43" spans="1:16" x14ac:dyDescent="0.25">
      <c r="A43" t="s">
        <v>67</v>
      </c>
      <c r="B43" t="s">
        <v>70</v>
      </c>
      <c r="C43">
        <v>2</v>
      </c>
      <c r="D43" t="s">
        <v>129</v>
      </c>
      <c r="E43" t="s">
        <v>116</v>
      </c>
      <c r="F43" t="s">
        <v>73</v>
      </c>
      <c r="G43">
        <v>0</v>
      </c>
      <c r="H43">
        <v>0</v>
      </c>
      <c r="I43" s="5" t="str">
        <f>OutputTable[[#This Row],[ProjectName]]&amp;OutputTable[[#This Row],[Name]]&amp;OutputTable[[#This Row],[Type]]&amp;OutputTable[[#This Row],[Source]]</f>
        <v>Unnamed Projectpaintingmachine.ScheduledUtilizationScheduled UtilizationResource</v>
      </c>
      <c r="J43" s="5">
        <f t="array" ref="J43">MAX(IF((ProjectInfoTable[ProjectName]=OutputTable[[#This Row],[ProjectName]]),(ProjectInfoTable[ProjectName]=OutputTable[[#This Row],[ProjectName]])*ProjectInfoTable[NumberOfReplications]))</f>
        <v>15</v>
      </c>
      <c r="K43" s="5">
        <f t="array" ref="K43">IFERROR(AVERAGE(IF((OutputTable[GroupByKey]=OutputTable[[#This Row],[GroupByKey]]),(OutputTable[GroupByKey]=OutputTable[[#This Row],[GroupByKey]])*OutputTable[RecordedValue])),0)</f>
        <v>0</v>
      </c>
      <c r="L43" s="5">
        <f t="array" ref="L43">IFERROR(_xlfn.STDEV.S(IF((OutputTable[GroupByKey]=OutputTable[[#This Row],[GroupByKey]]),(OutputTable[GroupByKey]=OutputTable[[#This Row],[GroupByKey]])*OutputTable[RecordedValue])),0)</f>
        <v>0</v>
      </c>
      <c r="M43" s="5">
        <f t="array" ref="M43">MAX(IF((ProjectInfoTable[ProjectName]=OutputTable[[#This Row],[ProjectName]]),(ProjectInfoTable[ProjectName]=OutputTable[[#This Row],[ProjectName]])*ProjectInfoTable[ConfidenceInterval]))</f>
        <v>0.95</v>
      </c>
      <c r="N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" s="5">
        <f t="array" ref="O43">MIN(IF((OutputTable[GroupByKey]=OutputTable[[#This Row],[GroupByKey]]),(OutputTable[GroupByKey]=OutputTable[[#This Row],[GroupByKey]])*OutputTable[RecordedValue]))</f>
        <v>0</v>
      </c>
      <c r="P43" s="5">
        <f t="array" ref="P43">MAX(IF((OutputTable[GroupByKey]=OutputTable[[#This Row],[GroupByKey]]),(OutputTable[GroupByKey]=OutputTable[[#This Row],[GroupByKey]])*OutputTable[RecordedValue]))</f>
        <v>0</v>
      </c>
    </row>
    <row r="44" spans="1:16" x14ac:dyDescent="0.25">
      <c r="A44" t="s">
        <v>67</v>
      </c>
      <c r="B44" t="s">
        <v>70</v>
      </c>
      <c r="C44">
        <v>2</v>
      </c>
      <c r="D44" t="s">
        <v>130</v>
      </c>
      <c r="E44" t="s">
        <v>114</v>
      </c>
      <c r="F44" t="s">
        <v>73</v>
      </c>
      <c r="G44">
        <v>0</v>
      </c>
      <c r="H44">
        <v>0</v>
      </c>
      <c r="I44" s="5" t="str">
        <f>OutputTable[[#This Row],[ProjectName]]&amp;OutputTable[[#This Row],[Name]]&amp;OutputTable[[#This Row],[Type]]&amp;OutputTable[[#This Row],[Source]]</f>
        <v>Unnamed Projectpaintingoperator.NumberSeizedTotal Number SeizedResource</v>
      </c>
      <c r="J44" s="5">
        <f t="array" ref="J44">MAX(IF((ProjectInfoTable[ProjectName]=OutputTable[[#This Row],[ProjectName]]),(ProjectInfoTable[ProjectName]=OutputTable[[#This Row],[ProjectName]])*ProjectInfoTable[NumberOfReplications]))</f>
        <v>15</v>
      </c>
      <c r="K44" s="5">
        <f t="array" ref="K44">IFERROR(AVERAGE(IF((OutputTable[GroupByKey]=OutputTable[[#This Row],[GroupByKey]]),(OutputTable[GroupByKey]=OutputTable[[#This Row],[GroupByKey]])*OutputTable[RecordedValue])),0)</f>
        <v>0</v>
      </c>
      <c r="L44" s="5">
        <f t="array" ref="L44">IFERROR(_xlfn.STDEV.S(IF((OutputTable[GroupByKey]=OutputTable[[#This Row],[GroupByKey]]),(OutputTable[GroupByKey]=OutputTable[[#This Row],[GroupByKey]])*OutputTable[RecordedValue])),0)</f>
        <v>0</v>
      </c>
      <c r="M44" s="5">
        <f t="array" ref="M44">MAX(IF((ProjectInfoTable[ProjectName]=OutputTable[[#This Row],[ProjectName]]),(ProjectInfoTable[ProjectName]=OutputTable[[#This Row],[ProjectName]])*ProjectInfoTable[ConfidenceInterval]))</f>
        <v>0.95</v>
      </c>
      <c r="N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4" s="5">
        <f t="array" ref="O44">MIN(IF((OutputTable[GroupByKey]=OutputTable[[#This Row],[GroupByKey]]),(OutputTable[GroupByKey]=OutputTable[[#This Row],[GroupByKey]])*OutputTable[RecordedValue]))</f>
        <v>0</v>
      </c>
      <c r="P44" s="5">
        <f t="array" ref="P44">MAX(IF((OutputTable[GroupByKey]=OutputTable[[#This Row],[GroupByKey]]),(OutputTable[GroupByKey]=OutputTable[[#This Row],[GroupByKey]])*OutputTable[RecordedValue]))</f>
        <v>0</v>
      </c>
    </row>
    <row r="45" spans="1:16" x14ac:dyDescent="0.25">
      <c r="A45" t="s">
        <v>67</v>
      </c>
      <c r="B45" t="s">
        <v>70</v>
      </c>
      <c r="C45">
        <v>2</v>
      </c>
      <c r="D45" t="s">
        <v>131</v>
      </c>
      <c r="E45" t="s">
        <v>116</v>
      </c>
      <c r="F45" t="s">
        <v>73</v>
      </c>
      <c r="G45">
        <v>0</v>
      </c>
      <c r="H45">
        <v>0</v>
      </c>
      <c r="I45" s="5" t="str">
        <f>OutputTable[[#This Row],[ProjectName]]&amp;OutputTable[[#This Row],[Name]]&amp;OutputTable[[#This Row],[Type]]&amp;OutputTable[[#This Row],[Source]]</f>
        <v>Unnamed Projectpaintingoperator.ScheduledUtilizationScheduled UtilizationResource</v>
      </c>
      <c r="J45" s="5">
        <f t="array" ref="J45">MAX(IF((ProjectInfoTable[ProjectName]=OutputTable[[#This Row],[ProjectName]]),(ProjectInfoTable[ProjectName]=OutputTable[[#This Row],[ProjectName]])*ProjectInfoTable[NumberOfReplications]))</f>
        <v>15</v>
      </c>
      <c r="K45" s="5">
        <f t="array" ref="K45">IFERROR(AVERAGE(IF((OutputTable[GroupByKey]=OutputTable[[#This Row],[GroupByKey]]),(OutputTable[GroupByKey]=OutputTable[[#This Row],[GroupByKey]])*OutputTable[RecordedValue])),0)</f>
        <v>0</v>
      </c>
      <c r="L45" s="5">
        <f t="array" ref="L45">IFERROR(_xlfn.STDEV.S(IF((OutputTable[GroupByKey]=OutputTable[[#This Row],[GroupByKey]]),(OutputTable[GroupByKey]=OutputTable[[#This Row],[GroupByKey]])*OutputTable[RecordedValue])),0)</f>
        <v>0</v>
      </c>
      <c r="M45" s="5">
        <f t="array" ref="M45">MAX(IF((ProjectInfoTable[ProjectName]=OutputTable[[#This Row],[ProjectName]]),(ProjectInfoTable[ProjectName]=OutputTable[[#This Row],[ProjectName]])*ProjectInfoTable[ConfidenceInterval]))</f>
        <v>0.95</v>
      </c>
      <c r="N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5" s="5">
        <f t="array" ref="O45">MIN(IF((OutputTable[GroupByKey]=OutputTable[[#This Row],[GroupByKey]]),(OutputTable[GroupByKey]=OutputTable[[#This Row],[GroupByKey]])*OutputTable[RecordedValue]))</f>
        <v>0</v>
      </c>
      <c r="P45" s="5">
        <f t="array" ref="P45">MAX(IF((OutputTable[GroupByKey]=OutputTable[[#This Row],[GroupByKey]]),(OutputTable[GroupByKey]=OutputTable[[#This Row],[GroupByKey]])*OutputTable[RecordedValue]))</f>
        <v>0</v>
      </c>
    </row>
    <row r="46" spans="1:16" x14ac:dyDescent="0.25">
      <c r="A46" t="s">
        <v>67</v>
      </c>
      <c r="B46" t="s">
        <v>70</v>
      </c>
      <c r="C46">
        <v>2</v>
      </c>
      <c r="D46" t="s">
        <v>132</v>
      </c>
      <c r="E46" t="s">
        <v>114</v>
      </c>
      <c r="F46" t="s">
        <v>73</v>
      </c>
      <c r="G46">
        <v>0</v>
      </c>
      <c r="H46">
        <v>0</v>
      </c>
      <c r="I46" s="5" t="str">
        <f>OutputTable[[#This Row],[ProjectName]]&amp;OutputTable[[#This Row],[Name]]&amp;OutputTable[[#This Row],[Type]]&amp;OutputTable[[#This Row],[Source]]</f>
        <v>Unnamed Projectsandblastmachine.NumberSeizedTotal Number SeizedResource</v>
      </c>
      <c r="J46" s="5">
        <f t="array" ref="J46">MAX(IF((ProjectInfoTable[ProjectName]=OutputTable[[#This Row],[ProjectName]]),(ProjectInfoTable[ProjectName]=OutputTable[[#This Row],[ProjectName]])*ProjectInfoTable[NumberOfReplications]))</f>
        <v>15</v>
      </c>
      <c r="K46" s="5">
        <f t="array" ref="K46">IFERROR(AVERAGE(IF((OutputTable[GroupByKey]=OutputTable[[#This Row],[GroupByKey]]),(OutputTable[GroupByKey]=OutputTable[[#This Row],[GroupByKey]])*OutputTable[RecordedValue])),0)</f>
        <v>0</v>
      </c>
      <c r="L46" s="5">
        <f t="array" ref="L46">IFERROR(_xlfn.STDEV.S(IF((OutputTable[GroupByKey]=OutputTable[[#This Row],[GroupByKey]]),(OutputTable[GroupByKey]=OutputTable[[#This Row],[GroupByKey]])*OutputTable[RecordedValue])),0)</f>
        <v>0</v>
      </c>
      <c r="M46" s="5">
        <f t="array" ref="M46">MAX(IF((ProjectInfoTable[ProjectName]=OutputTable[[#This Row],[ProjectName]]),(ProjectInfoTable[ProjectName]=OutputTable[[#This Row],[ProjectName]])*ProjectInfoTable[ConfidenceInterval]))</f>
        <v>0.95</v>
      </c>
      <c r="N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6" s="5">
        <f t="array" ref="O46">MIN(IF((OutputTable[GroupByKey]=OutputTable[[#This Row],[GroupByKey]]),(OutputTable[GroupByKey]=OutputTable[[#This Row],[GroupByKey]])*OutputTable[RecordedValue]))</f>
        <v>0</v>
      </c>
      <c r="P46" s="5">
        <f t="array" ref="P46">MAX(IF((OutputTable[GroupByKey]=OutputTable[[#This Row],[GroupByKey]]),(OutputTable[GroupByKey]=OutputTable[[#This Row],[GroupByKey]])*OutputTable[RecordedValue]))</f>
        <v>0</v>
      </c>
    </row>
    <row r="47" spans="1:16" x14ac:dyDescent="0.25">
      <c r="A47" t="s">
        <v>67</v>
      </c>
      <c r="B47" t="s">
        <v>70</v>
      </c>
      <c r="C47">
        <v>2</v>
      </c>
      <c r="D47" t="s">
        <v>133</v>
      </c>
      <c r="E47" t="s">
        <v>116</v>
      </c>
      <c r="F47" t="s">
        <v>73</v>
      </c>
      <c r="G47">
        <v>0</v>
      </c>
      <c r="H47">
        <v>0</v>
      </c>
      <c r="I47" s="5" t="str">
        <f>OutputTable[[#This Row],[ProjectName]]&amp;OutputTable[[#This Row],[Name]]&amp;OutputTable[[#This Row],[Type]]&amp;OutputTable[[#This Row],[Source]]</f>
        <v>Unnamed Projectsandblastmachine.ScheduledUtilizationScheduled UtilizationResource</v>
      </c>
      <c r="J47" s="5">
        <f t="array" ref="J47">MAX(IF((ProjectInfoTable[ProjectName]=OutputTable[[#This Row],[ProjectName]]),(ProjectInfoTable[ProjectName]=OutputTable[[#This Row],[ProjectName]])*ProjectInfoTable[NumberOfReplications]))</f>
        <v>15</v>
      </c>
      <c r="K47" s="5">
        <f t="array" ref="K47">IFERROR(AVERAGE(IF((OutputTable[GroupByKey]=OutputTable[[#This Row],[GroupByKey]]),(OutputTable[GroupByKey]=OutputTable[[#This Row],[GroupByKey]])*OutputTable[RecordedValue])),0)</f>
        <v>0</v>
      </c>
      <c r="L47" s="5">
        <f t="array" ref="L47">IFERROR(_xlfn.STDEV.S(IF((OutputTable[GroupByKey]=OutputTable[[#This Row],[GroupByKey]]),(OutputTable[GroupByKey]=OutputTable[[#This Row],[GroupByKey]])*OutputTable[RecordedValue])),0)</f>
        <v>0</v>
      </c>
      <c r="M47" s="5">
        <f t="array" ref="M47">MAX(IF((ProjectInfoTable[ProjectName]=OutputTable[[#This Row],[ProjectName]]),(ProjectInfoTable[ProjectName]=OutputTable[[#This Row],[ProjectName]])*ProjectInfoTable[ConfidenceInterval]))</f>
        <v>0.95</v>
      </c>
      <c r="N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7" s="5">
        <f t="array" ref="O47">MIN(IF((OutputTable[GroupByKey]=OutputTable[[#This Row],[GroupByKey]]),(OutputTable[GroupByKey]=OutputTable[[#This Row],[GroupByKey]])*OutputTable[RecordedValue]))</f>
        <v>0</v>
      </c>
      <c r="P47" s="5">
        <f t="array" ref="P47">MAX(IF((OutputTable[GroupByKey]=OutputTable[[#This Row],[GroupByKey]]),(OutputTable[GroupByKey]=OutputTable[[#This Row],[GroupByKey]])*OutputTable[RecordedValue]))</f>
        <v>0</v>
      </c>
    </row>
    <row r="48" spans="1:16" x14ac:dyDescent="0.25">
      <c r="A48" t="s">
        <v>67</v>
      </c>
      <c r="B48" t="s">
        <v>70</v>
      </c>
      <c r="C48">
        <v>2</v>
      </c>
      <c r="D48" t="s">
        <v>134</v>
      </c>
      <c r="E48" t="s">
        <v>114</v>
      </c>
      <c r="F48" t="s">
        <v>73</v>
      </c>
      <c r="G48">
        <v>0</v>
      </c>
      <c r="H48">
        <v>0</v>
      </c>
      <c r="I48" s="5" t="str">
        <f>OutputTable[[#This Row],[ProjectName]]&amp;OutputTable[[#This Row],[Name]]&amp;OutputTable[[#This Row],[Type]]&amp;OutputTable[[#This Row],[Source]]</f>
        <v>Unnamed Projectsandblastoperator.NumberSeizedTotal Number SeizedResource</v>
      </c>
      <c r="J48" s="5">
        <f t="array" ref="J48">MAX(IF((ProjectInfoTable[ProjectName]=OutputTable[[#This Row],[ProjectName]]),(ProjectInfoTable[ProjectName]=OutputTable[[#This Row],[ProjectName]])*ProjectInfoTable[NumberOfReplications]))</f>
        <v>15</v>
      </c>
      <c r="K48" s="5">
        <f t="array" ref="K48">IFERROR(AVERAGE(IF((OutputTable[GroupByKey]=OutputTable[[#This Row],[GroupByKey]]),(OutputTable[GroupByKey]=OutputTable[[#This Row],[GroupByKey]])*OutputTable[RecordedValue])),0)</f>
        <v>0</v>
      </c>
      <c r="L48" s="5">
        <f t="array" ref="L48">IFERROR(_xlfn.STDEV.S(IF((OutputTable[GroupByKey]=OutputTable[[#This Row],[GroupByKey]]),(OutputTable[GroupByKey]=OutputTable[[#This Row],[GroupByKey]])*OutputTable[RecordedValue])),0)</f>
        <v>0</v>
      </c>
      <c r="M48" s="5">
        <f t="array" ref="M48">MAX(IF((ProjectInfoTable[ProjectName]=OutputTable[[#This Row],[ProjectName]]),(ProjectInfoTable[ProjectName]=OutputTable[[#This Row],[ProjectName]])*ProjectInfoTable[ConfidenceInterval]))</f>
        <v>0.95</v>
      </c>
      <c r="N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8" s="5">
        <f t="array" ref="O48">MIN(IF((OutputTable[GroupByKey]=OutputTable[[#This Row],[GroupByKey]]),(OutputTable[GroupByKey]=OutputTable[[#This Row],[GroupByKey]])*OutputTable[RecordedValue]))</f>
        <v>0</v>
      </c>
      <c r="P48" s="5">
        <f t="array" ref="P48">MAX(IF((OutputTable[GroupByKey]=OutputTable[[#This Row],[GroupByKey]]),(OutputTable[GroupByKey]=OutputTable[[#This Row],[GroupByKey]])*OutputTable[RecordedValue]))</f>
        <v>0</v>
      </c>
    </row>
    <row r="49" spans="1:16" x14ac:dyDescent="0.25">
      <c r="A49" t="s">
        <v>67</v>
      </c>
      <c r="B49" t="s">
        <v>70</v>
      </c>
      <c r="C49">
        <v>2</v>
      </c>
      <c r="D49" t="s">
        <v>135</v>
      </c>
      <c r="E49" t="s">
        <v>116</v>
      </c>
      <c r="F49" t="s">
        <v>73</v>
      </c>
      <c r="G49">
        <v>0</v>
      </c>
      <c r="H49">
        <v>0</v>
      </c>
      <c r="I49" s="5" t="str">
        <f>OutputTable[[#This Row],[ProjectName]]&amp;OutputTable[[#This Row],[Name]]&amp;OutputTable[[#This Row],[Type]]&amp;OutputTable[[#This Row],[Source]]</f>
        <v>Unnamed Projectsandblastoperator.ScheduledUtilizationScheduled UtilizationResource</v>
      </c>
      <c r="J49" s="5">
        <f t="array" ref="J49">MAX(IF((ProjectInfoTable[ProjectName]=OutputTable[[#This Row],[ProjectName]]),(ProjectInfoTable[ProjectName]=OutputTable[[#This Row],[ProjectName]])*ProjectInfoTable[NumberOfReplications]))</f>
        <v>15</v>
      </c>
      <c r="K49" s="5">
        <f t="array" ref="K49">IFERROR(AVERAGE(IF((OutputTable[GroupByKey]=OutputTable[[#This Row],[GroupByKey]]),(OutputTable[GroupByKey]=OutputTable[[#This Row],[GroupByKey]])*OutputTable[RecordedValue])),0)</f>
        <v>0</v>
      </c>
      <c r="L49" s="5">
        <f t="array" ref="L49">IFERROR(_xlfn.STDEV.S(IF((OutputTable[GroupByKey]=OutputTable[[#This Row],[GroupByKey]]),(OutputTable[GroupByKey]=OutputTable[[#This Row],[GroupByKey]])*OutputTable[RecordedValue])),0)</f>
        <v>0</v>
      </c>
      <c r="M49" s="5">
        <f t="array" ref="M49">MAX(IF((ProjectInfoTable[ProjectName]=OutputTable[[#This Row],[ProjectName]]),(ProjectInfoTable[ProjectName]=OutputTable[[#This Row],[ProjectName]])*ProjectInfoTable[ConfidenceInterval]))</f>
        <v>0.95</v>
      </c>
      <c r="N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" s="5">
        <f t="array" ref="O49">MIN(IF((OutputTable[GroupByKey]=OutputTable[[#This Row],[GroupByKey]]),(OutputTable[GroupByKey]=OutputTable[[#This Row],[GroupByKey]])*OutputTable[RecordedValue]))</f>
        <v>0</v>
      </c>
      <c r="P49" s="5">
        <f t="array" ref="P49">MAX(IF((OutputTable[GroupByKey]=OutputTable[[#This Row],[GroupByKey]]),(OutputTable[GroupByKey]=OutputTable[[#This Row],[GroupByKey]])*OutputTable[RecordedValue]))</f>
        <v>0</v>
      </c>
    </row>
    <row r="50" spans="1:16" x14ac:dyDescent="0.25">
      <c r="A50" t="s">
        <v>67</v>
      </c>
      <c r="B50" t="s">
        <v>70</v>
      </c>
      <c r="C50">
        <v>2</v>
      </c>
      <c r="D50" t="s">
        <v>136</v>
      </c>
      <c r="E50" t="s">
        <v>120</v>
      </c>
      <c r="F50" t="s">
        <v>79</v>
      </c>
      <c r="G50">
        <v>0</v>
      </c>
      <c r="H50">
        <v>0</v>
      </c>
      <c r="I50" s="5" t="str">
        <f>OutputTable[[#This Row],[ProjectName]]&amp;OutputTable[[#This Row],[Name]]&amp;OutputTable[[#This Row],[Type]]&amp;OutputTable[[#This Row],[Source]]</f>
        <v>Unnamed Projectsteelsheet.NumberInNumber InEntity</v>
      </c>
      <c r="J50" s="5">
        <f t="array" ref="J50">MAX(IF((ProjectInfoTable[ProjectName]=OutputTable[[#This Row],[ProjectName]]),(ProjectInfoTable[ProjectName]=OutputTable[[#This Row],[ProjectName]])*ProjectInfoTable[NumberOfReplications]))</f>
        <v>15</v>
      </c>
      <c r="K50" s="5">
        <f t="array" ref="K50">IFERROR(AVERAGE(IF((OutputTable[GroupByKey]=OutputTable[[#This Row],[GroupByKey]]),(OutputTable[GroupByKey]=OutputTable[[#This Row],[GroupByKey]])*OutputTable[RecordedValue])),0)</f>
        <v>0</v>
      </c>
      <c r="L50" s="5">
        <f t="array" ref="L50">IFERROR(_xlfn.STDEV.S(IF((OutputTable[GroupByKey]=OutputTable[[#This Row],[GroupByKey]]),(OutputTable[GroupByKey]=OutputTable[[#This Row],[GroupByKey]])*OutputTable[RecordedValue])),0)</f>
        <v>0</v>
      </c>
      <c r="M50" s="5">
        <f t="array" ref="M50">MAX(IF((ProjectInfoTable[ProjectName]=OutputTable[[#This Row],[ProjectName]]),(ProjectInfoTable[ProjectName]=OutputTable[[#This Row],[ProjectName]])*ProjectInfoTable[ConfidenceInterval]))</f>
        <v>0.95</v>
      </c>
      <c r="N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0" s="5">
        <f t="array" ref="O50">MIN(IF((OutputTable[GroupByKey]=OutputTable[[#This Row],[GroupByKey]]),(OutputTable[GroupByKey]=OutputTable[[#This Row],[GroupByKey]])*OutputTable[RecordedValue]))</f>
        <v>0</v>
      </c>
      <c r="P50" s="5">
        <f t="array" ref="P50">MAX(IF((OutputTable[GroupByKey]=OutputTable[[#This Row],[GroupByKey]]),(OutputTable[GroupByKey]=OutputTable[[#This Row],[GroupByKey]])*OutputTable[RecordedValue]))</f>
        <v>0</v>
      </c>
    </row>
    <row r="51" spans="1:16" x14ac:dyDescent="0.25">
      <c r="A51" t="s">
        <v>67</v>
      </c>
      <c r="B51" t="s">
        <v>70</v>
      </c>
      <c r="C51">
        <v>2</v>
      </c>
      <c r="D51" t="s">
        <v>137</v>
      </c>
      <c r="E51" t="s">
        <v>111</v>
      </c>
      <c r="F51" t="s">
        <v>79</v>
      </c>
      <c r="G51">
        <v>0</v>
      </c>
      <c r="H51">
        <v>0</v>
      </c>
      <c r="I51" s="5" t="str">
        <f>OutputTable[[#This Row],[ProjectName]]&amp;OutputTable[[#This Row],[Name]]&amp;OutputTable[[#This Row],[Type]]&amp;OutputTable[[#This Row],[Source]]</f>
        <v>Unnamed Projectsteelsheet.NumberOutNumber OutEntity</v>
      </c>
      <c r="J51" s="5">
        <f t="array" ref="J51">MAX(IF((ProjectInfoTable[ProjectName]=OutputTable[[#This Row],[ProjectName]]),(ProjectInfoTable[ProjectName]=OutputTable[[#This Row],[ProjectName]])*ProjectInfoTable[NumberOfReplications]))</f>
        <v>15</v>
      </c>
      <c r="K51" s="5">
        <f t="array" ref="K51">IFERROR(AVERAGE(IF((OutputTable[GroupByKey]=OutputTable[[#This Row],[GroupByKey]]),(OutputTable[GroupByKey]=OutputTable[[#This Row],[GroupByKey]])*OutputTable[RecordedValue])),0)</f>
        <v>0</v>
      </c>
      <c r="L51" s="5">
        <f t="array" ref="L51">IFERROR(_xlfn.STDEV.S(IF((OutputTable[GroupByKey]=OutputTable[[#This Row],[GroupByKey]]),(OutputTable[GroupByKey]=OutputTable[[#This Row],[GroupByKey]])*OutputTable[RecordedValue])),0)</f>
        <v>0</v>
      </c>
      <c r="M51" s="5">
        <f t="array" ref="M51">MAX(IF((ProjectInfoTable[ProjectName]=OutputTable[[#This Row],[ProjectName]]),(ProjectInfoTable[ProjectName]=OutputTable[[#This Row],[ProjectName]])*ProjectInfoTable[ConfidenceInterval]))</f>
        <v>0.95</v>
      </c>
      <c r="N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1" s="5">
        <f t="array" ref="O51">MIN(IF((OutputTable[GroupByKey]=OutputTable[[#This Row],[GroupByKey]]),(OutputTable[GroupByKey]=OutputTable[[#This Row],[GroupByKey]])*OutputTable[RecordedValue]))</f>
        <v>0</v>
      </c>
      <c r="P51" s="5">
        <f t="array" ref="P51">MAX(IF((OutputTable[GroupByKey]=OutputTable[[#This Row],[GroupByKey]]),(OutputTable[GroupByKey]=OutputTable[[#This Row],[GroupByKey]])*OutputTable[RecordedValue]))</f>
        <v>0</v>
      </c>
    </row>
    <row r="52" spans="1:16" x14ac:dyDescent="0.25">
      <c r="A52" t="s">
        <v>67</v>
      </c>
      <c r="B52" t="s">
        <v>70</v>
      </c>
      <c r="C52">
        <v>2</v>
      </c>
      <c r="D52" t="s">
        <v>138</v>
      </c>
      <c r="E52" t="s">
        <v>114</v>
      </c>
      <c r="F52" t="s">
        <v>73</v>
      </c>
      <c r="G52">
        <v>0</v>
      </c>
      <c r="H52">
        <v>0</v>
      </c>
      <c r="I52" s="5" t="str">
        <f>OutputTable[[#This Row],[ProjectName]]&amp;OutputTable[[#This Row],[Name]]&amp;OutputTable[[#This Row],[Type]]&amp;OutputTable[[#This Row],[Source]]</f>
        <v>Unnamed Projectwelder.NumberSeizedTotal Number SeizedResource</v>
      </c>
      <c r="J52" s="5">
        <f t="array" ref="J52">MAX(IF((ProjectInfoTable[ProjectName]=OutputTable[[#This Row],[ProjectName]]),(ProjectInfoTable[ProjectName]=OutputTable[[#This Row],[ProjectName]])*ProjectInfoTable[NumberOfReplications]))</f>
        <v>15</v>
      </c>
      <c r="K52" s="5">
        <f t="array" ref="K52">IFERROR(AVERAGE(IF((OutputTable[GroupByKey]=OutputTable[[#This Row],[GroupByKey]]),(OutputTable[GroupByKey]=OutputTable[[#This Row],[GroupByKey]])*OutputTable[RecordedValue])),0)</f>
        <v>0</v>
      </c>
      <c r="L52" s="5">
        <f t="array" ref="L52">IFERROR(_xlfn.STDEV.S(IF((OutputTable[GroupByKey]=OutputTable[[#This Row],[GroupByKey]]),(OutputTable[GroupByKey]=OutputTable[[#This Row],[GroupByKey]])*OutputTable[RecordedValue])),0)</f>
        <v>0</v>
      </c>
      <c r="M52" s="5">
        <f t="array" ref="M52">MAX(IF((ProjectInfoTable[ProjectName]=OutputTable[[#This Row],[ProjectName]]),(ProjectInfoTable[ProjectName]=OutputTable[[#This Row],[ProjectName]])*ProjectInfoTable[ConfidenceInterval]))</f>
        <v>0.95</v>
      </c>
      <c r="N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2" s="5">
        <f t="array" ref="O52">MIN(IF((OutputTable[GroupByKey]=OutputTable[[#This Row],[GroupByKey]]),(OutputTable[GroupByKey]=OutputTable[[#This Row],[GroupByKey]])*OutputTable[RecordedValue]))</f>
        <v>0</v>
      </c>
      <c r="P52" s="5">
        <f t="array" ref="P52">MAX(IF((OutputTable[GroupByKey]=OutputTable[[#This Row],[GroupByKey]]),(OutputTable[GroupByKey]=OutputTable[[#This Row],[GroupByKey]])*OutputTable[RecordedValue]))</f>
        <v>0</v>
      </c>
    </row>
    <row r="53" spans="1:16" x14ac:dyDescent="0.25">
      <c r="A53" t="s">
        <v>67</v>
      </c>
      <c r="B53" t="s">
        <v>70</v>
      </c>
      <c r="C53">
        <v>2</v>
      </c>
      <c r="D53" t="s">
        <v>139</v>
      </c>
      <c r="E53" t="s">
        <v>116</v>
      </c>
      <c r="F53" t="s">
        <v>73</v>
      </c>
      <c r="G53">
        <v>0</v>
      </c>
      <c r="H53">
        <v>0</v>
      </c>
      <c r="I53" s="5" t="str">
        <f>OutputTable[[#This Row],[ProjectName]]&amp;OutputTable[[#This Row],[Name]]&amp;OutputTable[[#This Row],[Type]]&amp;OutputTable[[#This Row],[Source]]</f>
        <v>Unnamed Projectwelder.ScheduledUtilizationScheduled UtilizationResource</v>
      </c>
      <c r="J53" s="5">
        <f t="array" ref="J53">MAX(IF((ProjectInfoTable[ProjectName]=OutputTable[[#This Row],[ProjectName]]),(ProjectInfoTable[ProjectName]=OutputTable[[#This Row],[ProjectName]])*ProjectInfoTable[NumberOfReplications]))</f>
        <v>15</v>
      </c>
      <c r="K53" s="5">
        <f t="array" ref="K53">IFERROR(AVERAGE(IF((OutputTable[GroupByKey]=OutputTable[[#This Row],[GroupByKey]]),(OutputTable[GroupByKey]=OutputTable[[#This Row],[GroupByKey]])*OutputTable[RecordedValue])),0)</f>
        <v>0</v>
      </c>
      <c r="L53" s="5">
        <f t="array" ref="L53">IFERROR(_xlfn.STDEV.S(IF((OutputTable[GroupByKey]=OutputTable[[#This Row],[GroupByKey]]),(OutputTable[GroupByKey]=OutputTable[[#This Row],[GroupByKey]])*OutputTable[RecordedValue])),0)</f>
        <v>0</v>
      </c>
      <c r="M53" s="5">
        <f t="array" ref="M53">MAX(IF((ProjectInfoTable[ProjectName]=OutputTable[[#This Row],[ProjectName]]),(ProjectInfoTable[ProjectName]=OutputTable[[#This Row],[ProjectName]])*ProjectInfoTable[ConfidenceInterval]))</f>
        <v>0.95</v>
      </c>
      <c r="N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3" s="5">
        <f t="array" ref="O53">MIN(IF((OutputTable[GroupByKey]=OutputTable[[#This Row],[GroupByKey]]),(OutputTable[GroupByKey]=OutputTable[[#This Row],[GroupByKey]])*OutputTable[RecordedValue]))</f>
        <v>0</v>
      </c>
      <c r="P53" s="5">
        <f t="array" ref="P53">MAX(IF((OutputTable[GroupByKey]=OutputTable[[#This Row],[GroupByKey]]),(OutputTable[GroupByKey]=OutputTable[[#This Row],[GroupByKey]])*OutputTable[RecordedValue]))</f>
        <v>0</v>
      </c>
    </row>
    <row r="54" spans="1:16" x14ac:dyDescent="0.25">
      <c r="A54" t="s">
        <v>67</v>
      </c>
      <c r="B54" t="s">
        <v>70</v>
      </c>
      <c r="C54">
        <v>2</v>
      </c>
      <c r="D54" t="s">
        <v>140</v>
      </c>
      <c r="E54" t="s">
        <v>114</v>
      </c>
      <c r="F54" t="s">
        <v>73</v>
      </c>
      <c r="G54">
        <v>0</v>
      </c>
      <c r="H54">
        <v>0</v>
      </c>
      <c r="I54" s="5" t="str">
        <f>OutputTable[[#This Row],[ProjectName]]&amp;OutputTable[[#This Row],[Name]]&amp;OutputTable[[#This Row],[Type]]&amp;OutputTable[[#This Row],[Source]]</f>
        <v>Unnamed Projectweldingqcworker.NumberSeizedTotal Number SeizedResource</v>
      </c>
      <c r="J54" s="5">
        <f t="array" ref="J54">MAX(IF((ProjectInfoTable[ProjectName]=OutputTable[[#This Row],[ProjectName]]),(ProjectInfoTable[ProjectName]=OutputTable[[#This Row],[ProjectName]])*ProjectInfoTable[NumberOfReplications]))</f>
        <v>15</v>
      </c>
      <c r="K54" s="5">
        <f t="array" ref="K54">IFERROR(AVERAGE(IF((OutputTable[GroupByKey]=OutputTable[[#This Row],[GroupByKey]]),(OutputTable[GroupByKey]=OutputTable[[#This Row],[GroupByKey]])*OutputTable[RecordedValue])),0)</f>
        <v>0</v>
      </c>
      <c r="L54" s="5">
        <f t="array" ref="L54">IFERROR(_xlfn.STDEV.S(IF((OutputTable[GroupByKey]=OutputTable[[#This Row],[GroupByKey]]),(OutputTable[GroupByKey]=OutputTable[[#This Row],[GroupByKey]])*OutputTable[RecordedValue])),0)</f>
        <v>0</v>
      </c>
      <c r="M54" s="5">
        <f t="array" ref="M54">MAX(IF((ProjectInfoTable[ProjectName]=OutputTable[[#This Row],[ProjectName]]),(ProjectInfoTable[ProjectName]=OutputTable[[#This Row],[ProjectName]])*ProjectInfoTable[ConfidenceInterval]))</f>
        <v>0.95</v>
      </c>
      <c r="N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4" s="5">
        <f t="array" ref="O54">MIN(IF((OutputTable[GroupByKey]=OutputTable[[#This Row],[GroupByKey]]),(OutputTable[GroupByKey]=OutputTable[[#This Row],[GroupByKey]])*OutputTable[RecordedValue]))</f>
        <v>0</v>
      </c>
      <c r="P54" s="5">
        <f t="array" ref="P54">MAX(IF((OutputTable[GroupByKey]=OutputTable[[#This Row],[GroupByKey]]),(OutputTable[GroupByKey]=OutputTable[[#This Row],[GroupByKey]])*OutputTable[RecordedValue]))</f>
        <v>0</v>
      </c>
    </row>
    <row r="55" spans="1:16" x14ac:dyDescent="0.25">
      <c r="A55" t="s">
        <v>67</v>
      </c>
      <c r="B55" t="s">
        <v>70</v>
      </c>
      <c r="C55">
        <v>2</v>
      </c>
      <c r="D55" t="s">
        <v>141</v>
      </c>
      <c r="E55" t="s">
        <v>116</v>
      </c>
      <c r="F55" t="s">
        <v>73</v>
      </c>
      <c r="G55">
        <v>0</v>
      </c>
      <c r="H55">
        <v>0</v>
      </c>
      <c r="I55" s="5" t="str">
        <f>OutputTable[[#This Row],[ProjectName]]&amp;OutputTable[[#This Row],[Name]]&amp;OutputTable[[#This Row],[Type]]&amp;OutputTable[[#This Row],[Source]]</f>
        <v>Unnamed Projectweldingqcworker.ScheduledUtilizationScheduled UtilizationResource</v>
      </c>
      <c r="J55" s="5">
        <f t="array" ref="J55">MAX(IF((ProjectInfoTable[ProjectName]=OutputTable[[#This Row],[ProjectName]]),(ProjectInfoTable[ProjectName]=OutputTable[[#This Row],[ProjectName]])*ProjectInfoTable[NumberOfReplications]))</f>
        <v>15</v>
      </c>
      <c r="K55" s="5">
        <f t="array" ref="K55">IFERROR(AVERAGE(IF((OutputTable[GroupByKey]=OutputTable[[#This Row],[GroupByKey]]),(OutputTable[GroupByKey]=OutputTable[[#This Row],[GroupByKey]])*OutputTable[RecordedValue])),0)</f>
        <v>0</v>
      </c>
      <c r="L55" s="5">
        <f t="array" ref="L55">IFERROR(_xlfn.STDEV.S(IF((OutputTable[GroupByKey]=OutputTable[[#This Row],[GroupByKey]]),(OutputTable[GroupByKey]=OutputTable[[#This Row],[GroupByKey]])*OutputTable[RecordedValue])),0)</f>
        <v>0</v>
      </c>
      <c r="M55" s="5">
        <f t="array" ref="M55">MAX(IF((ProjectInfoTable[ProjectName]=OutputTable[[#This Row],[ProjectName]]),(ProjectInfoTable[ProjectName]=OutputTable[[#This Row],[ProjectName]])*ProjectInfoTable[ConfidenceInterval]))</f>
        <v>0.95</v>
      </c>
      <c r="N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5" s="5">
        <f t="array" ref="O55">MIN(IF((OutputTable[GroupByKey]=OutputTable[[#This Row],[GroupByKey]]),(OutputTable[GroupByKey]=OutputTable[[#This Row],[GroupByKey]])*OutputTable[RecordedValue]))</f>
        <v>0</v>
      </c>
      <c r="P55" s="5">
        <f t="array" ref="P55">MAX(IF((OutputTable[GroupByKey]=OutputTable[[#This Row],[GroupByKey]]),(OutputTable[GroupByKey]=OutputTable[[#This Row],[GroupByKey]])*OutputTable[RecordedValue]))</f>
        <v>0</v>
      </c>
    </row>
    <row r="56" spans="1:16" x14ac:dyDescent="0.25">
      <c r="A56" t="s">
        <v>67</v>
      </c>
      <c r="B56" t="s">
        <v>70</v>
      </c>
      <c r="C56">
        <v>3</v>
      </c>
      <c r="D56" t="s">
        <v>110</v>
      </c>
      <c r="E56" t="s">
        <v>111</v>
      </c>
      <c r="F56" t="s">
        <v>112</v>
      </c>
      <c r="G56">
        <v>0</v>
      </c>
      <c r="H56">
        <v>0</v>
      </c>
      <c r="I56" s="5" t="str">
        <f>OutputTable[[#This Row],[ProjectName]]&amp;OutputTable[[#This Row],[Name]]&amp;OutputTable[[#This Row],[Type]]&amp;OutputTable[[#This Row],[Source]]</f>
        <v>Unnamed ProjectSystem.NumberOutNumber OutSystem</v>
      </c>
      <c r="J56" s="5">
        <f t="array" ref="J56">MAX(IF((ProjectInfoTable[ProjectName]=OutputTable[[#This Row],[ProjectName]]),(ProjectInfoTable[ProjectName]=OutputTable[[#This Row],[ProjectName]])*ProjectInfoTable[NumberOfReplications]))</f>
        <v>15</v>
      </c>
      <c r="K56" s="5">
        <f t="array" ref="K56">IFERROR(AVERAGE(IF((OutputTable[GroupByKey]=OutputTable[[#This Row],[GroupByKey]]),(OutputTable[GroupByKey]=OutputTable[[#This Row],[GroupByKey]])*OutputTable[RecordedValue])),0)</f>
        <v>0</v>
      </c>
      <c r="L56" s="5">
        <f t="array" ref="L56">IFERROR(_xlfn.STDEV.S(IF((OutputTable[GroupByKey]=OutputTable[[#This Row],[GroupByKey]]),(OutputTable[GroupByKey]=OutputTable[[#This Row],[GroupByKey]])*OutputTable[RecordedValue])),0)</f>
        <v>0</v>
      </c>
      <c r="M56" s="5">
        <f t="array" ref="M56">MAX(IF((ProjectInfoTable[ProjectName]=OutputTable[[#This Row],[ProjectName]]),(ProjectInfoTable[ProjectName]=OutputTable[[#This Row],[ProjectName]])*ProjectInfoTable[ConfidenceInterval]))</f>
        <v>0.95</v>
      </c>
      <c r="N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6" s="5">
        <f t="array" ref="O56">MIN(IF((OutputTable[GroupByKey]=OutputTable[[#This Row],[GroupByKey]]),(OutputTable[GroupByKey]=OutputTable[[#This Row],[GroupByKey]])*OutputTable[RecordedValue]))</f>
        <v>0</v>
      </c>
      <c r="P56" s="5">
        <f t="array" ref="P56">MAX(IF((OutputTable[GroupByKey]=OutputTable[[#This Row],[GroupByKey]]),(OutputTable[GroupByKey]=OutputTable[[#This Row],[GroupByKey]])*OutputTable[RecordedValue]))</f>
        <v>0</v>
      </c>
    </row>
    <row r="57" spans="1:16" x14ac:dyDescent="0.25">
      <c r="A57" t="s">
        <v>67</v>
      </c>
      <c r="B57" t="s">
        <v>70</v>
      </c>
      <c r="C57">
        <v>3</v>
      </c>
      <c r="D57" t="s">
        <v>113</v>
      </c>
      <c r="E57" t="s">
        <v>114</v>
      </c>
      <c r="F57" t="s">
        <v>73</v>
      </c>
      <c r="G57">
        <v>0</v>
      </c>
      <c r="H57">
        <v>0</v>
      </c>
      <c r="I57" s="5" t="str">
        <f>OutputTable[[#This Row],[ProjectName]]&amp;OutputTable[[#This Row],[Name]]&amp;OutputTable[[#This Row],[Type]]&amp;OutputTable[[#This Row],[Source]]</f>
        <v>Unnamed Projectassembler.NumberSeizedTotal Number SeizedResource</v>
      </c>
      <c r="J57" s="5">
        <f t="array" ref="J57">MAX(IF((ProjectInfoTable[ProjectName]=OutputTable[[#This Row],[ProjectName]]),(ProjectInfoTable[ProjectName]=OutputTable[[#This Row],[ProjectName]])*ProjectInfoTable[NumberOfReplications]))</f>
        <v>15</v>
      </c>
      <c r="K57" s="5">
        <f t="array" ref="K57">IFERROR(AVERAGE(IF((OutputTable[GroupByKey]=OutputTable[[#This Row],[GroupByKey]]),(OutputTable[GroupByKey]=OutputTable[[#This Row],[GroupByKey]])*OutputTable[RecordedValue])),0)</f>
        <v>0</v>
      </c>
      <c r="L57" s="5">
        <f t="array" ref="L57">IFERROR(_xlfn.STDEV.S(IF((OutputTable[GroupByKey]=OutputTable[[#This Row],[GroupByKey]]),(OutputTable[GroupByKey]=OutputTable[[#This Row],[GroupByKey]])*OutputTable[RecordedValue])),0)</f>
        <v>0</v>
      </c>
      <c r="M57" s="5">
        <f t="array" ref="M57">MAX(IF((ProjectInfoTable[ProjectName]=OutputTable[[#This Row],[ProjectName]]),(ProjectInfoTable[ProjectName]=OutputTable[[#This Row],[ProjectName]])*ProjectInfoTable[ConfidenceInterval]))</f>
        <v>0.95</v>
      </c>
      <c r="N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7" s="5">
        <f t="array" ref="O57">MIN(IF((OutputTable[GroupByKey]=OutputTable[[#This Row],[GroupByKey]]),(OutputTable[GroupByKey]=OutputTable[[#This Row],[GroupByKey]])*OutputTable[RecordedValue]))</f>
        <v>0</v>
      </c>
      <c r="P57" s="5">
        <f t="array" ref="P57">MAX(IF((OutputTable[GroupByKey]=OutputTable[[#This Row],[GroupByKey]]),(OutputTable[GroupByKey]=OutputTable[[#This Row],[GroupByKey]])*OutputTable[RecordedValue]))</f>
        <v>0</v>
      </c>
    </row>
    <row r="58" spans="1:16" x14ac:dyDescent="0.25">
      <c r="A58" t="s">
        <v>67</v>
      </c>
      <c r="B58" t="s">
        <v>70</v>
      </c>
      <c r="C58">
        <v>3</v>
      </c>
      <c r="D58" t="s">
        <v>115</v>
      </c>
      <c r="E58" t="s">
        <v>116</v>
      </c>
      <c r="F58" t="s">
        <v>73</v>
      </c>
      <c r="G58">
        <v>0</v>
      </c>
      <c r="H58">
        <v>0</v>
      </c>
      <c r="I58" s="5" t="str">
        <f>OutputTable[[#This Row],[ProjectName]]&amp;OutputTable[[#This Row],[Name]]&amp;OutputTable[[#This Row],[Type]]&amp;OutputTable[[#This Row],[Source]]</f>
        <v>Unnamed Projectassembler.ScheduledUtilizationScheduled UtilizationResource</v>
      </c>
      <c r="J58" s="5">
        <f t="array" ref="J58">MAX(IF((ProjectInfoTable[ProjectName]=OutputTable[[#This Row],[ProjectName]]),(ProjectInfoTable[ProjectName]=OutputTable[[#This Row],[ProjectName]])*ProjectInfoTable[NumberOfReplications]))</f>
        <v>15</v>
      </c>
      <c r="K58" s="5">
        <f t="array" ref="K58">IFERROR(AVERAGE(IF((OutputTable[GroupByKey]=OutputTable[[#This Row],[GroupByKey]]),(OutputTable[GroupByKey]=OutputTable[[#This Row],[GroupByKey]])*OutputTable[RecordedValue])),0)</f>
        <v>0</v>
      </c>
      <c r="L58" s="5">
        <f t="array" ref="L58">IFERROR(_xlfn.STDEV.S(IF((OutputTable[GroupByKey]=OutputTable[[#This Row],[GroupByKey]]),(OutputTable[GroupByKey]=OutputTable[[#This Row],[GroupByKey]])*OutputTable[RecordedValue])),0)</f>
        <v>0</v>
      </c>
      <c r="M58" s="5">
        <f t="array" ref="M58">MAX(IF((ProjectInfoTable[ProjectName]=OutputTable[[#This Row],[ProjectName]]),(ProjectInfoTable[ProjectName]=OutputTable[[#This Row],[ProjectName]])*ProjectInfoTable[ConfidenceInterval]))</f>
        <v>0.95</v>
      </c>
      <c r="N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8" s="5">
        <f t="array" ref="O58">MIN(IF((OutputTable[GroupByKey]=OutputTable[[#This Row],[GroupByKey]]),(OutputTable[GroupByKey]=OutputTable[[#This Row],[GroupByKey]])*OutputTable[RecordedValue]))</f>
        <v>0</v>
      </c>
      <c r="P58" s="5">
        <f t="array" ref="P58">MAX(IF((OutputTable[GroupByKey]=OutputTable[[#This Row],[GroupByKey]]),(OutputTable[GroupByKey]=OutputTable[[#This Row],[GroupByKey]])*OutputTable[RecordedValue]))</f>
        <v>0</v>
      </c>
    </row>
    <row r="59" spans="1:16" x14ac:dyDescent="0.25">
      <c r="A59" t="s">
        <v>67</v>
      </c>
      <c r="B59" t="s">
        <v>70</v>
      </c>
      <c r="C59">
        <v>3</v>
      </c>
      <c r="D59" t="s">
        <v>117</v>
      </c>
      <c r="E59" t="s">
        <v>114</v>
      </c>
      <c r="F59" t="s">
        <v>73</v>
      </c>
      <c r="G59">
        <v>0</v>
      </c>
      <c r="H59">
        <v>0</v>
      </c>
      <c r="I59" s="5" t="str">
        <f>OutputTable[[#This Row],[ProjectName]]&amp;OutputTable[[#This Row],[Name]]&amp;OutputTable[[#This Row],[Type]]&amp;OutputTable[[#This Row],[Source]]</f>
        <v>Unnamed Projectassemblyqcworker.NumberSeizedTotal Number SeizedResource</v>
      </c>
      <c r="J59" s="5">
        <f t="array" ref="J59">MAX(IF((ProjectInfoTable[ProjectName]=OutputTable[[#This Row],[ProjectName]]),(ProjectInfoTable[ProjectName]=OutputTable[[#This Row],[ProjectName]])*ProjectInfoTable[NumberOfReplications]))</f>
        <v>15</v>
      </c>
      <c r="K59" s="5">
        <f t="array" ref="K59">IFERROR(AVERAGE(IF((OutputTable[GroupByKey]=OutputTable[[#This Row],[GroupByKey]]),(OutputTable[GroupByKey]=OutputTable[[#This Row],[GroupByKey]])*OutputTable[RecordedValue])),0)</f>
        <v>0</v>
      </c>
      <c r="L59" s="5">
        <f t="array" ref="L59">IFERROR(_xlfn.STDEV.S(IF((OutputTable[GroupByKey]=OutputTable[[#This Row],[GroupByKey]]),(OutputTable[GroupByKey]=OutputTable[[#This Row],[GroupByKey]])*OutputTable[RecordedValue])),0)</f>
        <v>0</v>
      </c>
      <c r="M59" s="5">
        <f t="array" ref="M59">MAX(IF((ProjectInfoTable[ProjectName]=OutputTable[[#This Row],[ProjectName]]),(ProjectInfoTable[ProjectName]=OutputTable[[#This Row],[ProjectName]])*ProjectInfoTable[ConfidenceInterval]))</f>
        <v>0.95</v>
      </c>
      <c r="N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59" s="5">
        <f t="array" ref="O59">MIN(IF((OutputTable[GroupByKey]=OutputTable[[#This Row],[GroupByKey]]),(OutputTable[GroupByKey]=OutputTable[[#This Row],[GroupByKey]])*OutputTable[RecordedValue]))</f>
        <v>0</v>
      </c>
      <c r="P59" s="5">
        <f t="array" ref="P59">MAX(IF((OutputTable[GroupByKey]=OutputTable[[#This Row],[GroupByKey]]),(OutputTable[GroupByKey]=OutputTable[[#This Row],[GroupByKey]])*OutputTable[RecordedValue]))</f>
        <v>0</v>
      </c>
    </row>
    <row r="60" spans="1:16" x14ac:dyDescent="0.25">
      <c r="A60" t="s">
        <v>67</v>
      </c>
      <c r="B60" t="s">
        <v>70</v>
      </c>
      <c r="C60">
        <v>3</v>
      </c>
      <c r="D60" t="s">
        <v>118</v>
      </c>
      <c r="E60" t="s">
        <v>116</v>
      </c>
      <c r="F60" t="s">
        <v>73</v>
      </c>
      <c r="G60">
        <v>0</v>
      </c>
      <c r="H60">
        <v>0</v>
      </c>
      <c r="I60" s="5" t="str">
        <f>OutputTable[[#This Row],[ProjectName]]&amp;OutputTable[[#This Row],[Name]]&amp;OutputTable[[#This Row],[Type]]&amp;OutputTable[[#This Row],[Source]]</f>
        <v>Unnamed Projectassemblyqcworker.ScheduledUtilizationScheduled UtilizationResource</v>
      </c>
      <c r="J60" s="5">
        <f t="array" ref="J60">MAX(IF((ProjectInfoTable[ProjectName]=OutputTable[[#This Row],[ProjectName]]),(ProjectInfoTable[ProjectName]=OutputTable[[#This Row],[ProjectName]])*ProjectInfoTable[NumberOfReplications]))</f>
        <v>15</v>
      </c>
      <c r="K60" s="5">
        <f t="array" ref="K60">IFERROR(AVERAGE(IF((OutputTable[GroupByKey]=OutputTable[[#This Row],[GroupByKey]]),(OutputTable[GroupByKey]=OutputTable[[#This Row],[GroupByKey]])*OutputTable[RecordedValue])),0)</f>
        <v>0</v>
      </c>
      <c r="L60" s="5">
        <f t="array" ref="L60">IFERROR(_xlfn.STDEV.S(IF((OutputTable[GroupByKey]=OutputTable[[#This Row],[GroupByKey]]),(OutputTable[GroupByKey]=OutputTable[[#This Row],[GroupByKey]])*OutputTable[RecordedValue])),0)</f>
        <v>0</v>
      </c>
      <c r="M60" s="5">
        <f t="array" ref="M60">MAX(IF((ProjectInfoTable[ProjectName]=OutputTable[[#This Row],[ProjectName]]),(ProjectInfoTable[ProjectName]=OutputTable[[#This Row],[ProjectName]])*ProjectInfoTable[ConfidenceInterval]))</f>
        <v>0.95</v>
      </c>
      <c r="N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0" s="5">
        <f t="array" ref="O60">MIN(IF((OutputTable[GroupByKey]=OutputTable[[#This Row],[GroupByKey]]),(OutputTable[GroupByKey]=OutputTable[[#This Row],[GroupByKey]])*OutputTable[RecordedValue]))</f>
        <v>0</v>
      </c>
      <c r="P60" s="5">
        <f t="array" ref="P60">MAX(IF((OutputTable[GroupByKey]=OutputTable[[#This Row],[GroupByKey]]),(OutputTable[GroupByKey]=OutputTable[[#This Row],[GroupByKey]])*OutputTable[RecordedValue]))</f>
        <v>0</v>
      </c>
    </row>
    <row r="61" spans="1:16" x14ac:dyDescent="0.25">
      <c r="A61" t="s">
        <v>67</v>
      </c>
      <c r="B61" t="s">
        <v>70</v>
      </c>
      <c r="C61">
        <v>3</v>
      </c>
      <c r="D61" t="s">
        <v>119</v>
      </c>
      <c r="E61" t="s">
        <v>120</v>
      </c>
      <c r="F61" t="s">
        <v>79</v>
      </c>
      <c r="G61">
        <v>0</v>
      </c>
      <c r="H61">
        <v>0</v>
      </c>
      <c r="I61" s="5" t="str">
        <f>OutputTable[[#This Row],[ProjectName]]&amp;OutputTable[[#This Row],[Name]]&amp;OutputTable[[#This Row],[Type]]&amp;OutputTable[[#This Row],[Source]]</f>
        <v>Unnamed Projectbatched_parts.NumberInNumber InEntity</v>
      </c>
      <c r="J61" s="5">
        <f t="array" ref="J61">MAX(IF((ProjectInfoTable[ProjectName]=OutputTable[[#This Row],[ProjectName]]),(ProjectInfoTable[ProjectName]=OutputTable[[#This Row],[ProjectName]])*ProjectInfoTable[NumberOfReplications]))</f>
        <v>15</v>
      </c>
      <c r="K61" s="5">
        <f t="array" ref="K61">IFERROR(AVERAGE(IF((OutputTable[GroupByKey]=OutputTable[[#This Row],[GroupByKey]]),(OutputTable[GroupByKey]=OutputTable[[#This Row],[GroupByKey]])*OutputTable[RecordedValue])),0)</f>
        <v>0</v>
      </c>
      <c r="L61" s="5">
        <f t="array" ref="L61">IFERROR(_xlfn.STDEV.S(IF((OutputTable[GroupByKey]=OutputTable[[#This Row],[GroupByKey]]),(OutputTable[GroupByKey]=OutputTable[[#This Row],[GroupByKey]])*OutputTable[RecordedValue])),0)</f>
        <v>0</v>
      </c>
      <c r="M61" s="5">
        <f t="array" ref="M61">MAX(IF((ProjectInfoTable[ProjectName]=OutputTable[[#This Row],[ProjectName]]),(ProjectInfoTable[ProjectName]=OutputTable[[#This Row],[ProjectName]])*ProjectInfoTable[ConfidenceInterval]))</f>
        <v>0.95</v>
      </c>
      <c r="N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" s="5">
        <f t="array" ref="O61">MIN(IF((OutputTable[GroupByKey]=OutputTable[[#This Row],[GroupByKey]]),(OutputTable[GroupByKey]=OutputTable[[#This Row],[GroupByKey]])*OutputTable[RecordedValue]))</f>
        <v>0</v>
      </c>
      <c r="P61" s="5">
        <f t="array" ref="P61">MAX(IF((OutputTable[GroupByKey]=OutputTable[[#This Row],[GroupByKey]]),(OutputTable[GroupByKey]=OutputTable[[#This Row],[GroupByKey]])*OutputTable[RecordedValue]))</f>
        <v>0</v>
      </c>
    </row>
    <row r="62" spans="1:16" x14ac:dyDescent="0.25">
      <c r="A62" t="s">
        <v>67</v>
      </c>
      <c r="B62" t="s">
        <v>70</v>
      </c>
      <c r="C62">
        <v>3</v>
      </c>
      <c r="D62" t="s">
        <v>121</v>
      </c>
      <c r="E62" t="s">
        <v>111</v>
      </c>
      <c r="F62" t="s">
        <v>79</v>
      </c>
      <c r="G62">
        <v>0</v>
      </c>
      <c r="H62">
        <v>0</v>
      </c>
      <c r="I62" s="5" t="str">
        <f>OutputTable[[#This Row],[ProjectName]]&amp;OutputTable[[#This Row],[Name]]&amp;OutputTable[[#This Row],[Type]]&amp;OutputTable[[#This Row],[Source]]</f>
        <v>Unnamed Projectbatched_parts.NumberOutNumber OutEntity</v>
      </c>
      <c r="J62" s="5">
        <f t="array" ref="J62">MAX(IF((ProjectInfoTable[ProjectName]=OutputTable[[#This Row],[ProjectName]]),(ProjectInfoTable[ProjectName]=OutputTable[[#This Row],[ProjectName]])*ProjectInfoTable[NumberOfReplications]))</f>
        <v>15</v>
      </c>
      <c r="K62" s="5">
        <f t="array" ref="K62">IFERROR(AVERAGE(IF((OutputTable[GroupByKey]=OutputTable[[#This Row],[GroupByKey]]),(OutputTable[GroupByKey]=OutputTable[[#This Row],[GroupByKey]])*OutputTable[RecordedValue])),0)</f>
        <v>0</v>
      </c>
      <c r="L62" s="5">
        <f t="array" ref="L62">IFERROR(_xlfn.STDEV.S(IF((OutputTable[GroupByKey]=OutputTable[[#This Row],[GroupByKey]]),(OutputTable[GroupByKey]=OutputTable[[#This Row],[GroupByKey]])*OutputTable[RecordedValue])),0)</f>
        <v>0</v>
      </c>
      <c r="M62" s="5">
        <f t="array" ref="M62">MAX(IF((ProjectInfoTable[ProjectName]=OutputTable[[#This Row],[ProjectName]]),(ProjectInfoTable[ProjectName]=OutputTable[[#This Row],[ProjectName]])*ProjectInfoTable[ConfidenceInterval]))</f>
        <v>0.95</v>
      </c>
      <c r="N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2" s="5">
        <f t="array" ref="O62">MIN(IF((OutputTable[GroupByKey]=OutputTable[[#This Row],[GroupByKey]]),(OutputTable[GroupByKey]=OutputTable[[#This Row],[GroupByKey]])*OutputTable[RecordedValue]))</f>
        <v>0</v>
      </c>
      <c r="P62" s="5">
        <f t="array" ref="P62">MAX(IF((OutputTable[GroupByKey]=OutputTable[[#This Row],[GroupByKey]]),(OutputTable[GroupByKey]=OutputTable[[#This Row],[GroupByKey]])*OutputTable[RecordedValue]))</f>
        <v>0</v>
      </c>
    </row>
    <row r="63" spans="1:16" x14ac:dyDescent="0.25">
      <c r="A63" t="s">
        <v>67</v>
      </c>
      <c r="B63" t="s">
        <v>70</v>
      </c>
      <c r="C63">
        <v>3</v>
      </c>
      <c r="D63" t="s">
        <v>122</v>
      </c>
      <c r="E63" t="s">
        <v>114</v>
      </c>
      <c r="F63" t="s">
        <v>73</v>
      </c>
      <c r="G63">
        <v>0</v>
      </c>
      <c r="H63">
        <v>0</v>
      </c>
      <c r="I63" s="5" t="str">
        <f>OutputTable[[#This Row],[ProjectName]]&amp;OutputTable[[#This Row],[Name]]&amp;OutputTable[[#This Row],[Type]]&amp;OutputTable[[#This Row],[Source]]</f>
        <v>Unnamed Projectcleaner.NumberSeizedTotal Number SeizedResource</v>
      </c>
      <c r="J63" s="5">
        <f t="array" ref="J63">MAX(IF((ProjectInfoTable[ProjectName]=OutputTable[[#This Row],[ProjectName]]),(ProjectInfoTable[ProjectName]=OutputTable[[#This Row],[ProjectName]])*ProjectInfoTable[NumberOfReplications]))</f>
        <v>15</v>
      </c>
      <c r="K63" s="5">
        <f t="array" ref="K63">IFERROR(AVERAGE(IF((OutputTable[GroupByKey]=OutputTable[[#This Row],[GroupByKey]]),(OutputTable[GroupByKey]=OutputTable[[#This Row],[GroupByKey]])*OutputTable[RecordedValue])),0)</f>
        <v>0</v>
      </c>
      <c r="L63" s="5">
        <f t="array" ref="L63">IFERROR(_xlfn.STDEV.S(IF((OutputTable[GroupByKey]=OutputTable[[#This Row],[GroupByKey]]),(OutputTable[GroupByKey]=OutputTable[[#This Row],[GroupByKey]])*OutputTable[RecordedValue])),0)</f>
        <v>0</v>
      </c>
      <c r="M63" s="5">
        <f t="array" ref="M63">MAX(IF((ProjectInfoTable[ProjectName]=OutputTable[[#This Row],[ProjectName]]),(ProjectInfoTable[ProjectName]=OutputTable[[#This Row],[ProjectName]])*ProjectInfoTable[ConfidenceInterval]))</f>
        <v>0.95</v>
      </c>
      <c r="N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3" s="5">
        <f t="array" ref="O63">MIN(IF((OutputTable[GroupByKey]=OutputTable[[#This Row],[GroupByKey]]),(OutputTable[GroupByKey]=OutputTable[[#This Row],[GroupByKey]])*OutputTable[RecordedValue]))</f>
        <v>0</v>
      </c>
      <c r="P63" s="5">
        <f t="array" ref="P63">MAX(IF((OutputTable[GroupByKey]=OutputTable[[#This Row],[GroupByKey]]),(OutputTable[GroupByKey]=OutputTable[[#This Row],[GroupByKey]])*OutputTable[RecordedValue]))</f>
        <v>0</v>
      </c>
    </row>
    <row r="64" spans="1:16" x14ac:dyDescent="0.25">
      <c r="A64" t="s">
        <v>67</v>
      </c>
      <c r="B64" t="s">
        <v>70</v>
      </c>
      <c r="C64">
        <v>3</v>
      </c>
      <c r="D64" t="s">
        <v>123</v>
      </c>
      <c r="E64" t="s">
        <v>116</v>
      </c>
      <c r="F64" t="s">
        <v>73</v>
      </c>
      <c r="G64">
        <v>0</v>
      </c>
      <c r="H64">
        <v>0</v>
      </c>
      <c r="I64" s="5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64" s="5">
        <f t="array" ref="J64">MAX(IF((ProjectInfoTable[ProjectName]=OutputTable[[#This Row],[ProjectName]]),(ProjectInfoTable[ProjectName]=OutputTable[[#This Row],[ProjectName]])*ProjectInfoTable[NumberOfReplications]))</f>
        <v>15</v>
      </c>
      <c r="K64" s="5">
        <f t="array" ref="K64">IFERROR(AVERAGE(IF((OutputTable[GroupByKey]=OutputTable[[#This Row],[GroupByKey]]),(OutputTable[GroupByKey]=OutputTable[[#This Row],[GroupByKey]])*OutputTable[RecordedValue])),0)</f>
        <v>0</v>
      </c>
      <c r="L64" s="5">
        <f t="array" ref="L64">IFERROR(_xlfn.STDEV.S(IF((OutputTable[GroupByKey]=OutputTable[[#This Row],[GroupByKey]]),(OutputTable[GroupByKey]=OutputTable[[#This Row],[GroupByKey]])*OutputTable[RecordedValue])),0)</f>
        <v>0</v>
      </c>
      <c r="M64" s="5">
        <f t="array" ref="M64">MAX(IF((ProjectInfoTable[ProjectName]=OutputTable[[#This Row],[ProjectName]]),(ProjectInfoTable[ProjectName]=OutputTable[[#This Row],[ProjectName]])*ProjectInfoTable[ConfidenceInterval]))</f>
        <v>0.95</v>
      </c>
      <c r="N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4" s="5">
        <f t="array" ref="O64">MIN(IF((OutputTable[GroupByKey]=OutputTable[[#This Row],[GroupByKey]]),(OutputTable[GroupByKey]=OutputTable[[#This Row],[GroupByKey]])*OutputTable[RecordedValue]))</f>
        <v>0</v>
      </c>
      <c r="P64" s="5">
        <f t="array" ref="P64">MAX(IF((OutputTable[GroupByKey]=OutputTable[[#This Row],[GroupByKey]]),(OutputTable[GroupByKey]=OutputTable[[#This Row],[GroupByKey]])*OutputTable[RecordedValue]))</f>
        <v>0</v>
      </c>
    </row>
    <row r="65" spans="1:16" x14ac:dyDescent="0.25">
      <c r="A65" t="s">
        <v>67</v>
      </c>
      <c r="B65" t="s">
        <v>70</v>
      </c>
      <c r="C65">
        <v>3</v>
      </c>
      <c r="D65" t="s">
        <v>124</v>
      </c>
      <c r="E65" t="s">
        <v>114</v>
      </c>
      <c r="F65" t="s">
        <v>73</v>
      </c>
      <c r="G65">
        <v>0</v>
      </c>
      <c r="H65">
        <v>0</v>
      </c>
      <c r="I65" s="5" t="str">
        <f>OutputTable[[#This Row],[ProjectName]]&amp;OutputTable[[#This Row],[Name]]&amp;OutputTable[[#This Row],[Type]]&amp;OutputTable[[#This Row],[Source]]</f>
        <v>Unnamed Projectcutter.NumberSeizedTotal Number SeizedResource</v>
      </c>
      <c r="J65" s="5">
        <f t="array" ref="J65">MAX(IF((ProjectInfoTable[ProjectName]=OutputTable[[#This Row],[ProjectName]]),(ProjectInfoTable[ProjectName]=OutputTable[[#This Row],[ProjectName]])*ProjectInfoTable[NumberOfReplications]))</f>
        <v>15</v>
      </c>
      <c r="K65" s="5">
        <f t="array" ref="K65">IFERROR(AVERAGE(IF((OutputTable[GroupByKey]=OutputTable[[#This Row],[GroupByKey]]),(OutputTable[GroupByKey]=OutputTable[[#This Row],[GroupByKey]])*OutputTable[RecordedValue])),0)</f>
        <v>0</v>
      </c>
      <c r="L65" s="5">
        <f t="array" ref="L65">IFERROR(_xlfn.STDEV.S(IF((OutputTable[GroupByKey]=OutputTable[[#This Row],[GroupByKey]]),(OutputTable[GroupByKey]=OutputTable[[#This Row],[GroupByKey]])*OutputTable[RecordedValue])),0)</f>
        <v>0</v>
      </c>
      <c r="M65" s="5">
        <f t="array" ref="M65">MAX(IF((ProjectInfoTable[ProjectName]=OutputTable[[#This Row],[ProjectName]]),(ProjectInfoTable[ProjectName]=OutputTable[[#This Row],[ProjectName]])*ProjectInfoTable[ConfidenceInterval]))</f>
        <v>0.95</v>
      </c>
      <c r="N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" s="5">
        <f t="array" ref="O65">MIN(IF((OutputTable[GroupByKey]=OutputTable[[#This Row],[GroupByKey]]),(OutputTable[GroupByKey]=OutputTable[[#This Row],[GroupByKey]])*OutputTable[RecordedValue]))</f>
        <v>0</v>
      </c>
      <c r="P65" s="5">
        <f t="array" ref="P65">MAX(IF((OutputTable[GroupByKey]=OutputTable[[#This Row],[GroupByKey]]),(OutputTable[GroupByKey]=OutputTable[[#This Row],[GroupByKey]])*OutputTable[RecordedValue]))</f>
        <v>0</v>
      </c>
    </row>
    <row r="66" spans="1:16" x14ac:dyDescent="0.25">
      <c r="A66" t="s">
        <v>67</v>
      </c>
      <c r="B66" t="s">
        <v>70</v>
      </c>
      <c r="C66">
        <v>3</v>
      </c>
      <c r="D66" t="s">
        <v>125</v>
      </c>
      <c r="E66" t="s">
        <v>116</v>
      </c>
      <c r="F66" t="s">
        <v>73</v>
      </c>
      <c r="G66">
        <v>0</v>
      </c>
      <c r="H66">
        <v>0</v>
      </c>
      <c r="I66" s="5" t="str">
        <f>OutputTable[[#This Row],[ProjectName]]&amp;OutputTable[[#This Row],[Name]]&amp;OutputTable[[#This Row],[Type]]&amp;OutputTable[[#This Row],[Source]]</f>
        <v>Unnamed Projectcutter.ScheduledUtilizationScheduled UtilizationResource</v>
      </c>
      <c r="J66" s="5">
        <f t="array" ref="J66">MAX(IF((ProjectInfoTable[ProjectName]=OutputTable[[#This Row],[ProjectName]]),(ProjectInfoTable[ProjectName]=OutputTable[[#This Row],[ProjectName]])*ProjectInfoTable[NumberOfReplications]))</f>
        <v>15</v>
      </c>
      <c r="K66" s="5">
        <f t="array" ref="K66">IFERROR(AVERAGE(IF((OutputTable[GroupByKey]=OutputTable[[#This Row],[GroupByKey]]),(OutputTable[GroupByKey]=OutputTable[[#This Row],[GroupByKey]])*OutputTable[RecordedValue])),0)</f>
        <v>0</v>
      </c>
      <c r="L66" s="5">
        <f t="array" ref="L66">IFERROR(_xlfn.STDEV.S(IF((OutputTable[GroupByKey]=OutputTable[[#This Row],[GroupByKey]]),(OutputTable[GroupByKey]=OutputTable[[#This Row],[GroupByKey]])*OutputTable[RecordedValue])),0)</f>
        <v>0</v>
      </c>
      <c r="M66" s="5">
        <f t="array" ref="M66">MAX(IF((ProjectInfoTable[ProjectName]=OutputTable[[#This Row],[ProjectName]]),(ProjectInfoTable[ProjectName]=OutputTable[[#This Row],[ProjectName]])*ProjectInfoTable[ConfidenceInterval]))</f>
        <v>0.95</v>
      </c>
      <c r="N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" s="5">
        <f t="array" ref="O66">MIN(IF((OutputTable[GroupByKey]=OutputTable[[#This Row],[GroupByKey]]),(OutputTable[GroupByKey]=OutputTable[[#This Row],[GroupByKey]])*OutputTable[RecordedValue]))</f>
        <v>0</v>
      </c>
      <c r="P66" s="5">
        <f t="array" ref="P66">MAX(IF((OutputTable[GroupByKey]=OutputTable[[#This Row],[GroupByKey]]),(OutputTable[GroupByKey]=OutputTable[[#This Row],[GroupByKey]])*OutputTable[RecordedValue]))</f>
        <v>0</v>
      </c>
    </row>
    <row r="67" spans="1:16" x14ac:dyDescent="0.25">
      <c r="A67" t="s">
        <v>67</v>
      </c>
      <c r="B67" t="s">
        <v>70</v>
      </c>
      <c r="C67">
        <v>3</v>
      </c>
      <c r="D67" t="s">
        <v>126</v>
      </c>
      <c r="E67" t="s">
        <v>114</v>
      </c>
      <c r="F67" t="s">
        <v>73</v>
      </c>
      <c r="G67">
        <v>0</v>
      </c>
      <c r="H67">
        <v>0</v>
      </c>
      <c r="I67" s="5" t="str">
        <f>OutputTable[[#This Row],[ProjectName]]&amp;OutputTable[[#This Row],[Name]]&amp;OutputTable[[#This Row],[Type]]&amp;OutputTable[[#This Row],[Source]]</f>
        <v>Unnamed Projectfinalqcman.NumberSeizedTotal Number SeizedResource</v>
      </c>
      <c r="J67" s="5">
        <f t="array" ref="J67">MAX(IF((ProjectInfoTable[ProjectName]=OutputTable[[#This Row],[ProjectName]]),(ProjectInfoTable[ProjectName]=OutputTable[[#This Row],[ProjectName]])*ProjectInfoTable[NumberOfReplications]))</f>
        <v>15</v>
      </c>
      <c r="K67" s="5">
        <f t="array" ref="K67">IFERROR(AVERAGE(IF((OutputTable[GroupByKey]=OutputTable[[#This Row],[GroupByKey]]),(OutputTable[GroupByKey]=OutputTable[[#This Row],[GroupByKey]])*OutputTable[RecordedValue])),0)</f>
        <v>0</v>
      </c>
      <c r="L67" s="5">
        <f t="array" ref="L67">IFERROR(_xlfn.STDEV.S(IF((OutputTable[GroupByKey]=OutputTable[[#This Row],[GroupByKey]]),(OutputTable[GroupByKey]=OutputTable[[#This Row],[GroupByKey]])*OutputTable[RecordedValue])),0)</f>
        <v>0</v>
      </c>
      <c r="M67" s="5">
        <f t="array" ref="M67">MAX(IF((ProjectInfoTable[ProjectName]=OutputTable[[#This Row],[ProjectName]]),(ProjectInfoTable[ProjectName]=OutputTable[[#This Row],[ProjectName]])*ProjectInfoTable[ConfidenceInterval]))</f>
        <v>0.95</v>
      </c>
      <c r="N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7" s="5">
        <f t="array" ref="O67">MIN(IF((OutputTable[GroupByKey]=OutputTable[[#This Row],[GroupByKey]]),(OutputTable[GroupByKey]=OutputTable[[#This Row],[GroupByKey]])*OutputTable[RecordedValue]))</f>
        <v>0</v>
      </c>
      <c r="P67" s="5">
        <f t="array" ref="P67">MAX(IF((OutputTable[GroupByKey]=OutputTable[[#This Row],[GroupByKey]]),(OutputTable[GroupByKey]=OutputTable[[#This Row],[GroupByKey]])*OutputTable[RecordedValue]))</f>
        <v>0</v>
      </c>
    </row>
    <row r="68" spans="1:16" x14ac:dyDescent="0.25">
      <c r="A68" t="s">
        <v>67</v>
      </c>
      <c r="B68" t="s">
        <v>70</v>
      </c>
      <c r="C68">
        <v>3</v>
      </c>
      <c r="D68" t="s">
        <v>127</v>
      </c>
      <c r="E68" t="s">
        <v>116</v>
      </c>
      <c r="F68" t="s">
        <v>73</v>
      </c>
      <c r="G68">
        <v>0</v>
      </c>
      <c r="H68">
        <v>0</v>
      </c>
      <c r="I68" s="5" t="str">
        <f>OutputTable[[#This Row],[ProjectName]]&amp;OutputTable[[#This Row],[Name]]&amp;OutputTable[[#This Row],[Type]]&amp;OutputTable[[#This Row],[Source]]</f>
        <v>Unnamed Projectfinalqcman.ScheduledUtilizationScheduled UtilizationResource</v>
      </c>
      <c r="J68" s="5">
        <f t="array" ref="J68">MAX(IF((ProjectInfoTable[ProjectName]=OutputTable[[#This Row],[ProjectName]]),(ProjectInfoTable[ProjectName]=OutputTable[[#This Row],[ProjectName]])*ProjectInfoTable[NumberOfReplications]))</f>
        <v>15</v>
      </c>
      <c r="K68" s="5">
        <f t="array" ref="K68">IFERROR(AVERAGE(IF((OutputTable[GroupByKey]=OutputTable[[#This Row],[GroupByKey]]),(OutputTable[GroupByKey]=OutputTable[[#This Row],[GroupByKey]])*OutputTable[RecordedValue])),0)</f>
        <v>0</v>
      </c>
      <c r="L68" s="5">
        <f t="array" ref="L68">IFERROR(_xlfn.STDEV.S(IF((OutputTable[GroupByKey]=OutputTable[[#This Row],[GroupByKey]]),(OutputTable[GroupByKey]=OutputTable[[#This Row],[GroupByKey]])*OutputTable[RecordedValue])),0)</f>
        <v>0</v>
      </c>
      <c r="M68" s="5">
        <f t="array" ref="M68">MAX(IF((ProjectInfoTable[ProjectName]=OutputTable[[#This Row],[ProjectName]]),(ProjectInfoTable[ProjectName]=OutputTable[[#This Row],[ProjectName]])*ProjectInfoTable[ConfidenceInterval]))</f>
        <v>0.95</v>
      </c>
      <c r="N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8" s="5">
        <f t="array" ref="O68">MIN(IF((OutputTable[GroupByKey]=OutputTable[[#This Row],[GroupByKey]]),(OutputTable[GroupByKey]=OutputTable[[#This Row],[GroupByKey]])*OutputTable[RecordedValue]))</f>
        <v>0</v>
      </c>
      <c r="P68" s="5">
        <f t="array" ref="P68">MAX(IF((OutputTable[GroupByKey]=OutputTable[[#This Row],[GroupByKey]]),(OutputTable[GroupByKey]=OutputTable[[#This Row],[GroupByKey]])*OutputTable[RecordedValue]))</f>
        <v>0</v>
      </c>
    </row>
    <row r="69" spans="1:16" x14ac:dyDescent="0.25">
      <c r="A69" t="s">
        <v>67</v>
      </c>
      <c r="B69" t="s">
        <v>70</v>
      </c>
      <c r="C69">
        <v>3</v>
      </c>
      <c r="D69" t="s">
        <v>128</v>
      </c>
      <c r="E69" t="s">
        <v>114</v>
      </c>
      <c r="F69" t="s">
        <v>73</v>
      </c>
      <c r="G69">
        <v>0</v>
      </c>
      <c r="H69">
        <v>0</v>
      </c>
      <c r="I69" s="5" t="str">
        <f>OutputTable[[#This Row],[ProjectName]]&amp;OutputTable[[#This Row],[Name]]&amp;OutputTable[[#This Row],[Type]]&amp;OutputTable[[#This Row],[Source]]</f>
        <v>Unnamed Projectpaintingmachine.NumberSeizedTotal Number SeizedResource</v>
      </c>
      <c r="J69" s="5">
        <f t="array" ref="J69">MAX(IF((ProjectInfoTable[ProjectName]=OutputTable[[#This Row],[ProjectName]]),(ProjectInfoTable[ProjectName]=OutputTable[[#This Row],[ProjectName]])*ProjectInfoTable[NumberOfReplications]))</f>
        <v>15</v>
      </c>
      <c r="K69" s="5">
        <f t="array" ref="K69">IFERROR(AVERAGE(IF((OutputTable[GroupByKey]=OutputTable[[#This Row],[GroupByKey]]),(OutputTable[GroupByKey]=OutputTable[[#This Row],[GroupByKey]])*OutputTable[RecordedValue])),0)</f>
        <v>0</v>
      </c>
      <c r="L69" s="5">
        <f t="array" ref="L69">IFERROR(_xlfn.STDEV.S(IF((OutputTable[GroupByKey]=OutputTable[[#This Row],[GroupByKey]]),(OutputTable[GroupByKey]=OutputTable[[#This Row],[GroupByKey]])*OutputTable[RecordedValue])),0)</f>
        <v>0</v>
      </c>
      <c r="M69" s="5">
        <f t="array" ref="M69">MAX(IF((ProjectInfoTable[ProjectName]=OutputTable[[#This Row],[ProjectName]]),(ProjectInfoTable[ProjectName]=OutputTable[[#This Row],[ProjectName]])*ProjectInfoTable[ConfidenceInterval]))</f>
        <v>0.95</v>
      </c>
      <c r="N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9" s="5">
        <f t="array" ref="O69">MIN(IF((OutputTable[GroupByKey]=OutputTable[[#This Row],[GroupByKey]]),(OutputTable[GroupByKey]=OutputTable[[#This Row],[GroupByKey]])*OutputTable[RecordedValue]))</f>
        <v>0</v>
      </c>
      <c r="P69" s="5">
        <f t="array" ref="P69">MAX(IF((OutputTable[GroupByKey]=OutputTable[[#This Row],[GroupByKey]]),(OutputTable[GroupByKey]=OutputTable[[#This Row],[GroupByKey]])*OutputTable[RecordedValue]))</f>
        <v>0</v>
      </c>
    </row>
    <row r="70" spans="1:16" x14ac:dyDescent="0.25">
      <c r="A70" t="s">
        <v>67</v>
      </c>
      <c r="B70" t="s">
        <v>70</v>
      </c>
      <c r="C70">
        <v>3</v>
      </c>
      <c r="D70" t="s">
        <v>129</v>
      </c>
      <c r="E70" t="s">
        <v>116</v>
      </c>
      <c r="F70" t="s">
        <v>73</v>
      </c>
      <c r="G70">
        <v>0</v>
      </c>
      <c r="H70">
        <v>0</v>
      </c>
      <c r="I70" s="5" t="str">
        <f>OutputTable[[#This Row],[ProjectName]]&amp;OutputTable[[#This Row],[Name]]&amp;OutputTable[[#This Row],[Type]]&amp;OutputTable[[#This Row],[Source]]</f>
        <v>Unnamed Projectpaintingmachine.ScheduledUtilizationScheduled UtilizationResource</v>
      </c>
      <c r="J70" s="5">
        <f t="array" ref="J70">MAX(IF((ProjectInfoTable[ProjectName]=OutputTable[[#This Row],[ProjectName]]),(ProjectInfoTable[ProjectName]=OutputTable[[#This Row],[ProjectName]])*ProjectInfoTable[NumberOfReplications]))</f>
        <v>15</v>
      </c>
      <c r="K70" s="5">
        <f t="array" ref="K70">IFERROR(AVERAGE(IF((OutputTable[GroupByKey]=OutputTable[[#This Row],[GroupByKey]]),(OutputTable[GroupByKey]=OutputTable[[#This Row],[GroupByKey]])*OutputTable[RecordedValue])),0)</f>
        <v>0</v>
      </c>
      <c r="L70" s="5">
        <f t="array" ref="L70">IFERROR(_xlfn.STDEV.S(IF((OutputTable[GroupByKey]=OutputTable[[#This Row],[GroupByKey]]),(OutputTable[GroupByKey]=OutputTable[[#This Row],[GroupByKey]])*OutputTable[RecordedValue])),0)</f>
        <v>0</v>
      </c>
      <c r="M70" s="5">
        <f t="array" ref="M70">MAX(IF((ProjectInfoTable[ProjectName]=OutputTable[[#This Row],[ProjectName]]),(ProjectInfoTable[ProjectName]=OutputTable[[#This Row],[ProjectName]])*ProjectInfoTable[ConfidenceInterval]))</f>
        <v>0.95</v>
      </c>
      <c r="N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0" s="5">
        <f t="array" ref="O70">MIN(IF((OutputTable[GroupByKey]=OutputTable[[#This Row],[GroupByKey]]),(OutputTable[GroupByKey]=OutputTable[[#This Row],[GroupByKey]])*OutputTable[RecordedValue]))</f>
        <v>0</v>
      </c>
      <c r="P70" s="5">
        <f t="array" ref="P70">MAX(IF((OutputTable[GroupByKey]=OutputTable[[#This Row],[GroupByKey]]),(OutputTable[GroupByKey]=OutputTable[[#This Row],[GroupByKey]])*OutputTable[RecordedValue]))</f>
        <v>0</v>
      </c>
    </row>
    <row r="71" spans="1:16" x14ac:dyDescent="0.25">
      <c r="A71" t="s">
        <v>67</v>
      </c>
      <c r="B71" t="s">
        <v>70</v>
      </c>
      <c r="C71">
        <v>3</v>
      </c>
      <c r="D71" t="s">
        <v>130</v>
      </c>
      <c r="E71" t="s">
        <v>114</v>
      </c>
      <c r="F71" t="s">
        <v>73</v>
      </c>
      <c r="G71">
        <v>0</v>
      </c>
      <c r="H71">
        <v>0</v>
      </c>
      <c r="I71" s="5" t="str">
        <f>OutputTable[[#This Row],[ProjectName]]&amp;OutputTable[[#This Row],[Name]]&amp;OutputTable[[#This Row],[Type]]&amp;OutputTable[[#This Row],[Source]]</f>
        <v>Unnamed Projectpaintingoperator.NumberSeizedTotal Number SeizedResource</v>
      </c>
      <c r="J71" s="5">
        <f t="array" ref="J71">MAX(IF((ProjectInfoTable[ProjectName]=OutputTable[[#This Row],[ProjectName]]),(ProjectInfoTable[ProjectName]=OutputTable[[#This Row],[ProjectName]])*ProjectInfoTable[NumberOfReplications]))</f>
        <v>15</v>
      </c>
      <c r="K71" s="5">
        <f t="array" ref="K71">IFERROR(AVERAGE(IF((OutputTable[GroupByKey]=OutputTable[[#This Row],[GroupByKey]]),(OutputTable[GroupByKey]=OutputTable[[#This Row],[GroupByKey]])*OutputTable[RecordedValue])),0)</f>
        <v>0</v>
      </c>
      <c r="L71" s="5">
        <f t="array" ref="L71">IFERROR(_xlfn.STDEV.S(IF((OutputTable[GroupByKey]=OutputTable[[#This Row],[GroupByKey]]),(OutputTable[GroupByKey]=OutputTable[[#This Row],[GroupByKey]])*OutputTable[RecordedValue])),0)</f>
        <v>0</v>
      </c>
      <c r="M71" s="5">
        <f t="array" ref="M71">MAX(IF((ProjectInfoTable[ProjectName]=OutputTable[[#This Row],[ProjectName]]),(ProjectInfoTable[ProjectName]=OutputTable[[#This Row],[ProjectName]])*ProjectInfoTable[ConfidenceInterval]))</f>
        <v>0.95</v>
      </c>
      <c r="N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1" s="5">
        <f t="array" ref="O71">MIN(IF((OutputTable[GroupByKey]=OutputTable[[#This Row],[GroupByKey]]),(OutputTable[GroupByKey]=OutputTable[[#This Row],[GroupByKey]])*OutputTable[RecordedValue]))</f>
        <v>0</v>
      </c>
      <c r="P71" s="5">
        <f t="array" ref="P71">MAX(IF((OutputTable[GroupByKey]=OutputTable[[#This Row],[GroupByKey]]),(OutputTable[GroupByKey]=OutputTable[[#This Row],[GroupByKey]])*OutputTable[RecordedValue]))</f>
        <v>0</v>
      </c>
    </row>
    <row r="72" spans="1:16" x14ac:dyDescent="0.25">
      <c r="A72" t="s">
        <v>67</v>
      </c>
      <c r="B72" t="s">
        <v>70</v>
      </c>
      <c r="C72">
        <v>3</v>
      </c>
      <c r="D72" t="s">
        <v>131</v>
      </c>
      <c r="E72" t="s">
        <v>116</v>
      </c>
      <c r="F72" t="s">
        <v>73</v>
      </c>
      <c r="G72">
        <v>0</v>
      </c>
      <c r="H72">
        <v>0</v>
      </c>
      <c r="I72" s="5" t="str">
        <f>OutputTable[[#This Row],[ProjectName]]&amp;OutputTable[[#This Row],[Name]]&amp;OutputTable[[#This Row],[Type]]&amp;OutputTable[[#This Row],[Source]]</f>
        <v>Unnamed Projectpaintingoperator.ScheduledUtilizationScheduled UtilizationResource</v>
      </c>
      <c r="J72" s="5">
        <f t="array" ref="J72">MAX(IF((ProjectInfoTable[ProjectName]=OutputTable[[#This Row],[ProjectName]]),(ProjectInfoTable[ProjectName]=OutputTable[[#This Row],[ProjectName]])*ProjectInfoTable[NumberOfReplications]))</f>
        <v>15</v>
      </c>
      <c r="K72" s="5">
        <f t="array" ref="K72">IFERROR(AVERAGE(IF((OutputTable[GroupByKey]=OutputTable[[#This Row],[GroupByKey]]),(OutputTable[GroupByKey]=OutputTable[[#This Row],[GroupByKey]])*OutputTable[RecordedValue])),0)</f>
        <v>0</v>
      </c>
      <c r="L72" s="5">
        <f t="array" ref="L72">IFERROR(_xlfn.STDEV.S(IF((OutputTable[GroupByKey]=OutputTable[[#This Row],[GroupByKey]]),(OutputTable[GroupByKey]=OutputTable[[#This Row],[GroupByKey]])*OutputTable[RecordedValue])),0)</f>
        <v>0</v>
      </c>
      <c r="M72" s="5">
        <f t="array" ref="M72">MAX(IF((ProjectInfoTable[ProjectName]=OutputTable[[#This Row],[ProjectName]]),(ProjectInfoTable[ProjectName]=OutputTable[[#This Row],[ProjectName]])*ProjectInfoTable[ConfidenceInterval]))</f>
        <v>0.95</v>
      </c>
      <c r="N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2" s="5">
        <f t="array" ref="O72">MIN(IF((OutputTable[GroupByKey]=OutputTable[[#This Row],[GroupByKey]]),(OutputTable[GroupByKey]=OutputTable[[#This Row],[GroupByKey]])*OutputTable[RecordedValue]))</f>
        <v>0</v>
      </c>
      <c r="P72" s="5">
        <f t="array" ref="P72">MAX(IF((OutputTable[GroupByKey]=OutputTable[[#This Row],[GroupByKey]]),(OutputTable[GroupByKey]=OutputTable[[#This Row],[GroupByKey]])*OutputTable[RecordedValue]))</f>
        <v>0</v>
      </c>
    </row>
    <row r="73" spans="1:16" x14ac:dyDescent="0.25">
      <c r="A73" t="s">
        <v>67</v>
      </c>
      <c r="B73" t="s">
        <v>70</v>
      </c>
      <c r="C73">
        <v>3</v>
      </c>
      <c r="D73" t="s">
        <v>132</v>
      </c>
      <c r="E73" t="s">
        <v>114</v>
      </c>
      <c r="F73" t="s">
        <v>73</v>
      </c>
      <c r="G73">
        <v>0</v>
      </c>
      <c r="H73">
        <v>0</v>
      </c>
      <c r="I73" s="5" t="str">
        <f>OutputTable[[#This Row],[ProjectName]]&amp;OutputTable[[#This Row],[Name]]&amp;OutputTable[[#This Row],[Type]]&amp;OutputTable[[#This Row],[Source]]</f>
        <v>Unnamed Projectsandblastmachine.NumberSeizedTotal Number SeizedResource</v>
      </c>
      <c r="J73" s="5">
        <f t="array" ref="J73">MAX(IF((ProjectInfoTable[ProjectName]=OutputTable[[#This Row],[ProjectName]]),(ProjectInfoTable[ProjectName]=OutputTable[[#This Row],[ProjectName]])*ProjectInfoTable[NumberOfReplications]))</f>
        <v>15</v>
      </c>
      <c r="K73" s="5">
        <f t="array" ref="K73">IFERROR(AVERAGE(IF((OutputTable[GroupByKey]=OutputTable[[#This Row],[GroupByKey]]),(OutputTable[GroupByKey]=OutputTable[[#This Row],[GroupByKey]])*OutputTable[RecordedValue])),0)</f>
        <v>0</v>
      </c>
      <c r="L73" s="5">
        <f t="array" ref="L73">IFERROR(_xlfn.STDEV.S(IF((OutputTable[GroupByKey]=OutputTable[[#This Row],[GroupByKey]]),(OutputTable[GroupByKey]=OutputTable[[#This Row],[GroupByKey]])*OutputTable[RecordedValue])),0)</f>
        <v>0</v>
      </c>
      <c r="M73" s="5">
        <f t="array" ref="M73">MAX(IF((ProjectInfoTable[ProjectName]=OutputTable[[#This Row],[ProjectName]]),(ProjectInfoTable[ProjectName]=OutputTable[[#This Row],[ProjectName]])*ProjectInfoTable[ConfidenceInterval]))</f>
        <v>0.95</v>
      </c>
      <c r="N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3" s="5">
        <f t="array" ref="O73">MIN(IF((OutputTable[GroupByKey]=OutputTable[[#This Row],[GroupByKey]]),(OutputTable[GroupByKey]=OutputTable[[#This Row],[GroupByKey]])*OutputTable[RecordedValue]))</f>
        <v>0</v>
      </c>
      <c r="P73" s="5">
        <f t="array" ref="P73">MAX(IF((OutputTable[GroupByKey]=OutputTable[[#This Row],[GroupByKey]]),(OutputTable[GroupByKey]=OutputTable[[#This Row],[GroupByKey]])*OutputTable[RecordedValue]))</f>
        <v>0</v>
      </c>
    </row>
    <row r="74" spans="1:16" x14ac:dyDescent="0.25">
      <c r="A74" t="s">
        <v>67</v>
      </c>
      <c r="B74" t="s">
        <v>70</v>
      </c>
      <c r="C74">
        <v>3</v>
      </c>
      <c r="D74" t="s">
        <v>133</v>
      </c>
      <c r="E74" t="s">
        <v>116</v>
      </c>
      <c r="F74" t="s">
        <v>73</v>
      </c>
      <c r="G74">
        <v>0</v>
      </c>
      <c r="H74">
        <v>0</v>
      </c>
      <c r="I74" s="5" t="str">
        <f>OutputTable[[#This Row],[ProjectName]]&amp;OutputTable[[#This Row],[Name]]&amp;OutputTable[[#This Row],[Type]]&amp;OutputTable[[#This Row],[Source]]</f>
        <v>Unnamed Projectsandblastmachine.ScheduledUtilizationScheduled UtilizationResource</v>
      </c>
      <c r="J74" s="5">
        <f t="array" ref="J74">MAX(IF((ProjectInfoTable[ProjectName]=OutputTable[[#This Row],[ProjectName]]),(ProjectInfoTable[ProjectName]=OutputTable[[#This Row],[ProjectName]])*ProjectInfoTable[NumberOfReplications]))</f>
        <v>15</v>
      </c>
      <c r="K74" s="5">
        <f t="array" ref="K74">IFERROR(AVERAGE(IF((OutputTable[GroupByKey]=OutputTable[[#This Row],[GroupByKey]]),(OutputTable[GroupByKey]=OutputTable[[#This Row],[GroupByKey]])*OutputTable[RecordedValue])),0)</f>
        <v>0</v>
      </c>
      <c r="L74" s="5">
        <f t="array" ref="L74">IFERROR(_xlfn.STDEV.S(IF((OutputTable[GroupByKey]=OutputTable[[#This Row],[GroupByKey]]),(OutputTable[GroupByKey]=OutputTable[[#This Row],[GroupByKey]])*OutputTable[RecordedValue])),0)</f>
        <v>0</v>
      </c>
      <c r="M74" s="5">
        <f t="array" ref="M74">MAX(IF((ProjectInfoTable[ProjectName]=OutputTable[[#This Row],[ProjectName]]),(ProjectInfoTable[ProjectName]=OutputTable[[#This Row],[ProjectName]])*ProjectInfoTable[ConfidenceInterval]))</f>
        <v>0.95</v>
      </c>
      <c r="N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4" s="5">
        <f t="array" ref="O74">MIN(IF((OutputTable[GroupByKey]=OutputTable[[#This Row],[GroupByKey]]),(OutputTable[GroupByKey]=OutputTable[[#This Row],[GroupByKey]])*OutputTable[RecordedValue]))</f>
        <v>0</v>
      </c>
      <c r="P74" s="5">
        <f t="array" ref="P74">MAX(IF((OutputTable[GroupByKey]=OutputTable[[#This Row],[GroupByKey]]),(OutputTable[GroupByKey]=OutputTable[[#This Row],[GroupByKey]])*OutputTable[RecordedValue]))</f>
        <v>0</v>
      </c>
    </row>
    <row r="75" spans="1:16" x14ac:dyDescent="0.25">
      <c r="A75" t="s">
        <v>67</v>
      </c>
      <c r="B75" t="s">
        <v>70</v>
      </c>
      <c r="C75">
        <v>3</v>
      </c>
      <c r="D75" t="s">
        <v>134</v>
      </c>
      <c r="E75" t="s">
        <v>114</v>
      </c>
      <c r="F75" t="s">
        <v>73</v>
      </c>
      <c r="G75">
        <v>0</v>
      </c>
      <c r="H75">
        <v>0</v>
      </c>
      <c r="I75" s="5" t="str">
        <f>OutputTable[[#This Row],[ProjectName]]&amp;OutputTable[[#This Row],[Name]]&amp;OutputTable[[#This Row],[Type]]&amp;OutputTable[[#This Row],[Source]]</f>
        <v>Unnamed Projectsandblastoperator.NumberSeizedTotal Number SeizedResource</v>
      </c>
      <c r="J75" s="5">
        <f t="array" ref="J75">MAX(IF((ProjectInfoTable[ProjectName]=OutputTable[[#This Row],[ProjectName]]),(ProjectInfoTable[ProjectName]=OutputTable[[#This Row],[ProjectName]])*ProjectInfoTable[NumberOfReplications]))</f>
        <v>15</v>
      </c>
      <c r="K75" s="5">
        <f t="array" ref="K75">IFERROR(AVERAGE(IF((OutputTable[GroupByKey]=OutputTable[[#This Row],[GroupByKey]]),(OutputTable[GroupByKey]=OutputTable[[#This Row],[GroupByKey]])*OutputTable[RecordedValue])),0)</f>
        <v>0</v>
      </c>
      <c r="L75" s="5">
        <f t="array" ref="L75">IFERROR(_xlfn.STDEV.S(IF((OutputTable[GroupByKey]=OutputTable[[#This Row],[GroupByKey]]),(OutputTable[GroupByKey]=OutputTable[[#This Row],[GroupByKey]])*OutputTable[RecordedValue])),0)</f>
        <v>0</v>
      </c>
      <c r="M75" s="5">
        <f t="array" ref="M75">MAX(IF((ProjectInfoTable[ProjectName]=OutputTable[[#This Row],[ProjectName]]),(ProjectInfoTable[ProjectName]=OutputTable[[#This Row],[ProjectName]])*ProjectInfoTable[ConfidenceInterval]))</f>
        <v>0.95</v>
      </c>
      <c r="N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5" s="5">
        <f t="array" ref="O75">MIN(IF((OutputTable[GroupByKey]=OutputTable[[#This Row],[GroupByKey]]),(OutputTable[GroupByKey]=OutputTable[[#This Row],[GroupByKey]])*OutputTable[RecordedValue]))</f>
        <v>0</v>
      </c>
      <c r="P75" s="5">
        <f t="array" ref="P75">MAX(IF((OutputTable[GroupByKey]=OutputTable[[#This Row],[GroupByKey]]),(OutputTable[GroupByKey]=OutputTable[[#This Row],[GroupByKey]])*OutputTable[RecordedValue]))</f>
        <v>0</v>
      </c>
    </row>
    <row r="76" spans="1:16" x14ac:dyDescent="0.25">
      <c r="A76" t="s">
        <v>67</v>
      </c>
      <c r="B76" t="s">
        <v>70</v>
      </c>
      <c r="C76">
        <v>3</v>
      </c>
      <c r="D76" t="s">
        <v>135</v>
      </c>
      <c r="E76" t="s">
        <v>116</v>
      </c>
      <c r="F76" t="s">
        <v>73</v>
      </c>
      <c r="G76">
        <v>0</v>
      </c>
      <c r="H76">
        <v>0</v>
      </c>
      <c r="I76" s="5" t="str">
        <f>OutputTable[[#This Row],[ProjectName]]&amp;OutputTable[[#This Row],[Name]]&amp;OutputTable[[#This Row],[Type]]&amp;OutputTable[[#This Row],[Source]]</f>
        <v>Unnamed Projectsandblastoperator.ScheduledUtilizationScheduled UtilizationResource</v>
      </c>
      <c r="J76" s="5">
        <f t="array" ref="J76">MAX(IF((ProjectInfoTable[ProjectName]=OutputTable[[#This Row],[ProjectName]]),(ProjectInfoTable[ProjectName]=OutputTable[[#This Row],[ProjectName]])*ProjectInfoTable[NumberOfReplications]))</f>
        <v>15</v>
      </c>
      <c r="K76" s="5">
        <f t="array" ref="K76">IFERROR(AVERAGE(IF((OutputTable[GroupByKey]=OutputTable[[#This Row],[GroupByKey]]),(OutputTable[GroupByKey]=OutputTable[[#This Row],[GroupByKey]])*OutputTable[RecordedValue])),0)</f>
        <v>0</v>
      </c>
      <c r="L76" s="5">
        <f t="array" ref="L76">IFERROR(_xlfn.STDEV.S(IF((OutputTable[GroupByKey]=OutputTable[[#This Row],[GroupByKey]]),(OutputTable[GroupByKey]=OutputTable[[#This Row],[GroupByKey]])*OutputTable[RecordedValue])),0)</f>
        <v>0</v>
      </c>
      <c r="M76" s="5">
        <f t="array" ref="M76">MAX(IF((ProjectInfoTable[ProjectName]=OutputTable[[#This Row],[ProjectName]]),(ProjectInfoTable[ProjectName]=OutputTable[[#This Row],[ProjectName]])*ProjectInfoTable[ConfidenceInterval]))</f>
        <v>0.95</v>
      </c>
      <c r="N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6" s="5">
        <f t="array" ref="O76">MIN(IF((OutputTable[GroupByKey]=OutputTable[[#This Row],[GroupByKey]]),(OutputTable[GroupByKey]=OutputTable[[#This Row],[GroupByKey]])*OutputTable[RecordedValue]))</f>
        <v>0</v>
      </c>
      <c r="P76" s="5">
        <f t="array" ref="P76">MAX(IF((OutputTable[GroupByKey]=OutputTable[[#This Row],[GroupByKey]]),(OutputTable[GroupByKey]=OutputTable[[#This Row],[GroupByKey]])*OutputTable[RecordedValue]))</f>
        <v>0</v>
      </c>
    </row>
    <row r="77" spans="1:16" x14ac:dyDescent="0.25">
      <c r="A77" t="s">
        <v>67</v>
      </c>
      <c r="B77" t="s">
        <v>70</v>
      </c>
      <c r="C77">
        <v>3</v>
      </c>
      <c r="D77" t="s">
        <v>136</v>
      </c>
      <c r="E77" t="s">
        <v>120</v>
      </c>
      <c r="F77" t="s">
        <v>79</v>
      </c>
      <c r="G77">
        <v>0</v>
      </c>
      <c r="H77">
        <v>0</v>
      </c>
      <c r="I77" s="5" t="str">
        <f>OutputTable[[#This Row],[ProjectName]]&amp;OutputTable[[#This Row],[Name]]&amp;OutputTable[[#This Row],[Type]]&amp;OutputTable[[#This Row],[Source]]</f>
        <v>Unnamed Projectsteelsheet.NumberInNumber InEntity</v>
      </c>
      <c r="J77" s="5">
        <f t="array" ref="J77">MAX(IF((ProjectInfoTable[ProjectName]=OutputTable[[#This Row],[ProjectName]]),(ProjectInfoTable[ProjectName]=OutputTable[[#This Row],[ProjectName]])*ProjectInfoTable[NumberOfReplications]))</f>
        <v>15</v>
      </c>
      <c r="K77" s="5">
        <f t="array" ref="K77">IFERROR(AVERAGE(IF((OutputTable[GroupByKey]=OutputTable[[#This Row],[GroupByKey]]),(OutputTable[GroupByKey]=OutputTable[[#This Row],[GroupByKey]])*OutputTable[RecordedValue])),0)</f>
        <v>0</v>
      </c>
      <c r="L77" s="5">
        <f t="array" ref="L77">IFERROR(_xlfn.STDEV.S(IF((OutputTable[GroupByKey]=OutputTable[[#This Row],[GroupByKey]]),(OutputTable[GroupByKey]=OutputTable[[#This Row],[GroupByKey]])*OutputTable[RecordedValue])),0)</f>
        <v>0</v>
      </c>
      <c r="M77" s="5">
        <f t="array" ref="M77">MAX(IF((ProjectInfoTable[ProjectName]=OutputTable[[#This Row],[ProjectName]]),(ProjectInfoTable[ProjectName]=OutputTable[[#This Row],[ProjectName]])*ProjectInfoTable[ConfidenceInterval]))</f>
        <v>0.95</v>
      </c>
      <c r="N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7" s="5">
        <f t="array" ref="O77">MIN(IF((OutputTable[GroupByKey]=OutputTable[[#This Row],[GroupByKey]]),(OutputTable[GroupByKey]=OutputTable[[#This Row],[GroupByKey]])*OutputTable[RecordedValue]))</f>
        <v>0</v>
      </c>
      <c r="P77" s="5">
        <f t="array" ref="P77">MAX(IF((OutputTable[GroupByKey]=OutputTable[[#This Row],[GroupByKey]]),(OutputTable[GroupByKey]=OutputTable[[#This Row],[GroupByKey]])*OutputTable[RecordedValue]))</f>
        <v>0</v>
      </c>
    </row>
    <row r="78" spans="1:16" x14ac:dyDescent="0.25">
      <c r="A78" t="s">
        <v>67</v>
      </c>
      <c r="B78" t="s">
        <v>70</v>
      </c>
      <c r="C78">
        <v>3</v>
      </c>
      <c r="D78" t="s">
        <v>137</v>
      </c>
      <c r="E78" t="s">
        <v>111</v>
      </c>
      <c r="F78" t="s">
        <v>79</v>
      </c>
      <c r="G78">
        <v>0</v>
      </c>
      <c r="H78">
        <v>0</v>
      </c>
      <c r="I78" s="5" t="str">
        <f>OutputTable[[#This Row],[ProjectName]]&amp;OutputTable[[#This Row],[Name]]&amp;OutputTable[[#This Row],[Type]]&amp;OutputTable[[#This Row],[Source]]</f>
        <v>Unnamed Projectsteelsheet.NumberOutNumber OutEntity</v>
      </c>
      <c r="J78" s="5">
        <f t="array" ref="J78">MAX(IF((ProjectInfoTable[ProjectName]=OutputTable[[#This Row],[ProjectName]]),(ProjectInfoTable[ProjectName]=OutputTable[[#This Row],[ProjectName]])*ProjectInfoTable[NumberOfReplications]))</f>
        <v>15</v>
      </c>
      <c r="K78" s="5">
        <f t="array" ref="K78">IFERROR(AVERAGE(IF((OutputTable[GroupByKey]=OutputTable[[#This Row],[GroupByKey]]),(OutputTable[GroupByKey]=OutputTable[[#This Row],[GroupByKey]])*OutputTable[RecordedValue])),0)</f>
        <v>0</v>
      </c>
      <c r="L78" s="5">
        <f t="array" ref="L78">IFERROR(_xlfn.STDEV.S(IF((OutputTable[GroupByKey]=OutputTable[[#This Row],[GroupByKey]]),(OutputTable[GroupByKey]=OutputTable[[#This Row],[GroupByKey]])*OutputTable[RecordedValue])),0)</f>
        <v>0</v>
      </c>
      <c r="M78" s="5">
        <f t="array" ref="M78">MAX(IF((ProjectInfoTable[ProjectName]=OutputTable[[#This Row],[ProjectName]]),(ProjectInfoTable[ProjectName]=OutputTable[[#This Row],[ProjectName]])*ProjectInfoTable[ConfidenceInterval]))</f>
        <v>0.95</v>
      </c>
      <c r="N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8" s="5">
        <f t="array" ref="O78">MIN(IF((OutputTable[GroupByKey]=OutputTable[[#This Row],[GroupByKey]]),(OutputTable[GroupByKey]=OutputTable[[#This Row],[GroupByKey]])*OutputTable[RecordedValue]))</f>
        <v>0</v>
      </c>
      <c r="P78" s="5">
        <f t="array" ref="P78">MAX(IF((OutputTable[GroupByKey]=OutputTable[[#This Row],[GroupByKey]]),(OutputTable[GroupByKey]=OutputTable[[#This Row],[GroupByKey]])*OutputTable[RecordedValue]))</f>
        <v>0</v>
      </c>
    </row>
    <row r="79" spans="1:16" x14ac:dyDescent="0.25">
      <c r="A79" t="s">
        <v>67</v>
      </c>
      <c r="B79" t="s">
        <v>70</v>
      </c>
      <c r="C79">
        <v>3</v>
      </c>
      <c r="D79" t="s">
        <v>138</v>
      </c>
      <c r="E79" t="s">
        <v>114</v>
      </c>
      <c r="F79" t="s">
        <v>73</v>
      </c>
      <c r="G79">
        <v>0</v>
      </c>
      <c r="H79">
        <v>0</v>
      </c>
      <c r="I79" s="5" t="str">
        <f>OutputTable[[#This Row],[ProjectName]]&amp;OutputTable[[#This Row],[Name]]&amp;OutputTable[[#This Row],[Type]]&amp;OutputTable[[#This Row],[Source]]</f>
        <v>Unnamed Projectwelder.NumberSeizedTotal Number SeizedResource</v>
      </c>
      <c r="J79" s="5">
        <f t="array" ref="J79">MAX(IF((ProjectInfoTable[ProjectName]=OutputTable[[#This Row],[ProjectName]]),(ProjectInfoTable[ProjectName]=OutputTable[[#This Row],[ProjectName]])*ProjectInfoTable[NumberOfReplications]))</f>
        <v>15</v>
      </c>
      <c r="K79" s="5">
        <f t="array" ref="K79">IFERROR(AVERAGE(IF((OutputTable[GroupByKey]=OutputTable[[#This Row],[GroupByKey]]),(OutputTable[GroupByKey]=OutputTable[[#This Row],[GroupByKey]])*OutputTable[RecordedValue])),0)</f>
        <v>0</v>
      </c>
      <c r="L79" s="5">
        <f t="array" ref="L79">IFERROR(_xlfn.STDEV.S(IF((OutputTable[GroupByKey]=OutputTable[[#This Row],[GroupByKey]]),(OutputTable[GroupByKey]=OutputTable[[#This Row],[GroupByKey]])*OutputTable[RecordedValue])),0)</f>
        <v>0</v>
      </c>
      <c r="M79" s="5">
        <f t="array" ref="M79">MAX(IF((ProjectInfoTable[ProjectName]=OutputTable[[#This Row],[ProjectName]]),(ProjectInfoTable[ProjectName]=OutputTable[[#This Row],[ProjectName]])*ProjectInfoTable[ConfidenceInterval]))</f>
        <v>0.95</v>
      </c>
      <c r="N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9" s="5">
        <f t="array" ref="O79">MIN(IF((OutputTable[GroupByKey]=OutputTable[[#This Row],[GroupByKey]]),(OutputTable[GroupByKey]=OutputTable[[#This Row],[GroupByKey]])*OutputTable[RecordedValue]))</f>
        <v>0</v>
      </c>
      <c r="P79" s="5">
        <f t="array" ref="P79">MAX(IF((OutputTable[GroupByKey]=OutputTable[[#This Row],[GroupByKey]]),(OutputTable[GroupByKey]=OutputTable[[#This Row],[GroupByKey]])*OutputTable[RecordedValue]))</f>
        <v>0</v>
      </c>
    </row>
    <row r="80" spans="1:16" x14ac:dyDescent="0.25">
      <c r="A80" t="s">
        <v>67</v>
      </c>
      <c r="B80" t="s">
        <v>70</v>
      </c>
      <c r="C80">
        <v>3</v>
      </c>
      <c r="D80" t="s">
        <v>139</v>
      </c>
      <c r="E80" t="s">
        <v>116</v>
      </c>
      <c r="F80" t="s">
        <v>73</v>
      </c>
      <c r="G80">
        <v>0</v>
      </c>
      <c r="H80">
        <v>0</v>
      </c>
      <c r="I80" s="5" t="str">
        <f>OutputTable[[#This Row],[ProjectName]]&amp;OutputTable[[#This Row],[Name]]&amp;OutputTable[[#This Row],[Type]]&amp;OutputTable[[#This Row],[Source]]</f>
        <v>Unnamed Projectwelder.ScheduledUtilizationScheduled UtilizationResource</v>
      </c>
      <c r="J80" s="5">
        <f t="array" ref="J80">MAX(IF((ProjectInfoTable[ProjectName]=OutputTable[[#This Row],[ProjectName]]),(ProjectInfoTable[ProjectName]=OutputTable[[#This Row],[ProjectName]])*ProjectInfoTable[NumberOfReplications]))</f>
        <v>15</v>
      </c>
      <c r="K80" s="5">
        <f t="array" ref="K80">IFERROR(AVERAGE(IF((OutputTable[GroupByKey]=OutputTable[[#This Row],[GroupByKey]]),(OutputTable[GroupByKey]=OutputTable[[#This Row],[GroupByKey]])*OutputTable[RecordedValue])),0)</f>
        <v>0</v>
      </c>
      <c r="L80" s="5">
        <f t="array" ref="L80">IFERROR(_xlfn.STDEV.S(IF((OutputTable[GroupByKey]=OutputTable[[#This Row],[GroupByKey]]),(OutputTable[GroupByKey]=OutputTable[[#This Row],[GroupByKey]])*OutputTable[RecordedValue])),0)</f>
        <v>0</v>
      </c>
      <c r="M80" s="5">
        <f t="array" ref="M80">MAX(IF((ProjectInfoTable[ProjectName]=OutputTable[[#This Row],[ProjectName]]),(ProjectInfoTable[ProjectName]=OutputTable[[#This Row],[ProjectName]])*ProjectInfoTable[ConfidenceInterval]))</f>
        <v>0.95</v>
      </c>
      <c r="N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0" s="5">
        <f t="array" ref="O80">MIN(IF((OutputTable[GroupByKey]=OutputTable[[#This Row],[GroupByKey]]),(OutputTable[GroupByKey]=OutputTable[[#This Row],[GroupByKey]])*OutputTable[RecordedValue]))</f>
        <v>0</v>
      </c>
      <c r="P80" s="5">
        <f t="array" ref="P80">MAX(IF((OutputTable[GroupByKey]=OutputTable[[#This Row],[GroupByKey]]),(OutputTable[GroupByKey]=OutputTable[[#This Row],[GroupByKey]])*OutputTable[RecordedValue]))</f>
        <v>0</v>
      </c>
    </row>
    <row r="81" spans="1:16" x14ac:dyDescent="0.25">
      <c r="A81" t="s">
        <v>67</v>
      </c>
      <c r="B81" t="s">
        <v>70</v>
      </c>
      <c r="C81">
        <v>3</v>
      </c>
      <c r="D81" t="s">
        <v>140</v>
      </c>
      <c r="E81" t="s">
        <v>114</v>
      </c>
      <c r="F81" t="s">
        <v>73</v>
      </c>
      <c r="G81">
        <v>0</v>
      </c>
      <c r="H81">
        <v>0</v>
      </c>
      <c r="I81" s="5" t="str">
        <f>OutputTable[[#This Row],[ProjectName]]&amp;OutputTable[[#This Row],[Name]]&amp;OutputTable[[#This Row],[Type]]&amp;OutputTable[[#This Row],[Source]]</f>
        <v>Unnamed Projectweldingqcworker.NumberSeizedTotal Number SeizedResource</v>
      </c>
      <c r="J81" s="5">
        <f t="array" ref="J81">MAX(IF((ProjectInfoTable[ProjectName]=OutputTable[[#This Row],[ProjectName]]),(ProjectInfoTable[ProjectName]=OutputTable[[#This Row],[ProjectName]])*ProjectInfoTable[NumberOfReplications]))</f>
        <v>15</v>
      </c>
      <c r="K81" s="5">
        <f t="array" ref="K81">IFERROR(AVERAGE(IF((OutputTable[GroupByKey]=OutputTable[[#This Row],[GroupByKey]]),(OutputTable[GroupByKey]=OutputTable[[#This Row],[GroupByKey]])*OutputTable[RecordedValue])),0)</f>
        <v>0</v>
      </c>
      <c r="L81" s="5">
        <f t="array" ref="L81">IFERROR(_xlfn.STDEV.S(IF((OutputTable[GroupByKey]=OutputTable[[#This Row],[GroupByKey]]),(OutputTable[GroupByKey]=OutputTable[[#This Row],[GroupByKey]])*OutputTable[RecordedValue])),0)</f>
        <v>0</v>
      </c>
      <c r="M81" s="5">
        <f t="array" ref="M81">MAX(IF((ProjectInfoTable[ProjectName]=OutputTable[[#This Row],[ProjectName]]),(ProjectInfoTable[ProjectName]=OutputTable[[#This Row],[ProjectName]])*ProjectInfoTable[ConfidenceInterval]))</f>
        <v>0.95</v>
      </c>
      <c r="N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1" s="5">
        <f t="array" ref="O81">MIN(IF((OutputTable[GroupByKey]=OutputTable[[#This Row],[GroupByKey]]),(OutputTable[GroupByKey]=OutputTable[[#This Row],[GroupByKey]])*OutputTable[RecordedValue]))</f>
        <v>0</v>
      </c>
      <c r="P81" s="5">
        <f t="array" ref="P81">MAX(IF((OutputTable[GroupByKey]=OutputTable[[#This Row],[GroupByKey]]),(OutputTable[GroupByKey]=OutputTable[[#This Row],[GroupByKey]])*OutputTable[RecordedValue]))</f>
        <v>0</v>
      </c>
    </row>
    <row r="82" spans="1:16" x14ac:dyDescent="0.25">
      <c r="A82" t="s">
        <v>67</v>
      </c>
      <c r="B82" t="s">
        <v>70</v>
      </c>
      <c r="C82">
        <v>3</v>
      </c>
      <c r="D82" t="s">
        <v>141</v>
      </c>
      <c r="E82" t="s">
        <v>116</v>
      </c>
      <c r="F82" t="s">
        <v>73</v>
      </c>
      <c r="G82">
        <v>0</v>
      </c>
      <c r="H82">
        <v>0</v>
      </c>
      <c r="I82" s="5" t="str">
        <f>OutputTable[[#This Row],[ProjectName]]&amp;OutputTable[[#This Row],[Name]]&amp;OutputTable[[#This Row],[Type]]&amp;OutputTable[[#This Row],[Source]]</f>
        <v>Unnamed Projectweldingqcworker.ScheduledUtilizationScheduled UtilizationResource</v>
      </c>
      <c r="J82" s="5">
        <f t="array" ref="J82">MAX(IF((ProjectInfoTable[ProjectName]=OutputTable[[#This Row],[ProjectName]]),(ProjectInfoTable[ProjectName]=OutputTable[[#This Row],[ProjectName]])*ProjectInfoTable[NumberOfReplications]))</f>
        <v>15</v>
      </c>
      <c r="K82" s="5">
        <f t="array" ref="K82">IFERROR(AVERAGE(IF((OutputTable[GroupByKey]=OutputTable[[#This Row],[GroupByKey]]),(OutputTable[GroupByKey]=OutputTable[[#This Row],[GroupByKey]])*OutputTable[RecordedValue])),0)</f>
        <v>0</v>
      </c>
      <c r="L82" s="5">
        <f t="array" ref="L82">IFERROR(_xlfn.STDEV.S(IF((OutputTable[GroupByKey]=OutputTable[[#This Row],[GroupByKey]]),(OutputTable[GroupByKey]=OutputTable[[#This Row],[GroupByKey]])*OutputTable[RecordedValue])),0)</f>
        <v>0</v>
      </c>
      <c r="M82" s="5">
        <f t="array" ref="M82">MAX(IF((ProjectInfoTable[ProjectName]=OutputTable[[#This Row],[ProjectName]]),(ProjectInfoTable[ProjectName]=OutputTable[[#This Row],[ProjectName]])*ProjectInfoTable[ConfidenceInterval]))</f>
        <v>0.95</v>
      </c>
      <c r="N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2" s="5">
        <f t="array" ref="O82">MIN(IF((OutputTable[GroupByKey]=OutputTable[[#This Row],[GroupByKey]]),(OutputTable[GroupByKey]=OutputTable[[#This Row],[GroupByKey]])*OutputTable[RecordedValue]))</f>
        <v>0</v>
      </c>
      <c r="P82" s="5">
        <f t="array" ref="P82">MAX(IF((OutputTable[GroupByKey]=OutputTable[[#This Row],[GroupByKey]]),(OutputTable[GroupByKey]=OutputTable[[#This Row],[GroupByKey]])*OutputTable[RecordedValue]))</f>
        <v>0</v>
      </c>
    </row>
    <row r="83" spans="1:16" x14ac:dyDescent="0.25">
      <c r="A83" t="s">
        <v>67</v>
      </c>
      <c r="B83" t="s">
        <v>70</v>
      </c>
      <c r="C83">
        <v>4</v>
      </c>
      <c r="D83" t="s">
        <v>110</v>
      </c>
      <c r="E83" t="s">
        <v>111</v>
      </c>
      <c r="F83" t="s">
        <v>112</v>
      </c>
      <c r="G83">
        <v>0</v>
      </c>
      <c r="H83">
        <v>0</v>
      </c>
      <c r="I83" s="5" t="str">
        <f>OutputTable[[#This Row],[ProjectName]]&amp;OutputTable[[#This Row],[Name]]&amp;OutputTable[[#This Row],[Type]]&amp;OutputTable[[#This Row],[Source]]</f>
        <v>Unnamed ProjectSystem.NumberOutNumber OutSystem</v>
      </c>
      <c r="J83" s="5">
        <f t="array" ref="J83">MAX(IF((ProjectInfoTable[ProjectName]=OutputTable[[#This Row],[ProjectName]]),(ProjectInfoTable[ProjectName]=OutputTable[[#This Row],[ProjectName]])*ProjectInfoTable[NumberOfReplications]))</f>
        <v>15</v>
      </c>
      <c r="K83" s="5">
        <f t="array" ref="K83">IFERROR(AVERAGE(IF((OutputTable[GroupByKey]=OutputTable[[#This Row],[GroupByKey]]),(OutputTable[GroupByKey]=OutputTable[[#This Row],[GroupByKey]])*OutputTable[RecordedValue])),0)</f>
        <v>0</v>
      </c>
      <c r="L83" s="5">
        <f t="array" ref="L83">IFERROR(_xlfn.STDEV.S(IF((OutputTable[GroupByKey]=OutputTable[[#This Row],[GroupByKey]]),(OutputTable[GroupByKey]=OutputTable[[#This Row],[GroupByKey]])*OutputTable[RecordedValue])),0)</f>
        <v>0</v>
      </c>
      <c r="M83" s="5">
        <f t="array" ref="M83">MAX(IF((ProjectInfoTable[ProjectName]=OutputTable[[#This Row],[ProjectName]]),(ProjectInfoTable[ProjectName]=OutputTable[[#This Row],[ProjectName]])*ProjectInfoTable[ConfidenceInterval]))</f>
        <v>0.95</v>
      </c>
      <c r="N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3" s="5">
        <f t="array" ref="O83">MIN(IF((OutputTable[GroupByKey]=OutputTable[[#This Row],[GroupByKey]]),(OutputTable[GroupByKey]=OutputTable[[#This Row],[GroupByKey]])*OutputTable[RecordedValue]))</f>
        <v>0</v>
      </c>
      <c r="P83" s="5">
        <f t="array" ref="P83">MAX(IF((OutputTable[GroupByKey]=OutputTable[[#This Row],[GroupByKey]]),(OutputTable[GroupByKey]=OutputTable[[#This Row],[GroupByKey]])*OutputTable[RecordedValue]))</f>
        <v>0</v>
      </c>
    </row>
    <row r="84" spans="1:16" x14ac:dyDescent="0.25">
      <c r="A84" t="s">
        <v>67</v>
      </c>
      <c r="B84" t="s">
        <v>70</v>
      </c>
      <c r="C84">
        <v>4</v>
      </c>
      <c r="D84" t="s">
        <v>113</v>
      </c>
      <c r="E84" t="s">
        <v>114</v>
      </c>
      <c r="F84" t="s">
        <v>73</v>
      </c>
      <c r="G84">
        <v>0</v>
      </c>
      <c r="H84">
        <v>0</v>
      </c>
      <c r="I84" s="5" t="str">
        <f>OutputTable[[#This Row],[ProjectName]]&amp;OutputTable[[#This Row],[Name]]&amp;OutputTable[[#This Row],[Type]]&amp;OutputTable[[#This Row],[Source]]</f>
        <v>Unnamed Projectassembler.NumberSeizedTotal Number SeizedResource</v>
      </c>
      <c r="J84" s="5">
        <f t="array" ref="J84">MAX(IF((ProjectInfoTable[ProjectName]=OutputTable[[#This Row],[ProjectName]]),(ProjectInfoTable[ProjectName]=OutputTable[[#This Row],[ProjectName]])*ProjectInfoTable[NumberOfReplications]))</f>
        <v>15</v>
      </c>
      <c r="K84" s="5">
        <f t="array" ref="K84">IFERROR(AVERAGE(IF((OutputTable[GroupByKey]=OutputTable[[#This Row],[GroupByKey]]),(OutputTable[GroupByKey]=OutputTable[[#This Row],[GroupByKey]])*OutputTable[RecordedValue])),0)</f>
        <v>0</v>
      </c>
      <c r="L84" s="5">
        <f t="array" ref="L84">IFERROR(_xlfn.STDEV.S(IF((OutputTable[GroupByKey]=OutputTable[[#This Row],[GroupByKey]]),(OutputTable[GroupByKey]=OutputTable[[#This Row],[GroupByKey]])*OutputTable[RecordedValue])),0)</f>
        <v>0</v>
      </c>
      <c r="M84" s="5">
        <f t="array" ref="M84">MAX(IF((ProjectInfoTable[ProjectName]=OutputTable[[#This Row],[ProjectName]]),(ProjectInfoTable[ProjectName]=OutputTable[[#This Row],[ProjectName]])*ProjectInfoTable[ConfidenceInterval]))</f>
        <v>0.95</v>
      </c>
      <c r="N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4" s="5">
        <f t="array" ref="O84">MIN(IF((OutputTable[GroupByKey]=OutputTable[[#This Row],[GroupByKey]]),(OutputTable[GroupByKey]=OutputTable[[#This Row],[GroupByKey]])*OutputTable[RecordedValue]))</f>
        <v>0</v>
      </c>
      <c r="P84" s="5">
        <f t="array" ref="P84">MAX(IF((OutputTable[GroupByKey]=OutputTable[[#This Row],[GroupByKey]]),(OutputTable[GroupByKey]=OutputTable[[#This Row],[GroupByKey]])*OutputTable[RecordedValue]))</f>
        <v>0</v>
      </c>
    </row>
    <row r="85" spans="1:16" x14ac:dyDescent="0.25">
      <c r="A85" t="s">
        <v>67</v>
      </c>
      <c r="B85" t="s">
        <v>70</v>
      </c>
      <c r="C85">
        <v>4</v>
      </c>
      <c r="D85" t="s">
        <v>115</v>
      </c>
      <c r="E85" t="s">
        <v>116</v>
      </c>
      <c r="F85" t="s">
        <v>73</v>
      </c>
      <c r="G85">
        <v>0</v>
      </c>
      <c r="H85">
        <v>0</v>
      </c>
      <c r="I85" s="5" t="str">
        <f>OutputTable[[#This Row],[ProjectName]]&amp;OutputTable[[#This Row],[Name]]&amp;OutputTable[[#This Row],[Type]]&amp;OutputTable[[#This Row],[Source]]</f>
        <v>Unnamed Projectassembler.ScheduledUtilizationScheduled UtilizationResource</v>
      </c>
      <c r="J85" s="5">
        <f t="array" ref="J85">MAX(IF((ProjectInfoTable[ProjectName]=OutputTable[[#This Row],[ProjectName]]),(ProjectInfoTable[ProjectName]=OutputTable[[#This Row],[ProjectName]])*ProjectInfoTable[NumberOfReplications]))</f>
        <v>15</v>
      </c>
      <c r="K85" s="5">
        <f t="array" ref="K85">IFERROR(AVERAGE(IF((OutputTable[GroupByKey]=OutputTable[[#This Row],[GroupByKey]]),(OutputTable[GroupByKey]=OutputTable[[#This Row],[GroupByKey]])*OutputTable[RecordedValue])),0)</f>
        <v>0</v>
      </c>
      <c r="L85" s="5">
        <f t="array" ref="L85">IFERROR(_xlfn.STDEV.S(IF((OutputTable[GroupByKey]=OutputTable[[#This Row],[GroupByKey]]),(OutputTable[GroupByKey]=OutputTable[[#This Row],[GroupByKey]])*OutputTable[RecordedValue])),0)</f>
        <v>0</v>
      </c>
      <c r="M85" s="5">
        <f t="array" ref="M85">MAX(IF((ProjectInfoTable[ProjectName]=OutputTable[[#This Row],[ProjectName]]),(ProjectInfoTable[ProjectName]=OutputTable[[#This Row],[ProjectName]])*ProjectInfoTable[ConfidenceInterval]))</f>
        <v>0.95</v>
      </c>
      <c r="N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" s="5">
        <f t="array" ref="O85">MIN(IF((OutputTable[GroupByKey]=OutputTable[[#This Row],[GroupByKey]]),(OutputTable[GroupByKey]=OutputTable[[#This Row],[GroupByKey]])*OutputTable[RecordedValue]))</f>
        <v>0</v>
      </c>
      <c r="P85" s="5">
        <f t="array" ref="P85">MAX(IF((OutputTable[GroupByKey]=OutputTable[[#This Row],[GroupByKey]]),(OutputTable[GroupByKey]=OutputTable[[#This Row],[GroupByKey]])*OutputTable[RecordedValue]))</f>
        <v>0</v>
      </c>
    </row>
    <row r="86" spans="1:16" x14ac:dyDescent="0.25">
      <c r="A86" t="s">
        <v>67</v>
      </c>
      <c r="B86" t="s">
        <v>70</v>
      </c>
      <c r="C86">
        <v>4</v>
      </c>
      <c r="D86" t="s">
        <v>117</v>
      </c>
      <c r="E86" t="s">
        <v>114</v>
      </c>
      <c r="F86" t="s">
        <v>73</v>
      </c>
      <c r="G86">
        <v>0</v>
      </c>
      <c r="H86">
        <v>0</v>
      </c>
      <c r="I86" s="5" t="str">
        <f>OutputTable[[#This Row],[ProjectName]]&amp;OutputTable[[#This Row],[Name]]&amp;OutputTable[[#This Row],[Type]]&amp;OutputTable[[#This Row],[Source]]</f>
        <v>Unnamed Projectassemblyqcworker.NumberSeizedTotal Number SeizedResource</v>
      </c>
      <c r="J86" s="5">
        <f t="array" ref="J86">MAX(IF((ProjectInfoTable[ProjectName]=OutputTable[[#This Row],[ProjectName]]),(ProjectInfoTable[ProjectName]=OutputTable[[#This Row],[ProjectName]])*ProjectInfoTable[NumberOfReplications]))</f>
        <v>15</v>
      </c>
      <c r="K86" s="5">
        <f t="array" ref="K86">IFERROR(AVERAGE(IF((OutputTable[GroupByKey]=OutputTable[[#This Row],[GroupByKey]]),(OutputTable[GroupByKey]=OutputTable[[#This Row],[GroupByKey]])*OutputTable[RecordedValue])),0)</f>
        <v>0</v>
      </c>
      <c r="L86" s="5">
        <f t="array" ref="L86">IFERROR(_xlfn.STDEV.S(IF((OutputTable[GroupByKey]=OutputTable[[#This Row],[GroupByKey]]),(OutputTable[GroupByKey]=OutputTable[[#This Row],[GroupByKey]])*OutputTable[RecordedValue])),0)</f>
        <v>0</v>
      </c>
      <c r="M86" s="5">
        <f t="array" ref="M86">MAX(IF((ProjectInfoTable[ProjectName]=OutputTable[[#This Row],[ProjectName]]),(ProjectInfoTable[ProjectName]=OutputTable[[#This Row],[ProjectName]])*ProjectInfoTable[ConfidenceInterval]))</f>
        <v>0.95</v>
      </c>
      <c r="N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6" s="5">
        <f t="array" ref="O86">MIN(IF((OutputTable[GroupByKey]=OutputTable[[#This Row],[GroupByKey]]),(OutputTable[GroupByKey]=OutputTable[[#This Row],[GroupByKey]])*OutputTable[RecordedValue]))</f>
        <v>0</v>
      </c>
      <c r="P86" s="5">
        <f t="array" ref="P86">MAX(IF((OutputTable[GroupByKey]=OutputTable[[#This Row],[GroupByKey]]),(OutputTable[GroupByKey]=OutputTable[[#This Row],[GroupByKey]])*OutputTable[RecordedValue]))</f>
        <v>0</v>
      </c>
    </row>
    <row r="87" spans="1:16" x14ac:dyDescent="0.25">
      <c r="A87" t="s">
        <v>67</v>
      </c>
      <c r="B87" t="s">
        <v>70</v>
      </c>
      <c r="C87">
        <v>4</v>
      </c>
      <c r="D87" t="s">
        <v>118</v>
      </c>
      <c r="E87" t="s">
        <v>116</v>
      </c>
      <c r="F87" t="s">
        <v>73</v>
      </c>
      <c r="G87">
        <v>0</v>
      </c>
      <c r="H87">
        <v>0</v>
      </c>
      <c r="I87" s="5" t="str">
        <f>OutputTable[[#This Row],[ProjectName]]&amp;OutputTable[[#This Row],[Name]]&amp;OutputTable[[#This Row],[Type]]&amp;OutputTable[[#This Row],[Source]]</f>
        <v>Unnamed Projectassemblyqcworker.ScheduledUtilizationScheduled UtilizationResource</v>
      </c>
      <c r="J87" s="5">
        <f t="array" ref="J87">MAX(IF((ProjectInfoTable[ProjectName]=OutputTable[[#This Row],[ProjectName]]),(ProjectInfoTable[ProjectName]=OutputTable[[#This Row],[ProjectName]])*ProjectInfoTable[NumberOfReplications]))</f>
        <v>15</v>
      </c>
      <c r="K87" s="5">
        <f t="array" ref="K87">IFERROR(AVERAGE(IF((OutputTable[GroupByKey]=OutputTable[[#This Row],[GroupByKey]]),(OutputTable[GroupByKey]=OutputTable[[#This Row],[GroupByKey]])*OutputTable[RecordedValue])),0)</f>
        <v>0</v>
      </c>
      <c r="L87" s="5">
        <f t="array" ref="L87">IFERROR(_xlfn.STDEV.S(IF((OutputTable[GroupByKey]=OutputTable[[#This Row],[GroupByKey]]),(OutputTable[GroupByKey]=OutputTable[[#This Row],[GroupByKey]])*OutputTable[RecordedValue])),0)</f>
        <v>0</v>
      </c>
      <c r="M87" s="5">
        <f t="array" ref="M87">MAX(IF((ProjectInfoTable[ProjectName]=OutputTable[[#This Row],[ProjectName]]),(ProjectInfoTable[ProjectName]=OutputTable[[#This Row],[ProjectName]])*ProjectInfoTable[ConfidenceInterval]))</f>
        <v>0.95</v>
      </c>
      <c r="N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7" s="5">
        <f t="array" ref="O87">MIN(IF((OutputTable[GroupByKey]=OutputTable[[#This Row],[GroupByKey]]),(OutputTable[GroupByKey]=OutputTable[[#This Row],[GroupByKey]])*OutputTable[RecordedValue]))</f>
        <v>0</v>
      </c>
      <c r="P87" s="5">
        <f t="array" ref="P87">MAX(IF((OutputTable[GroupByKey]=OutputTable[[#This Row],[GroupByKey]]),(OutputTable[GroupByKey]=OutputTable[[#This Row],[GroupByKey]])*OutputTable[RecordedValue]))</f>
        <v>0</v>
      </c>
    </row>
    <row r="88" spans="1:16" x14ac:dyDescent="0.25">
      <c r="A88" t="s">
        <v>67</v>
      </c>
      <c r="B88" t="s">
        <v>70</v>
      </c>
      <c r="C88">
        <v>4</v>
      </c>
      <c r="D88" t="s">
        <v>119</v>
      </c>
      <c r="E88" t="s">
        <v>120</v>
      </c>
      <c r="F88" t="s">
        <v>79</v>
      </c>
      <c r="G88">
        <v>0</v>
      </c>
      <c r="H88">
        <v>0</v>
      </c>
      <c r="I88" s="5" t="str">
        <f>OutputTable[[#This Row],[ProjectName]]&amp;OutputTable[[#This Row],[Name]]&amp;OutputTable[[#This Row],[Type]]&amp;OutputTable[[#This Row],[Source]]</f>
        <v>Unnamed Projectbatched_parts.NumberInNumber InEntity</v>
      </c>
      <c r="J88" s="5">
        <f t="array" ref="J88">MAX(IF((ProjectInfoTable[ProjectName]=OutputTable[[#This Row],[ProjectName]]),(ProjectInfoTable[ProjectName]=OutputTable[[#This Row],[ProjectName]])*ProjectInfoTable[NumberOfReplications]))</f>
        <v>15</v>
      </c>
      <c r="K88" s="5">
        <f t="array" ref="K88">IFERROR(AVERAGE(IF((OutputTable[GroupByKey]=OutputTable[[#This Row],[GroupByKey]]),(OutputTable[GroupByKey]=OutputTable[[#This Row],[GroupByKey]])*OutputTable[RecordedValue])),0)</f>
        <v>0</v>
      </c>
      <c r="L88" s="5">
        <f t="array" ref="L88">IFERROR(_xlfn.STDEV.S(IF((OutputTable[GroupByKey]=OutputTable[[#This Row],[GroupByKey]]),(OutputTable[GroupByKey]=OutputTable[[#This Row],[GroupByKey]])*OutputTable[RecordedValue])),0)</f>
        <v>0</v>
      </c>
      <c r="M88" s="5">
        <f t="array" ref="M88">MAX(IF((ProjectInfoTable[ProjectName]=OutputTable[[#This Row],[ProjectName]]),(ProjectInfoTable[ProjectName]=OutputTable[[#This Row],[ProjectName]])*ProjectInfoTable[ConfidenceInterval]))</f>
        <v>0.95</v>
      </c>
      <c r="N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" s="5">
        <f t="array" ref="O88">MIN(IF((OutputTable[GroupByKey]=OutputTable[[#This Row],[GroupByKey]]),(OutputTable[GroupByKey]=OutputTable[[#This Row],[GroupByKey]])*OutputTable[RecordedValue]))</f>
        <v>0</v>
      </c>
      <c r="P88" s="5">
        <f t="array" ref="P88">MAX(IF((OutputTable[GroupByKey]=OutputTable[[#This Row],[GroupByKey]]),(OutputTable[GroupByKey]=OutputTable[[#This Row],[GroupByKey]])*OutputTable[RecordedValue]))</f>
        <v>0</v>
      </c>
    </row>
    <row r="89" spans="1:16" x14ac:dyDescent="0.25">
      <c r="A89" t="s">
        <v>67</v>
      </c>
      <c r="B89" t="s">
        <v>70</v>
      </c>
      <c r="C89">
        <v>4</v>
      </c>
      <c r="D89" t="s">
        <v>121</v>
      </c>
      <c r="E89" t="s">
        <v>111</v>
      </c>
      <c r="F89" t="s">
        <v>79</v>
      </c>
      <c r="G89">
        <v>0</v>
      </c>
      <c r="H89">
        <v>0</v>
      </c>
      <c r="I89" s="5" t="str">
        <f>OutputTable[[#This Row],[ProjectName]]&amp;OutputTable[[#This Row],[Name]]&amp;OutputTable[[#This Row],[Type]]&amp;OutputTable[[#This Row],[Source]]</f>
        <v>Unnamed Projectbatched_parts.NumberOutNumber OutEntity</v>
      </c>
      <c r="J89" s="5">
        <f t="array" ref="J89">MAX(IF((ProjectInfoTable[ProjectName]=OutputTable[[#This Row],[ProjectName]]),(ProjectInfoTable[ProjectName]=OutputTable[[#This Row],[ProjectName]])*ProjectInfoTable[NumberOfReplications]))</f>
        <v>15</v>
      </c>
      <c r="K89" s="5">
        <f t="array" ref="K89">IFERROR(AVERAGE(IF((OutputTable[GroupByKey]=OutputTable[[#This Row],[GroupByKey]]),(OutputTable[GroupByKey]=OutputTable[[#This Row],[GroupByKey]])*OutputTable[RecordedValue])),0)</f>
        <v>0</v>
      </c>
      <c r="L89" s="5">
        <f t="array" ref="L89">IFERROR(_xlfn.STDEV.S(IF((OutputTable[GroupByKey]=OutputTable[[#This Row],[GroupByKey]]),(OutputTable[GroupByKey]=OutputTable[[#This Row],[GroupByKey]])*OutputTable[RecordedValue])),0)</f>
        <v>0</v>
      </c>
      <c r="M89" s="5">
        <f t="array" ref="M89">MAX(IF((ProjectInfoTable[ProjectName]=OutputTable[[#This Row],[ProjectName]]),(ProjectInfoTable[ProjectName]=OutputTable[[#This Row],[ProjectName]])*ProjectInfoTable[ConfidenceInterval]))</f>
        <v>0.95</v>
      </c>
      <c r="N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9" s="5">
        <f t="array" ref="O89">MIN(IF((OutputTable[GroupByKey]=OutputTable[[#This Row],[GroupByKey]]),(OutputTable[GroupByKey]=OutputTable[[#This Row],[GroupByKey]])*OutputTable[RecordedValue]))</f>
        <v>0</v>
      </c>
      <c r="P89" s="5">
        <f t="array" ref="P89">MAX(IF((OutputTable[GroupByKey]=OutputTable[[#This Row],[GroupByKey]]),(OutputTable[GroupByKey]=OutputTable[[#This Row],[GroupByKey]])*OutputTable[RecordedValue]))</f>
        <v>0</v>
      </c>
    </row>
    <row r="90" spans="1:16" x14ac:dyDescent="0.25">
      <c r="A90" t="s">
        <v>67</v>
      </c>
      <c r="B90" t="s">
        <v>70</v>
      </c>
      <c r="C90">
        <v>4</v>
      </c>
      <c r="D90" t="s">
        <v>122</v>
      </c>
      <c r="E90" t="s">
        <v>114</v>
      </c>
      <c r="F90" t="s">
        <v>73</v>
      </c>
      <c r="G90">
        <v>0</v>
      </c>
      <c r="H90">
        <v>0</v>
      </c>
      <c r="I90" s="5" t="str">
        <f>OutputTable[[#This Row],[ProjectName]]&amp;OutputTable[[#This Row],[Name]]&amp;OutputTable[[#This Row],[Type]]&amp;OutputTable[[#This Row],[Source]]</f>
        <v>Unnamed Projectcleaner.NumberSeizedTotal Number SeizedResource</v>
      </c>
      <c r="J90" s="5">
        <f t="array" ref="J90">MAX(IF((ProjectInfoTable[ProjectName]=OutputTable[[#This Row],[ProjectName]]),(ProjectInfoTable[ProjectName]=OutputTable[[#This Row],[ProjectName]])*ProjectInfoTable[NumberOfReplications]))</f>
        <v>15</v>
      </c>
      <c r="K90" s="5">
        <f t="array" ref="K90">IFERROR(AVERAGE(IF((OutputTable[GroupByKey]=OutputTable[[#This Row],[GroupByKey]]),(OutputTable[GroupByKey]=OutputTable[[#This Row],[GroupByKey]])*OutputTable[RecordedValue])),0)</f>
        <v>0</v>
      </c>
      <c r="L90" s="5">
        <f t="array" ref="L90">IFERROR(_xlfn.STDEV.S(IF((OutputTable[GroupByKey]=OutputTable[[#This Row],[GroupByKey]]),(OutputTable[GroupByKey]=OutputTable[[#This Row],[GroupByKey]])*OutputTable[RecordedValue])),0)</f>
        <v>0</v>
      </c>
      <c r="M90" s="5">
        <f t="array" ref="M90">MAX(IF((ProjectInfoTable[ProjectName]=OutputTable[[#This Row],[ProjectName]]),(ProjectInfoTable[ProjectName]=OutputTable[[#This Row],[ProjectName]])*ProjectInfoTable[ConfidenceInterval]))</f>
        <v>0.95</v>
      </c>
      <c r="N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0" s="5">
        <f t="array" ref="O90">MIN(IF((OutputTable[GroupByKey]=OutputTable[[#This Row],[GroupByKey]]),(OutputTable[GroupByKey]=OutputTable[[#This Row],[GroupByKey]])*OutputTable[RecordedValue]))</f>
        <v>0</v>
      </c>
      <c r="P90" s="5">
        <f t="array" ref="P90">MAX(IF((OutputTable[GroupByKey]=OutputTable[[#This Row],[GroupByKey]]),(OutputTable[GroupByKey]=OutputTable[[#This Row],[GroupByKey]])*OutputTable[RecordedValue]))</f>
        <v>0</v>
      </c>
    </row>
    <row r="91" spans="1:16" x14ac:dyDescent="0.25">
      <c r="A91" t="s">
        <v>67</v>
      </c>
      <c r="B91" t="s">
        <v>70</v>
      </c>
      <c r="C91">
        <v>4</v>
      </c>
      <c r="D91" t="s">
        <v>123</v>
      </c>
      <c r="E91" t="s">
        <v>116</v>
      </c>
      <c r="F91" t="s">
        <v>73</v>
      </c>
      <c r="G91">
        <v>0</v>
      </c>
      <c r="H91">
        <v>0</v>
      </c>
      <c r="I91" s="5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91" s="5">
        <f t="array" ref="J91">MAX(IF((ProjectInfoTable[ProjectName]=OutputTable[[#This Row],[ProjectName]]),(ProjectInfoTable[ProjectName]=OutputTable[[#This Row],[ProjectName]])*ProjectInfoTable[NumberOfReplications]))</f>
        <v>15</v>
      </c>
      <c r="K91" s="5">
        <f t="array" ref="K91">IFERROR(AVERAGE(IF((OutputTable[GroupByKey]=OutputTable[[#This Row],[GroupByKey]]),(OutputTable[GroupByKey]=OutputTable[[#This Row],[GroupByKey]])*OutputTable[RecordedValue])),0)</f>
        <v>0</v>
      </c>
      <c r="L91" s="5">
        <f t="array" ref="L91">IFERROR(_xlfn.STDEV.S(IF((OutputTable[GroupByKey]=OutputTable[[#This Row],[GroupByKey]]),(OutputTable[GroupByKey]=OutputTable[[#This Row],[GroupByKey]])*OutputTable[RecordedValue])),0)</f>
        <v>0</v>
      </c>
      <c r="M91" s="5">
        <f t="array" ref="M91">MAX(IF((ProjectInfoTable[ProjectName]=OutputTable[[#This Row],[ProjectName]]),(ProjectInfoTable[ProjectName]=OutputTable[[#This Row],[ProjectName]])*ProjectInfoTable[ConfidenceInterval]))</f>
        <v>0.95</v>
      </c>
      <c r="N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1" s="5">
        <f t="array" ref="O91">MIN(IF((OutputTable[GroupByKey]=OutputTable[[#This Row],[GroupByKey]]),(OutputTable[GroupByKey]=OutputTable[[#This Row],[GroupByKey]])*OutputTable[RecordedValue]))</f>
        <v>0</v>
      </c>
      <c r="P91" s="5">
        <f t="array" ref="P91">MAX(IF((OutputTable[GroupByKey]=OutputTable[[#This Row],[GroupByKey]]),(OutputTable[GroupByKey]=OutputTable[[#This Row],[GroupByKey]])*OutputTable[RecordedValue]))</f>
        <v>0</v>
      </c>
    </row>
    <row r="92" spans="1:16" x14ac:dyDescent="0.25">
      <c r="A92" t="s">
        <v>67</v>
      </c>
      <c r="B92" t="s">
        <v>70</v>
      </c>
      <c r="C92">
        <v>4</v>
      </c>
      <c r="D92" t="s">
        <v>124</v>
      </c>
      <c r="E92" t="s">
        <v>114</v>
      </c>
      <c r="F92" t="s">
        <v>73</v>
      </c>
      <c r="G92">
        <v>0</v>
      </c>
      <c r="H92">
        <v>0</v>
      </c>
      <c r="I92" s="5" t="str">
        <f>OutputTable[[#This Row],[ProjectName]]&amp;OutputTable[[#This Row],[Name]]&amp;OutputTable[[#This Row],[Type]]&amp;OutputTable[[#This Row],[Source]]</f>
        <v>Unnamed Projectcutter.NumberSeizedTotal Number SeizedResource</v>
      </c>
      <c r="J92" s="5">
        <f t="array" ref="J92">MAX(IF((ProjectInfoTable[ProjectName]=OutputTable[[#This Row],[ProjectName]]),(ProjectInfoTable[ProjectName]=OutputTable[[#This Row],[ProjectName]])*ProjectInfoTable[NumberOfReplications]))</f>
        <v>15</v>
      </c>
      <c r="K92" s="5">
        <f t="array" ref="K92">IFERROR(AVERAGE(IF((OutputTable[GroupByKey]=OutputTable[[#This Row],[GroupByKey]]),(OutputTable[GroupByKey]=OutputTable[[#This Row],[GroupByKey]])*OutputTable[RecordedValue])),0)</f>
        <v>0</v>
      </c>
      <c r="L92" s="5">
        <f t="array" ref="L92">IFERROR(_xlfn.STDEV.S(IF((OutputTable[GroupByKey]=OutputTable[[#This Row],[GroupByKey]]),(OutputTable[GroupByKey]=OutputTable[[#This Row],[GroupByKey]])*OutputTable[RecordedValue])),0)</f>
        <v>0</v>
      </c>
      <c r="M92" s="5">
        <f t="array" ref="M92">MAX(IF((ProjectInfoTable[ProjectName]=OutputTable[[#This Row],[ProjectName]]),(ProjectInfoTable[ProjectName]=OutputTable[[#This Row],[ProjectName]])*ProjectInfoTable[ConfidenceInterval]))</f>
        <v>0.95</v>
      </c>
      <c r="N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2" s="5">
        <f t="array" ref="O92">MIN(IF((OutputTable[GroupByKey]=OutputTable[[#This Row],[GroupByKey]]),(OutputTable[GroupByKey]=OutputTable[[#This Row],[GroupByKey]])*OutputTable[RecordedValue]))</f>
        <v>0</v>
      </c>
      <c r="P92" s="5">
        <f t="array" ref="P92">MAX(IF((OutputTable[GroupByKey]=OutputTable[[#This Row],[GroupByKey]]),(OutputTable[GroupByKey]=OutputTable[[#This Row],[GroupByKey]])*OutputTable[RecordedValue]))</f>
        <v>0</v>
      </c>
    </row>
    <row r="93" spans="1:16" x14ac:dyDescent="0.25">
      <c r="A93" t="s">
        <v>67</v>
      </c>
      <c r="B93" t="s">
        <v>70</v>
      </c>
      <c r="C93">
        <v>4</v>
      </c>
      <c r="D93" t="s">
        <v>125</v>
      </c>
      <c r="E93" t="s">
        <v>116</v>
      </c>
      <c r="F93" t="s">
        <v>73</v>
      </c>
      <c r="G93">
        <v>0</v>
      </c>
      <c r="H93">
        <v>0</v>
      </c>
      <c r="I93" s="5" t="str">
        <f>OutputTable[[#This Row],[ProjectName]]&amp;OutputTable[[#This Row],[Name]]&amp;OutputTable[[#This Row],[Type]]&amp;OutputTable[[#This Row],[Source]]</f>
        <v>Unnamed Projectcutter.ScheduledUtilizationScheduled UtilizationResource</v>
      </c>
      <c r="J93" s="5">
        <f t="array" ref="J93">MAX(IF((ProjectInfoTable[ProjectName]=OutputTable[[#This Row],[ProjectName]]),(ProjectInfoTable[ProjectName]=OutputTable[[#This Row],[ProjectName]])*ProjectInfoTable[NumberOfReplications]))</f>
        <v>15</v>
      </c>
      <c r="K93" s="5">
        <f t="array" ref="K93">IFERROR(AVERAGE(IF((OutputTable[GroupByKey]=OutputTable[[#This Row],[GroupByKey]]),(OutputTable[GroupByKey]=OutputTable[[#This Row],[GroupByKey]])*OutputTable[RecordedValue])),0)</f>
        <v>0</v>
      </c>
      <c r="L93" s="5">
        <f t="array" ref="L93">IFERROR(_xlfn.STDEV.S(IF((OutputTable[GroupByKey]=OutputTable[[#This Row],[GroupByKey]]),(OutputTable[GroupByKey]=OutputTable[[#This Row],[GroupByKey]])*OutputTable[RecordedValue])),0)</f>
        <v>0</v>
      </c>
      <c r="M93" s="5">
        <f t="array" ref="M93">MAX(IF((ProjectInfoTable[ProjectName]=OutputTable[[#This Row],[ProjectName]]),(ProjectInfoTable[ProjectName]=OutputTable[[#This Row],[ProjectName]])*ProjectInfoTable[ConfidenceInterval]))</f>
        <v>0.95</v>
      </c>
      <c r="N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3" s="5">
        <f t="array" ref="O93">MIN(IF((OutputTable[GroupByKey]=OutputTable[[#This Row],[GroupByKey]]),(OutputTable[GroupByKey]=OutputTable[[#This Row],[GroupByKey]])*OutputTable[RecordedValue]))</f>
        <v>0</v>
      </c>
      <c r="P93" s="5">
        <f t="array" ref="P93">MAX(IF((OutputTable[GroupByKey]=OutputTable[[#This Row],[GroupByKey]]),(OutputTable[GroupByKey]=OutputTable[[#This Row],[GroupByKey]])*OutputTable[RecordedValue]))</f>
        <v>0</v>
      </c>
    </row>
    <row r="94" spans="1:16" x14ac:dyDescent="0.25">
      <c r="A94" t="s">
        <v>67</v>
      </c>
      <c r="B94" t="s">
        <v>70</v>
      </c>
      <c r="C94">
        <v>4</v>
      </c>
      <c r="D94" t="s">
        <v>126</v>
      </c>
      <c r="E94" t="s">
        <v>114</v>
      </c>
      <c r="F94" t="s">
        <v>73</v>
      </c>
      <c r="G94">
        <v>0</v>
      </c>
      <c r="H94">
        <v>0</v>
      </c>
      <c r="I94" s="5" t="str">
        <f>OutputTable[[#This Row],[ProjectName]]&amp;OutputTable[[#This Row],[Name]]&amp;OutputTable[[#This Row],[Type]]&amp;OutputTable[[#This Row],[Source]]</f>
        <v>Unnamed Projectfinalqcman.NumberSeizedTotal Number SeizedResource</v>
      </c>
      <c r="J94" s="5">
        <f t="array" ref="J94">MAX(IF((ProjectInfoTable[ProjectName]=OutputTable[[#This Row],[ProjectName]]),(ProjectInfoTable[ProjectName]=OutputTable[[#This Row],[ProjectName]])*ProjectInfoTable[NumberOfReplications]))</f>
        <v>15</v>
      </c>
      <c r="K94" s="5">
        <f t="array" ref="K94">IFERROR(AVERAGE(IF((OutputTable[GroupByKey]=OutputTable[[#This Row],[GroupByKey]]),(OutputTable[GroupByKey]=OutputTable[[#This Row],[GroupByKey]])*OutputTable[RecordedValue])),0)</f>
        <v>0</v>
      </c>
      <c r="L94" s="5">
        <f t="array" ref="L94">IFERROR(_xlfn.STDEV.S(IF((OutputTable[GroupByKey]=OutputTable[[#This Row],[GroupByKey]]),(OutputTable[GroupByKey]=OutputTable[[#This Row],[GroupByKey]])*OutputTable[RecordedValue])),0)</f>
        <v>0</v>
      </c>
      <c r="M94" s="5">
        <f t="array" ref="M94">MAX(IF((ProjectInfoTable[ProjectName]=OutputTable[[#This Row],[ProjectName]]),(ProjectInfoTable[ProjectName]=OutputTable[[#This Row],[ProjectName]])*ProjectInfoTable[ConfidenceInterval]))</f>
        <v>0.95</v>
      </c>
      <c r="N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4" s="5">
        <f t="array" ref="O94">MIN(IF((OutputTable[GroupByKey]=OutputTable[[#This Row],[GroupByKey]]),(OutputTable[GroupByKey]=OutputTable[[#This Row],[GroupByKey]])*OutputTable[RecordedValue]))</f>
        <v>0</v>
      </c>
      <c r="P94" s="5">
        <f t="array" ref="P94">MAX(IF((OutputTable[GroupByKey]=OutputTable[[#This Row],[GroupByKey]]),(OutputTable[GroupByKey]=OutputTable[[#This Row],[GroupByKey]])*OutputTable[RecordedValue]))</f>
        <v>0</v>
      </c>
    </row>
    <row r="95" spans="1:16" x14ac:dyDescent="0.25">
      <c r="A95" t="s">
        <v>67</v>
      </c>
      <c r="B95" t="s">
        <v>70</v>
      </c>
      <c r="C95">
        <v>4</v>
      </c>
      <c r="D95" t="s">
        <v>127</v>
      </c>
      <c r="E95" t="s">
        <v>116</v>
      </c>
      <c r="F95" t="s">
        <v>73</v>
      </c>
      <c r="G95">
        <v>0</v>
      </c>
      <c r="H95">
        <v>0</v>
      </c>
      <c r="I95" s="5" t="str">
        <f>OutputTable[[#This Row],[ProjectName]]&amp;OutputTable[[#This Row],[Name]]&amp;OutputTable[[#This Row],[Type]]&amp;OutputTable[[#This Row],[Source]]</f>
        <v>Unnamed Projectfinalqcman.ScheduledUtilizationScheduled UtilizationResource</v>
      </c>
      <c r="J95" s="5">
        <f t="array" ref="J95">MAX(IF((ProjectInfoTable[ProjectName]=OutputTable[[#This Row],[ProjectName]]),(ProjectInfoTable[ProjectName]=OutputTable[[#This Row],[ProjectName]])*ProjectInfoTable[NumberOfReplications]))</f>
        <v>15</v>
      </c>
      <c r="K95" s="5">
        <f t="array" ref="K95">IFERROR(AVERAGE(IF((OutputTable[GroupByKey]=OutputTable[[#This Row],[GroupByKey]]),(OutputTable[GroupByKey]=OutputTable[[#This Row],[GroupByKey]])*OutputTable[RecordedValue])),0)</f>
        <v>0</v>
      </c>
      <c r="L95" s="5">
        <f t="array" ref="L95">IFERROR(_xlfn.STDEV.S(IF((OutputTable[GroupByKey]=OutputTable[[#This Row],[GroupByKey]]),(OutputTable[GroupByKey]=OutputTable[[#This Row],[GroupByKey]])*OutputTable[RecordedValue])),0)</f>
        <v>0</v>
      </c>
      <c r="M95" s="5">
        <f t="array" ref="M95">MAX(IF((ProjectInfoTable[ProjectName]=OutputTable[[#This Row],[ProjectName]]),(ProjectInfoTable[ProjectName]=OutputTable[[#This Row],[ProjectName]])*ProjectInfoTable[ConfidenceInterval]))</f>
        <v>0.95</v>
      </c>
      <c r="N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5" s="5">
        <f t="array" ref="O95">MIN(IF((OutputTable[GroupByKey]=OutputTable[[#This Row],[GroupByKey]]),(OutputTable[GroupByKey]=OutputTable[[#This Row],[GroupByKey]])*OutputTable[RecordedValue]))</f>
        <v>0</v>
      </c>
      <c r="P95" s="5">
        <f t="array" ref="P95">MAX(IF((OutputTable[GroupByKey]=OutputTable[[#This Row],[GroupByKey]]),(OutputTable[GroupByKey]=OutputTable[[#This Row],[GroupByKey]])*OutputTable[RecordedValue]))</f>
        <v>0</v>
      </c>
    </row>
    <row r="96" spans="1:16" x14ac:dyDescent="0.25">
      <c r="A96" t="s">
        <v>67</v>
      </c>
      <c r="B96" t="s">
        <v>70</v>
      </c>
      <c r="C96">
        <v>4</v>
      </c>
      <c r="D96" t="s">
        <v>128</v>
      </c>
      <c r="E96" t="s">
        <v>114</v>
      </c>
      <c r="F96" t="s">
        <v>73</v>
      </c>
      <c r="G96">
        <v>0</v>
      </c>
      <c r="H96">
        <v>0</v>
      </c>
      <c r="I96" s="5" t="str">
        <f>OutputTable[[#This Row],[ProjectName]]&amp;OutputTable[[#This Row],[Name]]&amp;OutputTable[[#This Row],[Type]]&amp;OutputTable[[#This Row],[Source]]</f>
        <v>Unnamed Projectpaintingmachine.NumberSeizedTotal Number SeizedResource</v>
      </c>
      <c r="J96" s="5">
        <f t="array" ref="J96">MAX(IF((ProjectInfoTable[ProjectName]=OutputTable[[#This Row],[ProjectName]]),(ProjectInfoTable[ProjectName]=OutputTable[[#This Row],[ProjectName]])*ProjectInfoTable[NumberOfReplications]))</f>
        <v>15</v>
      </c>
      <c r="K96" s="5">
        <f t="array" ref="K96">IFERROR(AVERAGE(IF((OutputTable[GroupByKey]=OutputTable[[#This Row],[GroupByKey]]),(OutputTable[GroupByKey]=OutputTable[[#This Row],[GroupByKey]])*OutputTable[RecordedValue])),0)</f>
        <v>0</v>
      </c>
      <c r="L96" s="5">
        <f t="array" ref="L96">IFERROR(_xlfn.STDEV.S(IF((OutputTable[GroupByKey]=OutputTable[[#This Row],[GroupByKey]]),(OutputTable[GroupByKey]=OutputTable[[#This Row],[GroupByKey]])*OutputTable[RecordedValue])),0)</f>
        <v>0</v>
      </c>
      <c r="M96" s="5">
        <f t="array" ref="M96">MAX(IF((ProjectInfoTable[ProjectName]=OutputTable[[#This Row],[ProjectName]]),(ProjectInfoTable[ProjectName]=OutputTable[[#This Row],[ProjectName]])*ProjectInfoTable[ConfidenceInterval]))</f>
        <v>0.95</v>
      </c>
      <c r="N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6" s="5">
        <f t="array" ref="O96">MIN(IF((OutputTable[GroupByKey]=OutputTable[[#This Row],[GroupByKey]]),(OutputTable[GroupByKey]=OutputTable[[#This Row],[GroupByKey]])*OutputTable[RecordedValue]))</f>
        <v>0</v>
      </c>
      <c r="P96" s="5">
        <f t="array" ref="P96">MAX(IF((OutputTable[GroupByKey]=OutputTable[[#This Row],[GroupByKey]]),(OutputTable[GroupByKey]=OutputTable[[#This Row],[GroupByKey]])*OutputTable[RecordedValue]))</f>
        <v>0</v>
      </c>
    </row>
    <row r="97" spans="1:16" x14ac:dyDescent="0.25">
      <c r="A97" t="s">
        <v>67</v>
      </c>
      <c r="B97" t="s">
        <v>70</v>
      </c>
      <c r="C97">
        <v>4</v>
      </c>
      <c r="D97" t="s">
        <v>129</v>
      </c>
      <c r="E97" t="s">
        <v>116</v>
      </c>
      <c r="F97" t="s">
        <v>73</v>
      </c>
      <c r="G97">
        <v>0</v>
      </c>
      <c r="H97">
        <v>0</v>
      </c>
      <c r="I97" s="5" t="str">
        <f>OutputTable[[#This Row],[ProjectName]]&amp;OutputTable[[#This Row],[Name]]&amp;OutputTable[[#This Row],[Type]]&amp;OutputTable[[#This Row],[Source]]</f>
        <v>Unnamed Projectpaintingmachine.ScheduledUtilizationScheduled UtilizationResource</v>
      </c>
      <c r="J97" s="5">
        <f t="array" ref="J97">MAX(IF((ProjectInfoTable[ProjectName]=OutputTable[[#This Row],[ProjectName]]),(ProjectInfoTable[ProjectName]=OutputTable[[#This Row],[ProjectName]])*ProjectInfoTable[NumberOfReplications]))</f>
        <v>15</v>
      </c>
      <c r="K97" s="5">
        <f t="array" ref="K97">IFERROR(AVERAGE(IF((OutputTable[GroupByKey]=OutputTable[[#This Row],[GroupByKey]]),(OutputTable[GroupByKey]=OutputTable[[#This Row],[GroupByKey]])*OutputTable[RecordedValue])),0)</f>
        <v>0</v>
      </c>
      <c r="L97" s="5">
        <f t="array" ref="L97">IFERROR(_xlfn.STDEV.S(IF((OutputTable[GroupByKey]=OutputTable[[#This Row],[GroupByKey]]),(OutputTable[GroupByKey]=OutputTable[[#This Row],[GroupByKey]])*OutputTable[RecordedValue])),0)</f>
        <v>0</v>
      </c>
      <c r="M97" s="5">
        <f t="array" ref="M97">MAX(IF((ProjectInfoTable[ProjectName]=OutputTable[[#This Row],[ProjectName]]),(ProjectInfoTable[ProjectName]=OutputTable[[#This Row],[ProjectName]])*ProjectInfoTable[ConfidenceInterval]))</f>
        <v>0.95</v>
      </c>
      <c r="N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7" s="5">
        <f t="array" ref="O97">MIN(IF((OutputTable[GroupByKey]=OutputTable[[#This Row],[GroupByKey]]),(OutputTable[GroupByKey]=OutputTable[[#This Row],[GroupByKey]])*OutputTable[RecordedValue]))</f>
        <v>0</v>
      </c>
      <c r="P97" s="5">
        <f t="array" ref="P97">MAX(IF((OutputTable[GroupByKey]=OutputTable[[#This Row],[GroupByKey]]),(OutputTable[GroupByKey]=OutputTable[[#This Row],[GroupByKey]])*OutputTable[RecordedValue]))</f>
        <v>0</v>
      </c>
    </row>
    <row r="98" spans="1:16" x14ac:dyDescent="0.25">
      <c r="A98" t="s">
        <v>67</v>
      </c>
      <c r="B98" t="s">
        <v>70</v>
      </c>
      <c r="C98">
        <v>4</v>
      </c>
      <c r="D98" t="s">
        <v>130</v>
      </c>
      <c r="E98" t="s">
        <v>114</v>
      </c>
      <c r="F98" t="s">
        <v>73</v>
      </c>
      <c r="G98">
        <v>0</v>
      </c>
      <c r="H98">
        <v>0</v>
      </c>
      <c r="I98" s="5" t="str">
        <f>OutputTable[[#This Row],[ProjectName]]&amp;OutputTable[[#This Row],[Name]]&amp;OutputTable[[#This Row],[Type]]&amp;OutputTable[[#This Row],[Source]]</f>
        <v>Unnamed Projectpaintingoperator.NumberSeizedTotal Number SeizedResource</v>
      </c>
      <c r="J98" s="5">
        <f t="array" ref="J98">MAX(IF((ProjectInfoTable[ProjectName]=OutputTable[[#This Row],[ProjectName]]),(ProjectInfoTable[ProjectName]=OutputTable[[#This Row],[ProjectName]])*ProjectInfoTable[NumberOfReplications]))</f>
        <v>15</v>
      </c>
      <c r="K98" s="5">
        <f t="array" ref="K98">IFERROR(AVERAGE(IF((OutputTable[GroupByKey]=OutputTable[[#This Row],[GroupByKey]]),(OutputTable[GroupByKey]=OutputTable[[#This Row],[GroupByKey]])*OutputTable[RecordedValue])),0)</f>
        <v>0</v>
      </c>
      <c r="L98" s="5">
        <f t="array" ref="L98">IFERROR(_xlfn.STDEV.S(IF((OutputTable[GroupByKey]=OutputTable[[#This Row],[GroupByKey]]),(OutputTable[GroupByKey]=OutputTable[[#This Row],[GroupByKey]])*OutputTable[RecordedValue])),0)</f>
        <v>0</v>
      </c>
      <c r="M98" s="5">
        <f t="array" ref="M98">MAX(IF((ProjectInfoTable[ProjectName]=OutputTable[[#This Row],[ProjectName]]),(ProjectInfoTable[ProjectName]=OutputTable[[#This Row],[ProjectName]])*ProjectInfoTable[ConfidenceInterval]))</f>
        <v>0.95</v>
      </c>
      <c r="N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8" s="5">
        <f t="array" ref="O98">MIN(IF((OutputTable[GroupByKey]=OutputTable[[#This Row],[GroupByKey]]),(OutputTable[GroupByKey]=OutputTable[[#This Row],[GroupByKey]])*OutputTable[RecordedValue]))</f>
        <v>0</v>
      </c>
      <c r="P98" s="5">
        <f t="array" ref="P98">MAX(IF((OutputTable[GroupByKey]=OutputTable[[#This Row],[GroupByKey]]),(OutputTable[GroupByKey]=OutputTable[[#This Row],[GroupByKey]])*OutputTable[RecordedValue]))</f>
        <v>0</v>
      </c>
    </row>
    <row r="99" spans="1:16" x14ac:dyDescent="0.25">
      <c r="A99" t="s">
        <v>67</v>
      </c>
      <c r="B99" t="s">
        <v>70</v>
      </c>
      <c r="C99">
        <v>4</v>
      </c>
      <c r="D99" t="s">
        <v>131</v>
      </c>
      <c r="E99" t="s">
        <v>116</v>
      </c>
      <c r="F99" t="s">
        <v>73</v>
      </c>
      <c r="G99">
        <v>0</v>
      </c>
      <c r="H99">
        <v>0</v>
      </c>
      <c r="I99" s="5" t="str">
        <f>OutputTable[[#This Row],[ProjectName]]&amp;OutputTable[[#This Row],[Name]]&amp;OutputTable[[#This Row],[Type]]&amp;OutputTable[[#This Row],[Source]]</f>
        <v>Unnamed Projectpaintingoperator.ScheduledUtilizationScheduled UtilizationResource</v>
      </c>
      <c r="J99" s="5">
        <f t="array" ref="J99">MAX(IF((ProjectInfoTable[ProjectName]=OutputTable[[#This Row],[ProjectName]]),(ProjectInfoTable[ProjectName]=OutputTable[[#This Row],[ProjectName]])*ProjectInfoTable[NumberOfReplications]))</f>
        <v>15</v>
      </c>
      <c r="K99" s="5">
        <f t="array" ref="K99">IFERROR(AVERAGE(IF((OutputTable[GroupByKey]=OutputTable[[#This Row],[GroupByKey]]),(OutputTable[GroupByKey]=OutputTable[[#This Row],[GroupByKey]])*OutputTable[RecordedValue])),0)</f>
        <v>0</v>
      </c>
      <c r="L99" s="5">
        <f t="array" ref="L99">IFERROR(_xlfn.STDEV.S(IF((OutputTable[GroupByKey]=OutputTable[[#This Row],[GroupByKey]]),(OutputTable[GroupByKey]=OutputTable[[#This Row],[GroupByKey]])*OutputTable[RecordedValue])),0)</f>
        <v>0</v>
      </c>
      <c r="M99" s="5">
        <f t="array" ref="M99">MAX(IF((ProjectInfoTable[ProjectName]=OutputTable[[#This Row],[ProjectName]]),(ProjectInfoTable[ProjectName]=OutputTable[[#This Row],[ProjectName]])*ProjectInfoTable[ConfidenceInterval]))</f>
        <v>0.95</v>
      </c>
      <c r="N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9" s="5">
        <f t="array" ref="O99">MIN(IF((OutputTable[GroupByKey]=OutputTable[[#This Row],[GroupByKey]]),(OutputTable[GroupByKey]=OutputTable[[#This Row],[GroupByKey]])*OutputTable[RecordedValue]))</f>
        <v>0</v>
      </c>
      <c r="P99" s="5">
        <f t="array" ref="P99">MAX(IF((OutputTable[GroupByKey]=OutputTable[[#This Row],[GroupByKey]]),(OutputTable[GroupByKey]=OutputTable[[#This Row],[GroupByKey]])*OutputTable[RecordedValue]))</f>
        <v>0</v>
      </c>
    </row>
    <row r="100" spans="1:16" x14ac:dyDescent="0.25">
      <c r="A100" t="s">
        <v>67</v>
      </c>
      <c r="B100" t="s">
        <v>70</v>
      </c>
      <c r="C100">
        <v>4</v>
      </c>
      <c r="D100" t="s">
        <v>132</v>
      </c>
      <c r="E100" t="s">
        <v>114</v>
      </c>
      <c r="F100" t="s">
        <v>73</v>
      </c>
      <c r="G100">
        <v>0</v>
      </c>
      <c r="H100">
        <v>0</v>
      </c>
      <c r="I100" s="5" t="str">
        <f>OutputTable[[#This Row],[ProjectName]]&amp;OutputTable[[#This Row],[Name]]&amp;OutputTable[[#This Row],[Type]]&amp;OutputTable[[#This Row],[Source]]</f>
        <v>Unnamed Projectsandblastmachine.NumberSeizedTotal Number SeizedResource</v>
      </c>
      <c r="J100" s="5">
        <f t="array" ref="J100">MAX(IF((ProjectInfoTable[ProjectName]=OutputTable[[#This Row],[ProjectName]]),(ProjectInfoTable[ProjectName]=OutputTable[[#This Row],[ProjectName]])*ProjectInfoTable[NumberOfReplications]))</f>
        <v>15</v>
      </c>
      <c r="K100" s="5">
        <f t="array" ref="K100">IFERROR(AVERAGE(IF((OutputTable[GroupByKey]=OutputTable[[#This Row],[GroupByKey]]),(OutputTable[GroupByKey]=OutputTable[[#This Row],[GroupByKey]])*OutputTable[RecordedValue])),0)</f>
        <v>0</v>
      </c>
      <c r="L100" s="5">
        <f t="array" ref="L100">IFERROR(_xlfn.STDEV.S(IF((OutputTable[GroupByKey]=OutputTable[[#This Row],[GroupByKey]]),(OutputTable[GroupByKey]=OutputTable[[#This Row],[GroupByKey]])*OutputTable[RecordedValue])),0)</f>
        <v>0</v>
      </c>
      <c r="M100" s="5">
        <f t="array" ref="M100">MAX(IF((ProjectInfoTable[ProjectName]=OutputTable[[#This Row],[ProjectName]]),(ProjectInfoTable[ProjectName]=OutputTable[[#This Row],[ProjectName]])*ProjectInfoTable[ConfidenceInterval]))</f>
        <v>0.95</v>
      </c>
      <c r="N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0" s="5">
        <f t="array" ref="O100">MIN(IF((OutputTable[GroupByKey]=OutputTable[[#This Row],[GroupByKey]]),(OutputTable[GroupByKey]=OutputTable[[#This Row],[GroupByKey]])*OutputTable[RecordedValue]))</f>
        <v>0</v>
      </c>
      <c r="P100" s="5">
        <f t="array" ref="P100">MAX(IF((OutputTable[GroupByKey]=OutputTable[[#This Row],[GroupByKey]]),(OutputTable[GroupByKey]=OutputTable[[#This Row],[GroupByKey]])*OutputTable[RecordedValue]))</f>
        <v>0</v>
      </c>
    </row>
    <row r="101" spans="1:16" x14ac:dyDescent="0.25">
      <c r="A101" t="s">
        <v>67</v>
      </c>
      <c r="B101" t="s">
        <v>70</v>
      </c>
      <c r="C101">
        <v>4</v>
      </c>
      <c r="D101" t="s">
        <v>133</v>
      </c>
      <c r="E101" t="s">
        <v>116</v>
      </c>
      <c r="F101" t="s">
        <v>73</v>
      </c>
      <c r="G101">
        <v>0</v>
      </c>
      <c r="H101">
        <v>0</v>
      </c>
      <c r="I101" s="5" t="str">
        <f>OutputTable[[#This Row],[ProjectName]]&amp;OutputTable[[#This Row],[Name]]&amp;OutputTable[[#This Row],[Type]]&amp;OutputTable[[#This Row],[Source]]</f>
        <v>Unnamed Projectsandblastmachine.ScheduledUtilizationScheduled UtilizationResource</v>
      </c>
      <c r="J101" s="5">
        <f t="array" ref="J101">MAX(IF((ProjectInfoTable[ProjectName]=OutputTable[[#This Row],[ProjectName]]),(ProjectInfoTable[ProjectName]=OutputTable[[#This Row],[ProjectName]])*ProjectInfoTable[NumberOfReplications]))</f>
        <v>15</v>
      </c>
      <c r="K101" s="5">
        <f t="array" ref="K101">IFERROR(AVERAGE(IF((OutputTable[GroupByKey]=OutputTable[[#This Row],[GroupByKey]]),(OutputTable[GroupByKey]=OutputTable[[#This Row],[GroupByKey]])*OutputTable[RecordedValue])),0)</f>
        <v>0</v>
      </c>
      <c r="L101" s="5">
        <f t="array" ref="L101">IFERROR(_xlfn.STDEV.S(IF((OutputTable[GroupByKey]=OutputTable[[#This Row],[GroupByKey]]),(OutputTable[GroupByKey]=OutputTable[[#This Row],[GroupByKey]])*OutputTable[RecordedValue])),0)</f>
        <v>0</v>
      </c>
      <c r="M101" s="5">
        <f t="array" ref="M101">MAX(IF((ProjectInfoTable[ProjectName]=OutputTable[[#This Row],[ProjectName]]),(ProjectInfoTable[ProjectName]=OutputTable[[#This Row],[ProjectName]])*ProjectInfoTable[ConfidenceInterval]))</f>
        <v>0.95</v>
      </c>
      <c r="N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1" s="5">
        <f t="array" ref="O101">MIN(IF((OutputTable[GroupByKey]=OutputTable[[#This Row],[GroupByKey]]),(OutputTable[GroupByKey]=OutputTable[[#This Row],[GroupByKey]])*OutputTable[RecordedValue]))</f>
        <v>0</v>
      </c>
      <c r="P101" s="5">
        <f t="array" ref="P101">MAX(IF((OutputTable[GroupByKey]=OutputTable[[#This Row],[GroupByKey]]),(OutputTable[GroupByKey]=OutputTable[[#This Row],[GroupByKey]])*OutputTable[RecordedValue]))</f>
        <v>0</v>
      </c>
    </row>
    <row r="102" spans="1:16" x14ac:dyDescent="0.25">
      <c r="A102" t="s">
        <v>67</v>
      </c>
      <c r="B102" t="s">
        <v>70</v>
      </c>
      <c r="C102">
        <v>4</v>
      </c>
      <c r="D102" t="s">
        <v>134</v>
      </c>
      <c r="E102" t="s">
        <v>114</v>
      </c>
      <c r="F102" t="s">
        <v>73</v>
      </c>
      <c r="G102">
        <v>0</v>
      </c>
      <c r="H102">
        <v>0</v>
      </c>
      <c r="I102" s="5" t="str">
        <f>OutputTable[[#This Row],[ProjectName]]&amp;OutputTable[[#This Row],[Name]]&amp;OutputTable[[#This Row],[Type]]&amp;OutputTable[[#This Row],[Source]]</f>
        <v>Unnamed Projectsandblastoperator.NumberSeizedTotal Number SeizedResource</v>
      </c>
      <c r="J102" s="5">
        <f t="array" ref="J102">MAX(IF((ProjectInfoTable[ProjectName]=OutputTable[[#This Row],[ProjectName]]),(ProjectInfoTable[ProjectName]=OutputTable[[#This Row],[ProjectName]])*ProjectInfoTable[NumberOfReplications]))</f>
        <v>15</v>
      </c>
      <c r="K102" s="5">
        <f t="array" ref="K102">IFERROR(AVERAGE(IF((OutputTable[GroupByKey]=OutputTable[[#This Row],[GroupByKey]]),(OutputTable[GroupByKey]=OutputTable[[#This Row],[GroupByKey]])*OutputTable[RecordedValue])),0)</f>
        <v>0</v>
      </c>
      <c r="L102" s="5">
        <f t="array" ref="L102">IFERROR(_xlfn.STDEV.S(IF((OutputTable[GroupByKey]=OutputTable[[#This Row],[GroupByKey]]),(OutputTable[GroupByKey]=OutputTable[[#This Row],[GroupByKey]])*OutputTable[RecordedValue])),0)</f>
        <v>0</v>
      </c>
      <c r="M102" s="5">
        <f t="array" ref="M102">MAX(IF((ProjectInfoTable[ProjectName]=OutputTable[[#This Row],[ProjectName]]),(ProjectInfoTable[ProjectName]=OutputTable[[#This Row],[ProjectName]])*ProjectInfoTable[ConfidenceInterval]))</f>
        <v>0.95</v>
      </c>
      <c r="N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2" s="5">
        <f t="array" ref="O102">MIN(IF((OutputTable[GroupByKey]=OutputTable[[#This Row],[GroupByKey]]),(OutputTable[GroupByKey]=OutputTable[[#This Row],[GroupByKey]])*OutputTable[RecordedValue]))</f>
        <v>0</v>
      </c>
      <c r="P102" s="5">
        <f t="array" ref="P102">MAX(IF((OutputTable[GroupByKey]=OutputTable[[#This Row],[GroupByKey]]),(OutputTable[GroupByKey]=OutputTable[[#This Row],[GroupByKey]])*OutputTable[RecordedValue]))</f>
        <v>0</v>
      </c>
    </row>
    <row r="103" spans="1:16" x14ac:dyDescent="0.25">
      <c r="A103" t="s">
        <v>67</v>
      </c>
      <c r="B103" t="s">
        <v>70</v>
      </c>
      <c r="C103">
        <v>4</v>
      </c>
      <c r="D103" t="s">
        <v>135</v>
      </c>
      <c r="E103" t="s">
        <v>116</v>
      </c>
      <c r="F103" t="s">
        <v>73</v>
      </c>
      <c r="G103">
        <v>0</v>
      </c>
      <c r="H103">
        <v>0</v>
      </c>
      <c r="I103" s="5" t="str">
        <f>OutputTable[[#This Row],[ProjectName]]&amp;OutputTable[[#This Row],[Name]]&amp;OutputTable[[#This Row],[Type]]&amp;OutputTable[[#This Row],[Source]]</f>
        <v>Unnamed Projectsandblastoperator.ScheduledUtilizationScheduled UtilizationResource</v>
      </c>
      <c r="J103" s="5">
        <f t="array" ref="J103">MAX(IF((ProjectInfoTable[ProjectName]=OutputTable[[#This Row],[ProjectName]]),(ProjectInfoTable[ProjectName]=OutputTable[[#This Row],[ProjectName]])*ProjectInfoTable[NumberOfReplications]))</f>
        <v>15</v>
      </c>
      <c r="K103" s="5">
        <f t="array" ref="K103">IFERROR(AVERAGE(IF((OutputTable[GroupByKey]=OutputTable[[#This Row],[GroupByKey]]),(OutputTable[GroupByKey]=OutputTable[[#This Row],[GroupByKey]])*OutputTable[RecordedValue])),0)</f>
        <v>0</v>
      </c>
      <c r="L103" s="5">
        <f t="array" ref="L103">IFERROR(_xlfn.STDEV.S(IF((OutputTable[GroupByKey]=OutputTable[[#This Row],[GroupByKey]]),(OutputTable[GroupByKey]=OutputTable[[#This Row],[GroupByKey]])*OutputTable[RecordedValue])),0)</f>
        <v>0</v>
      </c>
      <c r="M103" s="5">
        <f t="array" ref="M103">MAX(IF((ProjectInfoTable[ProjectName]=OutputTable[[#This Row],[ProjectName]]),(ProjectInfoTable[ProjectName]=OutputTable[[#This Row],[ProjectName]])*ProjectInfoTable[ConfidenceInterval]))</f>
        <v>0.95</v>
      </c>
      <c r="N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3" s="5">
        <f t="array" ref="O103">MIN(IF((OutputTable[GroupByKey]=OutputTable[[#This Row],[GroupByKey]]),(OutputTable[GroupByKey]=OutputTable[[#This Row],[GroupByKey]])*OutputTable[RecordedValue]))</f>
        <v>0</v>
      </c>
      <c r="P103" s="5">
        <f t="array" ref="P103">MAX(IF((OutputTable[GroupByKey]=OutputTable[[#This Row],[GroupByKey]]),(OutputTable[GroupByKey]=OutputTable[[#This Row],[GroupByKey]])*OutputTable[RecordedValue]))</f>
        <v>0</v>
      </c>
    </row>
    <row r="104" spans="1:16" x14ac:dyDescent="0.25">
      <c r="A104" t="s">
        <v>67</v>
      </c>
      <c r="B104" t="s">
        <v>70</v>
      </c>
      <c r="C104">
        <v>4</v>
      </c>
      <c r="D104" t="s">
        <v>136</v>
      </c>
      <c r="E104" t="s">
        <v>120</v>
      </c>
      <c r="F104" t="s">
        <v>79</v>
      </c>
      <c r="G104">
        <v>0</v>
      </c>
      <c r="H104">
        <v>0</v>
      </c>
      <c r="I104" s="5" t="str">
        <f>OutputTable[[#This Row],[ProjectName]]&amp;OutputTable[[#This Row],[Name]]&amp;OutputTable[[#This Row],[Type]]&amp;OutputTable[[#This Row],[Source]]</f>
        <v>Unnamed Projectsteelsheet.NumberInNumber InEntity</v>
      </c>
      <c r="J104" s="5">
        <f t="array" ref="J104">MAX(IF((ProjectInfoTable[ProjectName]=OutputTable[[#This Row],[ProjectName]]),(ProjectInfoTable[ProjectName]=OutputTable[[#This Row],[ProjectName]])*ProjectInfoTable[NumberOfReplications]))</f>
        <v>15</v>
      </c>
      <c r="K104" s="5">
        <f t="array" ref="K104">IFERROR(AVERAGE(IF((OutputTable[GroupByKey]=OutputTable[[#This Row],[GroupByKey]]),(OutputTable[GroupByKey]=OutputTable[[#This Row],[GroupByKey]])*OutputTable[RecordedValue])),0)</f>
        <v>0</v>
      </c>
      <c r="L104" s="5">
        <f t="array" ref="L104">IFERROR(_xlfn.STDEV.S(IF((OutputTable[GroupByKey]=OutputTable[[#This Row],[GroupByKey]]),(OutputTable[GroupByKey]=OutputTable[[#This Row],[GroupByKey]])*OutputTable[RecordedValue])),0)</f>
        <v>0</v>
      </c>
      <c r="M104" s="5">
        <f t="array" ref="M104">MAX(IF((ProjectInfoTable[ProjectName]=OutputTable[[#This Row],[ProjectName]]),(ProjectInfoTable[ProjectName]=OutputTable[[#This Row],[ProjectName]])*ProjectInfoTable[ConfidenceInterval]))</f>
        <v>0.95</v>
      </c>
      <c r="N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4" s="5">
        <f t="array" ref="O104">MIN(IF((OutputTable[GroupByKey]=OutputTable[[#This Row],[GroupByKey]]),(OutputTable[GroupByKey]=OutputTable[[#This Row],[GroupByKey]])*OutputTable[RecordedValue]))</f>
        <v>0</v>
      </c>
      <c r="P104" s="5">
        <f t="array" ref="P104">MAX(IF((OutputTable[GroupByKey]=OutputTable[[#This Row],[GroupByKey]]),(OutputTable[GroupByKey]=OutputTable[[#This Row],[GroupByKey]])*OutputTable[RecordedValue]))</f>
        <v>0</v>
      </c>
    </row>
    <row r="105" spans="1:16" x14ac:dyDescent="0.25">
      <c r="A105" t="s">
        <v>67</v>
      </c>
      <c r="B105" t="s">
        <v>70</v>
      </c>
      <c r="C105">
        <v>4</v>
      </c>
      <c r="D105" t="s">
        <v>137</v>
      </c>
      <c r="E105" t="s">
        <v>111</v>
      </c>
      <c r="F105" t="s">
        <v>79</v>
      </c>
      <c r="G105">
        <v>0</v>
      </c>
      <c r="H105">
        <v>0</v>
      </c>
      <c r="I105" s="5" t="str">
        <f>OutputTable[[#This Row],[ProjectName]]&amp;OutputTable[[#This Row],[Name]]&amp;OutputTable[[#This Row],[Type]]&amp;OutputTable[[#This Row],[Source]]</f>
        <v>Unnamed Projectsteelsheet.NumberOutNumber OutEntity</v>
      </c>
      <c r="J105" s="5">
        <f t="array" ref="J105">MAX(IF((ProjectInfoTable[ProjectName]=OutputTable[[#This Row],[ProjectName]]),(ProjectInfoTable[ProjectName]=OutputTable[[#This Row],[ProjectName]])*ProjectInfoTable[NumberOfReplications]))</f>
        <v>15</v>
      </c>
      <c r="K105" s="5">
        <f t="array" ref="K105">IFERROR(AVERAGE(IF((OutputTable[GroupByKey]=OutputTable[[#This Row],[GroupByKey]]),(OutputTable[GroupByKey]=OutputTable[[#This Row],[GroupByKey]])*OutputTable[RecordedValue])),0)</f>
        <v>0</v>
      </c>
      <c r="L105" s="5">
        <f t="array" ref="L105">IFERROR(_xlfn.STDEV.S(IF((OutputTable[GroupByKey]=OutputTable[[#This Row],[GroupByKey]]),(OutputTable[GroupByKey]=OutputTable[[#This Row],[GroupByKey]])*OutputTable[RecordedValue])),0)</f>
        <v>0</v>
      </c>
      <c r="M105" s="5">
        <f t="array" ref="M105">MAX(IF((ProjectInfoTable[ProjectName]=OutputTable[[#This Row],[ProjectName]]),(ProjectInfoTable[ProjectName]=OutputTable[[#This Row],[ProjectName]])*ProjectInfoTable[ConfidenceInterval]))</f>
        <v>0.95</v>
      </c>
      <c r="N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5" s="5">
        <f t="array" ref="O105">MIN(IF((OutputTable[GroupByKey]=OutputTable[[#This Row],[GroupByKey]]),(OutputTable[GroupByKey]=OutputTable[[#This Row],[GroupByKey]])*OutputTable[RecordedValue]))</f>
        <v>0</v>
      </c>
      <c r="P105" s="5">
        <f t="array" ref="P105">MAX(IF((OutputTable[GroupByKey]=OutputTable[[#This Row],[GroupByKey]]),(OutputTable[GroupByKey]=OutputTable[[#This Row],[GroupByKey]])*OutputTable[RecordedValue]))</f>
        <v>0</v>
      </c>
    </row>
    <row r="106" spans="1:16" x14ac:dyDescent="0.25">
      <c r="A106" t="s">
        <v>67</v>
      </c>
      <c r="B106" t="s">
        <v>70</v>
      </c>
      <c r="C106">
        <v>4</v>
      </c>
      <c r="D106" t="s">
        <v>138</v>
      </c>
      <c r="E106" t="s">
        <v>114</v>
      </c>
      <c r="F106" t="s">
        <v>73</v>
      </c>
      <c r="G106">
        <v>0</v>
      </c>
      <c r="H106">
        <v>0</v>
      </c>
      <c r="I106" s="5" t="str">
        <f>OutputTable[[#This Row],[ProjectName]]&amp;OutputTable[[#This Row],[Name]]&amp;OutputTable[[#This Row],[Type]]&amp;OutputTable[[#This Row],[Source]]</f>
        <v>Unnamed Projectwelder.NumberSeizedTotal Number SeizedResource</v>
      </c>
      <c r="J106" s="5">
        <f t="array" ref="J106">MAX(IF((ProjectInfoTable[ProjectName]=OutputTable[[#This Row],[ProjectName]]),(ProjectInfoTable[ProjectName]=OutputTable[[#This Row],[ProjectName]])*ProjectInfoTable[NumberOfReplications]))</f>
        <v>15</v>
      </c>
      <c r="K106" s="5">
        <f t="array" ref="K106">IFERROR(AVERAGE(IF((OutputTable[GroupByKey]=OutputTable[[#This Row],[GroupByKey]]),(OutputTable[GroupByKey]=OutputTable[[#This Row],[GroupByKey]])*OutputTable[RecordedValue])),0)</f>
        <v>0</v>
      </c>
      <c r="L106" s="5">
        <f t="array" ref="L106">IFERROR(_xlfn.STDEV.S(IF((OutputTable[GroupByKey]=OutputTable[[#This Row],[GroupByKey]]),(OutputTable[GroupByKey]=OutputTable[[#This Row],[GroupByKey]])*OutputTable[RecordedValue])),0)</f>
        <v>0</v>
      </c>
      <c r="M106" s="5">
        <f t="array" ref="M106">MAX(IF((ProjectInfoTable[ProjectName]=OutputTable[[#This Row],[ProjectName]]),(ProjectInfoTable[ProjectName]=OutputTable[[#This Row],[ProjectName]])*ProjectInfoTable[ConfidenceInterval]))</f>
        <v>0.95</v>
      </c>
      <c r="N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6" s="5">
        <f t="array" ref="O106">MIN(IF((OutputTable[GroupByKey]=OutputTable[[#This Row],[GroupByKey]]),(OutputTable[GroupByKey]=OutputTable[[#This Row],[GroupByKey]])*OutputTable[RecordedValue]))</f>
        <v>0</v>
      </c>
      <c r="P106" s="5">
        <f t="array" ref="P106">MAX(IF((OutputTable[GroupByKey]=OutputTable[[#This Row],[GroupByKey]]),(OutputTable[GroupByKey]=OutputTable[[#This Row],[GroupByKey]])*OutputTable[RecordedValue]))</f>
        <v>0</v>
      </c>
    </row>
    <row r="107" spans="1:16" x14ac:dyDescent="0.25">
      <c r="A107" t="s">
        <v>67</v>
      </c>
      <c r="B107" t="s">
        <v>70</v>
      </c>
      <c r="C107">
        <v>4</v>
      </c>
      <c r="D107" t="s">
        <v>139</v>
      </c>
      <c r="E107" t="s">
        <v>116</v>
      </c>
      <c r="F107" t="s">
        <v>73</v>
      </c>
      <c r="G107">
        <v>0</v>
      </c>
      <c r="H107">
        <v>0</v>
      </c>
      <c r="I107" s="5" t="str">
        <f>OutputTable[[#This Row],[ProjectName]]&amp;OutputTable[[#This Row],[Name]]&amp;OutputTable[[#This Row],[Type]]&amp;OutputTable[[#This Row],[Source]]</f>
        <v>Unnamed Projectwelder.ScheduledUtilizationScheduled UtilizationResource</v>
      </c>
      <c r="J107" s="5">
        <f t="array" ref="J107">MAX(IF((ProjectInfoTable[ProjectName]=OutputTable[[#This Row],[ProjectName]]),(ProjectInfoTable[ProjectName]=OutputTable[[#This Row],[ProjectName]])*ProjectInfoTable[NumberOfReplications]))</f>
        <v>15</v>
      </c>
      <c r="K107" s="5">
        <f t="array" ref="K107">IFERROR(AVERAGE(IF((OutputTable[GroupByKey]=OutputTable[[#This Row],[GroupByKey]]),(OutputTable[GroupByKey]=OutputTable[[#This Row],[GroupByKey]])*OutputTable[RecordedValue])),0)</f>
        <v>0</v>
      </c>
      <c r="L107" s="5">
        <f t="array" ref="L107">IFERROR(_xlfn.STDEV.S(IF((OutputTable[GroupByKey]=OutputTable[[#This Row],[GroupByKey]]),(OutputTable[GroupByKey]=OutputTable[[#This Row],[GroupByKey]])*OutputTable[RecordedValue])),0)</f>
        <v>0</v>
      </c>
      <c r="M107" s="5">
        <f t="array" ref="M107">MAX(IF((ProjectInfoTable[ProjectName]=OutputTable[[#This Row],[ProjectName]]),(ProjectInfoTable[ProjectName]=OutputTable[[#This Row],[ProjectName]])*ProjectInfoTable[ConfidenceInterval]))</f>
        <v>0.95</v>
      </c>
      <c r="N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7" s="5">
        <f t="array" ref="O107">MIN(IF((OutputTable[GroupByKey]=OutputTable[[#This Row],[GroupByKey]]),(OutputTable[GroupByKey]=OutputTable[[#This Row],[GroupByKey]])*OutputTable[RecordedValue]))</f>
        <v>0</v>
      </c>
      <c r="P107" s="5">
        <f t="array" ref="P107">MAX(IF((OutputTable[GroupByKey]=OutputTable[[#This Row],[GroupByKey]]),(OutputTable[GroupByKey]=OutputTable[[#This Row],[GroupByKey]])*OutputTable[RecordedValue]))</f>
        <v>0</v>
      </c>
    </row>
    <row r="108" spans="1:16" x14ac:dyDescent="0.25">
      <c r="A108" t="s">
        <v>67</v>
      </c>
      <c r="B108" t="s">
        <v>70</v>
      </c>
      <c r="C108">
        <v>4</v>
      </c>
      <c r="D108" t="s">
        <v>140</v>
      </c>
      <c r="E108" t="s">
        <v>114</v>
      </c>
      <c r="F108" t="s">
        <v>73</v>
      </c>
      <c r="G108">
        <v>0</v>
      </c>
      <c r="H108">
        <v>0</v>
      </c>
      <c r="I108" s="5" t="str">
        <f>OutputTable[[#This Row],[ProjectName]]&amp;OutputTable[[#This Row],[Name]]&amp;OutputTable[[#This Row],[Type]]&amp;OutputTable[[#This Row],[Source]]</f>
        <v>Unnamed Projectweldingqcworker.NumberSeizedTotal Number SeizedResource</v>
      </c>
      <c r="J108" s="5">
        <f t="array" ref="J108">MAX(IF((ProjectInfoTable[ProjectName]=OutputTable[[#This Row],[ProjectName]]),(ProjectInfoTable[ProjectName]=OutputTable[[#This Row],[ProjectName]])*ProjectInfoTable[NumberOfReplications]))</f>
        <v>15</v>
      </c>
      <c r="K108" s="5">
        <f t="array" ref="K108">IFERROR(AVERAGE(IF((OutputTable[GroupByKey]=OutputTable[[#This Row],[GroupByKey]]),(OutputTable[GroupByKey]=OutputTable[[#This Row],[GroupByKey]])*OutputTable[RecordedValue])),0)</f>
        <v>0</v>
      </c>
      <c r="L108" s="5">
        <f t="array" ref="L108">IFERROR(_xlfn.STDEV.S(IF((OutputTable[GroupByKey]=OutputTable[[#This Row],[GroupByKey]]),(OutputTable[GroupByKey]=OutputTable[[#This Row],[GroupByKey]])*OutputTable[RecordedValue])),0)</f>
        <v>0</v>
      </c>
      <c r="M108" s="5">
        <f t="array" ref="M108">MAX(IF((ProjectInfoTable[ProjectName]=OutputTable[[#This Row],[ProjectName]]),(ProjectInfoTable[ProjectName]=OutputTable[[#This Row],[ProjectName]])*ProjectInfoTable[ConfidenceInterval]))</f>
        <v>0.95</v>
      </c>
      <c r="N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8" s="5">
        <f t="array" ref="O108">MIN(IF((OutputTable[GroupByKey]=OutputTable[[#This Row],[GroupByKey]]),(OutputTable[GroupByKey]=OutputTable[[#This Row],[GroupByKey]])*OutputTable[RecordedValue]))</f>
        <v>0</v>
      </c>
      <c r="P108" s="5">
        <f t="array" ref="P108">MAX(IF((OutputTable[GroupByKey]=OutputTable[[#This Row],[GroupByKey]]),(OutputTable[GroupByKey]=OutputTable[[#This Row],[GroupByKey]])*OutputTable[RecordedValue]))</f>
        <v>0</v>
      </c>
    </row>
    <row r="109" spans="1:16" x14ac:dyDescent="0.25">
      <c r="A109" t="s">
        <v>67</v>
      </c>
      <c r="B109" t="s">
        <v>70</v>
      </c>
      <c r="C109">
        <v>4</v>
      </c>
      <c r="D109" t="s">
        <v>141</v>
      </c>
      <c r="E109" t="s">
        <v>116</v>
      </c>
      <c r="F109" t="s">
        <v>73</v>
      </c>
      <c r="G109">
        <v>0</v>
      </c>
      <c r="H109">
        <v>0</v>
      </c>
      <c r="I109" s="5" t="str">
        <f>OutputTable[[#This Row],[ProjectName]]&amp;OutputTable[[#This Row],[Name]]&amp;OutputTable[[#This Row],[Type]]&amp;OutputTable[[#This Row],[Source]]</f>
        <v>Unnamed Projectweldingqcworker.ScheduledUtilizationScheduled UtilizationResource</v>
      </c>
      <c r="J109" s="5">
        <f t="array" ref="J109">MAX(IF((ProjectInfoTable[ProjectName]=OutputTable[[#This Row],[ProjectName]]),(ProjectInfoTable[ProjectName]=OutputTable[[#This Row],[ProjectName]])*ProjectInfoTable[NumberOfReplications]))</f>
        <v>15</v>
      </c>
      <c r="K109" s="5">
        <f t="array" ref="K109">IFERROR(AVERAGE(IF((OutputTable[GroupByKey]=OutputTable[[#This Row],[GroupByKey]]),(OutputTable[GroupByKey]=OutputTable[[#This Row],[GroupByKey]])*OutputTable[RecordedValue])),0)</f>
        <v>0</v>
      </c>
      <c r="L109" s="5">
        <f t="array" ref="L109">IFERROR(_xlfn.STDEV.S(IF((OutputTable[GroupByKey]=OutputTable[[#This Row],[GroupByKey]]),(OutputTable[GroupByKey]=OutputTable[[#This Row],[GroupByKey]])*OutputTable[RecordedValue])),0)</f>
        <v>0</v>
      </c>
      <c r="M109" s="5">
        <f t="array" ref="M109">MAX(IF((ProjectInfoTable[ProjectName]=OutputTable[[#This Row],[ProjectName]]),(ProjectInfoTable[ProjectName]=OutputTable[[#This Row],[ProjectName]])*ProjectInfoTable[ConfidenceInterval]))</f>
        <v>0.95</v>
      </c>
      <c r="N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" s="5">
        <f t="array" ref="O109">MIN(IF((OutputTable[GroupByKey]=OutputTable[[#This Row],[GroupByKey]]),(OutputTable[GroupByKey]=OutputTable[[#This Row],[GroupByKey]])*OutputTable[RecordedValue]))</f>
        <v>0</v>
      </c>
      <c r="P109" s="5">
        <f t="array" ref="P109">MAX(IF((OutputTable[GroupByKey]=OutputTable[[#This Row],[GroupByKey]]),(OutputTable[GroupByKey]=OutputTable[[#This Row],[GroupByKey]])*OutputTable[RecordedValue]))</f>
        <v>0</v>
      </c>
    </row>
    <row r="110" spans="1:16" x14ac:dyDescent="0.25">
      <c r="A110" t="s">
        <v>67</v>
      </c>
      <c r="B110" t="s">
        <v>70</v>
      </c>
      <c r="C110">
        <v>5</v>
      </c>
      <c r="D110" t="s">
        <v>110</v>
      </c>
      <c r="E110" t="s">
        <v>111</v>
      </c>
      <c r="F110" t="s">
        <v>112</v>
      </c>
      <c r="G110">
        <v>0</v>
      </c>
      <c r="H110">
        <v>0</v>
      </c>
      <c r="I110" s="5" t="str">
        <f>OutputTable[[#This Row],[ProjectName]]&amp;OutputTable[[#This Row],[Name]]&amp;OutputTable[[#This Row],[Type]]&amp;OutputTable[[#This Row],[Source]]</f>
        <v>Unnamed ProjectSystem.NumberOutNumber OutSystem</v>
      </c>
      <c r="J110" s="5">
        <f t="array" ref="J110">MAX(IF((ProjectInfoTable[ProjectName]=OutputTable[[#This Row],[ProjectName]]),(ProjectInfoTable[ProjectName]=OutputTable[[#This Row],[ProjectName]])*ProjectInfoTable[NumberOfReplications]))</f>
        <v>15</v>
      </c>
      <c r="K110" s="5">
        <f t="array" ref="K110">IFERROR(AVERAGE(IF((OutputTable[GroupByKey]=OutputTable[[#This Row],[GroupByKey]]),(OutputTable[GroupByKey]=OutputTable[[#This Row],[GroupByKey]])*OutputTable[RecordedValue])),0)</f>
        <v>0</v>
      </c>
      <c r="L110" s="5">
        <f t="array" ref="L110">IFERROR(_xlfn.STDEV.S(IF((OutputTable[GroupByKey]=OutputTable[[#This Row],[GroupByKey]]),(OutputTable[GroupByKey]=OutputTable[[#This Row],[GroupByKey]])*OutputTable[RecordedValue])),0)</f>
        <v>0</v>
      </c>
      <c r="M110" s="5">
        <f t="array" ref="M110">MAX(IF((ProjectInfoTable[ProjectName]=OutputTable[[#This Row],[ProjectName]]),(ProjectInfoTable[ProjectName]=OutputTable[[#This Row],[ProjectName]])*ProjectInfoTable[ConfidenceInterval]))</f>
        <v>0.95</v>
      </c>
      <c r="N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0" s="5">
        <f t="array" ref="O110">MIN(IF((OutputTable[GroupByKey]=OutputTable[[#This Row],[GroupByKey]]),(OutputTable[GroupByKey]=OutputTable[[#This Row],[GroupByKey]])*OutputTable[RecordedValue]))</f>
        <v>0</v>
      </c>
      <c r="P110" s="5">
        <f t="array" ref="P110">MAX(IF((OutputTable[GroupByKey]=OutputTable[[#This Row],[GroupByKey]]),(OutputTable[GroupByKey]=OutputTable[[#This Row],[GroupByKey]])*OutputTable[RecordedValue]))</f>
        <v>0</v>
      </c>
    </row>
    <row r="111" spans="1:16" x14ac:dyDescent="0.25">
      <c r="A111" t="s">
        <v>67</v>
      </c>
      <c r="B111" t="s">
        <v>70</v>
      </c>
      <c r="C111">
        <v>5</v>
      </c>
      <c r="D111" t="s">
        <v>113</v>
      </c>
      <c r="E111" t="s">
        <v>114</v>
      </c>
      <c r="F111" t="s">
        <v>73</v>
      </c>
      <c r="G111">
        <v>0</v>
      </c>
      <c r="H111">
        <v>0</v>
      </c>
      <c r="I111" s="5" t="str">
        <f>OutputTable[[#This Row],[ProjectName]]&amp;OutputTable[[#This Row],[Name]]&amp;OutputTable[[#This Row],[Type]]&amp;OutputTable[[#This Row],[Source]]</f>
        <v>Unnamed Projectassembler.NumberSeizedTotal Number SeizedResource</v>
      </c>
      <c r="J111" s="5">
        <f t="array" ref="J111">MAX(IF((ProjectInfoTable[ProjectName]=OutputTable[[#This Row],[ProjectName]]),(ProjectInfoTable[ProjectName]=OutputTable[[#This Row],[ProjectName]])*ProjectInfoTable[NumberOfReplications]))</f>
        <v>15</v>
      </c>
      <c r="K111" s="5">
        <f t="array" ref="K111">IFERROR(AVERAGE(IF((OutputTable[GroupByKey]=OutputTable[[#This Row],[GroupByKey]]),(OutputTable[GroupByKey]=OutputTable[[#This Row],[GroupByKey]])*OutputTable[RecordedValue])),0)</f>
        <v>0</v>
      </c>
      <c r="L111" s="5">
        <f t="array" ref="L111">IFERROR(_xlfn.STDEV.S(IF((OutputTable[GroupByKey]=OutputTable[[#This Row],[GroupByKey]]),(OutputTable[GroupByKey]=OutputTable[[#This Row],[GroupByKey]])*OutputTable[RecordedValue])),0)</f>
        <v>0</v>
      </c>
      <c r="M111" s="5">
        <f t="array" ref="M111">MAX(IF((ProjectInfoTable[ProjectName]=OutputTable[[#This Row],[ProjectName]]),(ProjectInfoTable[ProjectName]=OutputTable[[#This Row],[ProjectName]])*ProjectInfoTable[ConfidenceInterval]))</f>
        <v>0.95</v>
      </c>
      <c r="N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1" s="5">
        <f t="array" ref="O111">MIN(IF((OutputTable[GroupByKey]=OutputTable[[#This Row],[GroupByKey]]),(OutputTable[GroupByKey]=OutputTable[[#This Row],[GroupByKey]])*OutputTable[RecordedValue]))</f>
        <v>0</v>
      </c>
      <c r="P111" s="5">
        <f t="array" ref="P111">MAX(IF((OutputTable[GroupByKey]=OutputTable[[#This Row],[GroupByKey]]),(OutputTable[GroupByKey]=OutputTable[[#This Row],[GroupByKey]])*OutputTable[RecordedValue]))</f>
        <v>0</v>
      </c>
    </row>
    <row r="112" spans="1:16" x14ac:dyDescent="0.25">
      <c r="A112" t="s">
        <v>67</v>
      </c>
      <c r="B112" t="s">
        <v>70</v>
      </c>
      <c r="C112">
        <v>5</v>
      </c>
      <c r="D112" t="s">
        <v>115</v>
      </c>
      <c r="E112" t="s">
        <v>116</v>
      </c>
      <c r="F112" t="s">
        <v>73</v>
      </c>
      <c r="G112">
        <v>0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Projectassembler.ScheduledUtilizationScheduled UtilizationResource</v>
      </c>
      <c r="J112" s="5">
        <f t="array" ref="J112">MAX(IF((ProjectInfoTable[ProjectName]=OutputTable[[#This Row],[ProjectName]]),(ProjectInfoTable[ProjectName]=OutputTable[[#This Row],[ProjectName]])*ProjectInfoTable[NumberOfReplications]))</f>
        <v>15</v>
      </c>
      <c r="K112" s="5">
        <f t="array" ref="K112">IFERROR(AVERAGE(IF((OutputTable[GroupByKey]=OutputTable[[#This Row],[GroupByKey]]),(OutputTable[GroupByKey]=OutputTable[[#This Row],[GroupByKey]])*OutputTable[RecordedValue])),0)</f>
        <v>0</v>
      </c>
      <c r="L112" s="5">
        <f t="array" ref="L112">IFERROR(_xlfn.STDEV.S(IF((OutputTable[GroupByKey]=OutputTable[[#This Row],[GroupByKey]]),(OutputTable[GroupByKey]=OutputTable[[#This Row],[GroupByKey]])*OutputTable[RecordedValue])),0)</f>
        <v>0</v>
      </c>
      <c r="M112" s="5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" s="5">
        <f t="array" ref="O112">MIN(IF((OutputTable[GroupByKey]=OutputTable[[#This Row],[GroupByKey]]),(OutputTable[GroupByKey]=OutputTable[[#This Row],[GroupByKey]])*OutputTable[RecordedValue]))</f>
        <v>0</v>
      </c>
      <c r="P112" s="5">
        <f t="array" ref="P112">MAX(IF((OutputTable[GroupByKey]=OutputTable[[#This Row],[GroupByKey]]),(OutputTable[GroupByKey]=OutputTable[[#This Row],[GroupByKey]])*OutputTable[RecordedValue]))</f>
        <v>0</v>
      </c>
    </row>
    <row r="113" spans="1:16" x14ac:dyDescent="0.25">
      <c r="A113" t="s">
        <v>67</v>
      </c>
      <c r="B113" t="s">
        <v>70</v>
      </c>
      <c r="C113">
        <v>5</v>
      </c>
      <c r="D113" t="s">
        <v>117</v>
      </c>
      <c r="E113" t="s">
        <v>114</v>
      </c>
      <c r="F113" t="s">
        <v>73</v>
      </c>
      <c r="G113">
        <v>0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Projectassemblyqcworker.NumberSeizedTotal Number SeizedResource</v>
      </c>
      <c r="J113" s="5">
        <f t="array" ref="J113">MAX(IF((ProjectInfoTable[ProjectName]=OutputTable[[#This Row],[ProjectName]]),(ProjectInfoTable[ProjectName]=OutputTable[[#This Row],[ProjectName]])*ProjectInfoTable[NumberOfReplications]))</f>
        <v>15</v>
      </c>
      <c r="K113" s="5">
        <f t="array" ref="K113">IFERROR(AVERAGE(IF((OutputTable[GroupByKey]=OutputTable[[#This Row],[GroupByKey]]),(OutputTable[GroupByKey]=OutputTable[[#This Row],[GroupByKey]])*OutputTable[RecordedValue])),0)</f>
        <v>0</v>
      </c>
      <c r="L113" s="5">
        <f t="array" ref="L113">IFERROR(_xlfn.STDEV.S(IF((OutputTable[GroupByKey]=OutputTable[[#This Row],[GroupByKey]]),(OutputTable[GroupByKey]=OutputTable[[#This Row],[GroupByKey]])*OutputTable[RecordedValue])),0)</f>
        <v>0</v>
      </c>
      <c r="M113" s="5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3" s="5">
        <f t="array" ref="O113">MIN(IF((OutputTable[GroupByKey]=OutputTable[[#This Row],[GroupByKey]]),(OutputTable[GroupByKey]=OutputTable[[#This Row],[GroupByKey]])*OutputTable[RecordedValue]))</f>
        <v>0</v>
      </c>
      <c r="P113" s="5">
        <f t="array" ref="P113">MAX(IF((OutputTable[GroupByKey]=OutputTable[[#This Row],[GroupByKey]]),(OutputTable[GroupByKey]=OutputTable[[#This Row],[GroupByKey]])*OutputTable[RecordedValue]))</f>
        <v>0</v>
      </c>
    </row>
    <row r="114" spans="1:16" x14ac:dyDescent="0.25">
      <c r="A114" t="s">
        <v>67</v>
      </c>
      <c r="B114" t="s">
        <v>70</v>
      </c>
      <c r="C114">
        <v>5</v>
      </c>
      <c r="D114" t="s">
        <v>118</v>
      </c>
      <c r="E114" t="s">
        <v>116</v>
      </c>
      <c r="F114" t="s">
        <v>73</v>
      </c>
      <c r="G114">
        <v>0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Projectassemblyqcworker.ScheduledUtilizationScheduled UtilizationResource</v>
      </c>
      <c r="J114" s="5">
        <f t="array" ref="J114">MAX(IF((ProjectInfoTable[ProjectName]=OutputTable[[#This Row],[ProjectName]]),(ProjectInfoTable[ProjectName]=OutputTable[[#This Row],[ProjectName]])*ProjectInfoTable[NumberOfReplications]))</f>
        <v>15</v>
      </c>
      <c r="K114" s="5">
        <f t="array" ref="K114">IFERROR(AVERAGE(IF((OutputTable[GroupByKey]=OutputTable[[#This Row],[GroupByKey]]),(OutputTable[GroupByKey]=OutputTable[[#This Row],[GroupByKey]])*OutputTable[RecordedValue])),0)</f>
        <v>0</v>
      </c>
      <c r="L114" s="5">
        <f t="array" ref="L114">IFERROR(_xlfn.STDEV.S(IF((OutputTable[GroupByKey]=OutputTable[[#This Row],[GroupByKey]]),(OutputTable[GroupByKey]=OutputTable[[#This Row],[GroupByKey]])*OutputTable[RecordedValue])),0)</f>
        <v>0</v>
      </c>
      <c r="M114" s="5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4" s="5">
        <f t="array" ref="O114">MIN(IF((OutputTable[GroupByKey]=OutputTable[[#This Row],[GroupByKey]]),(OutputTable[GroupByKey]=OutputTable[[#This Row],[GroupByKey]])*OutputTable[RecordedValue]))</f>
        <v>0</v>
      </c>
      <c r="P114" s="5">
        <f t="array" ref="P114">MAX(IF((OutputTable[GroupByKey]=OutputTable[[#This Row],[GroupByKey]]),(OutputTable[GroupByKey]=OutputTable[[#This Row],[GroupByKey]])*OutputTable[RecordedValue]))</f>
        <v>0</v>
      </c>
    </row>
    <row r="115" spans="1:16" x14ac:dyDescent="0.25">
      <c r="A115" t="s">
        <v>67</v>
      </c>
      <c r="B115" t="s">
        <v>70</v>
      </c>
      <c r="C115">
        <v>5</v>
      </c>
      <c r="D115" t="s">
        <v>119</v>
      </c>
      <c r="E115" t="s">
        <v>120</v>
      </c>
      <c r="F115" t="s">
        <v>79</v>
      </c>
      <c r="G115">
        <v>0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Projectbatched_parts.NumberInNumber InEntity</v>
      </c>
      <c r="J115" s="5">
        <f t="array" ref="J115">MAX(IF((ProjectInfoTable[ProjectName]=OutputTable[[#This Row],[ProjectName]]),(ProjectInfoTable[ProjectName]=OutputTable[[#This Row],[ProjectName]])*ProjectInfoTable[NumberOfReplications]))</f>
        <v>15</v>
      </c>
      <c r="K115" s="5">
        <f t="array" ref="K115">IFERROR(AVERAGE(IF((OutputTable[GroupByKey]=OutputTable[[#This Row],[GroupByKey]]),(OutputTable[GroupByKey]=OutputTable[[#This Row],[GroupByKey]])*OutputTable[RecordedValue])),0)</f>
        <v>0</v>
      </c>
      <c r="L115" s="5">
        <f t="array" ref="L115">IFERROR(_xlfn.STDEV.S(IF((OutputTable[GroupByKey]=OutputTable[[#This Row],[GroupByKey]]),(OutputTable[GroupByKey]=OutputTable[[#This Row],[GroupByKey]])*OutputTable[RecordedValue])),0)</f>
        <v>0</v>
      </c>
      <c r="M115" s="5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5" s="5">
        <f t="array" ref="O115">MIN(IF((OutputTable[GroupByKey]=OutputTable[[#This Row],[GroupByKey]]),(OutputTable[GroupByKey]=OutputTable[[#This Row],[GroupByKey]])*OutputTable[RecordedValue]))</f>
        <v>0</v>
      </c>
      <c r="P115" s="5">
        <f t="array" ref="P115">MAX(IF((OutputTable[GroupByKey]=OutputTable[[#This Row],[GroupByKey]]),(OutputTable[GroupByKey]=OutputTable[[#This Row],[GroupByKey]])*OutputTable[RecordedValue]))</f>
        <v>0</v>
      </c>
    </row>
    <row r="116" spans="1:16" x14ac:dyDescent="0.25">
      <c r="A116" t="s">
        <v>67</v>
      </c>
      <c r="B116" t="s">
        <v>70</v>
      </c>
      <c r="C116">
        <v>5</v>
      </c>
      <c r="D116" t="s">
        <v>121</v>
      </c>
      <c r="E116" t="s">
        <v>111</v>
      </c>
      <c r="F116" t="s">
        <v>79</v>
      </c>
      <c r="G116">
        <v>0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Projectbatched_parts.NumberOutNumber OutEntity</v>
      </c>
      <c r="J116" s="5">
        <f t="array" ref="J116">MAX(IF((ProjectInfoTable[ProjectName]=OutputTable[[#This Row],[ProjectName]]),(ProjectInfoTable[ProjectName]=OutputTable[[#This Row],[ProjectName]])*ProjectInfoTable[NumberOfReplications]))</f>
        <v>15</v>
      </c>
      <c r="K116" s="5">
        <f t="array" ref="K116">IFERROR(AVERAGE(IF((OutputTable[GroupByKey]=OutputTable[[#This Row],[GroupByKey]]),(OutputTable[GroupByKey]=OutputTable[[#This Row],[GroupByKey]])*OutputTable[RecordedValue])),0)</f>
        <v>0</v>
      </c>
      <c r="L116" s="5">
        <f t="array" ref="L116">IFERROR(_xlfn.STDEV.S(IF((OutputTable[GroupByKey]=OutputTable[[#This Row],[GroupByKey]]),(OutputTable[GroupByKey]=OutputTable[[#This Row],[GroupByKey]])*OutputTable[RecordedValue])),0)</f>
        <v>0</v>
      </c>
      <c r="M116" s="5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6" s="5">
        <f t="array" ref="O116">MIN(IF((OutputTable[GroupByKey]=OutputTable[[#This Row],[GroupByKey]]),(OutputTable[GroupByKey]=OutputTable[[#This Row],[GroupByKey]])*OutputTable[RecordedValue]))</f>
        <v>0</v>
      </c>
      <c r="P116" s="5">
        <f t="array" ref="P116">MAX(IF((OutputTable[GroupByKey]=OutputTable[[#This Row],[GroupByKey]]),(OutputTable[GroupByKey]=OutputTable[[#This Row],[GroupByKey]])*OutputTable[RecordedValue]))</f>
        <v>0</v>
      </c>
    </row>
    <row r="117" spans="1:16" x14ac:dyDescent="0.25">
      <c r="A117" t="s">
        <v>67</v>
      </c>
      <c r="B117" t="s">
        <v>70</v>
      </c>
      <c r="C117">
        <v>5</v>
      </c>
      <c r="D117" t="s">
        <v>122</v>
      </c>
      <c r="E117" t="s">
        <v>114</v>
      </c>
      <c r="F117" t="s">
        <v>73</v>
      </c>
      <c r="G117">
        <v>0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Projectcleaner.NumberSeizedTotal Number SeizedResource</v>
      </c>
      <c r="J117" s="5">
        <f t="array" ref="J117">MAX(IF((ProjectInfoTable[ProjectName]=OutputTable[[#This Row],[ProjectName]]),(ProjectInfoTable[ProjectName]=OutputTable[[#This Row],[ProjectName]])*ProjectInfoTable[NumberOfReplications]))</f>
        <v>15</v>
      </c>
      <c r="K117" s="5">
        <f t="array" ref="K117">IFERROR(AVERAGE(IF((OutputTable[GroupByKey]=OutputTable[[#This Row],[GroupByKey]]),(OutputTable[GroupByKey]=OutputTable[[#This Row],[GroupByKey]])*OutputTable[RecordedValue])),0)</f>
        <v>0</v>
      </c>
      <c r="L117" s="5">
        <f t="array" ref="L117">IFERROR(_xlfn.STDEV.S(IF((OutputTable[GroupByKey]=OutputTable[[#This Row],[GroupByKey]]),(OutputTable[GroupByKey]=OutputTable[[#This Row],[GroupByKey]])*OutputTable[RecordedValue])),0)</f>
        <v>0</v>
      </c>
      <c r="M117" s="5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7" s="5">
        <f t="array" ref="O117">MIN(IF((OutputTable[GroupByKey]=OutputTable[[#This Row],[GroupByKey]]),(OutputTable[GroupByKey]=OutputTable[[#This Row],[GroupByKey]])*OutputTable[RecordedValue]))</f>
        <v>0</v>
      </c>
      <c r="P117" s="5">
        <f t="array" ref="P117">MAX(IF((OutputTable[GroupByKey]=OutputTable[[#This Row],[GroupByKey]]),(OutputTable[GroupByKey]=OutputTable[[#This Row],[GroupByKey]])*OutputTable[RecordedValue]))</f>
        <v>0</v>
      </c>
    </row>
    <row r="118" spans="1:16" x14ac:dyDescent="0.25">
      <c r="A118" t="s">
        <v>67</v>
      </c>
      <c r="B118" t="s">
        <v>70</v>
      </c>
      <c r="C118">
        <v>5</v>
      </c>
      <c r="D118" t="s">
        <v>123</v>
      </c>
      <c r="E118" t="s">
        <v>116</v>
      </c>
      <c r="F118" t="s">
        <v>73</v>
      </c>
      <c r="G118">
        <v>0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118" s="5">
        <f t="array" ref="J118">MAX(IF((ProjectInfoTable[ProjectName]=OutputTable[[#This Row],[ProjectName]]),(ProjectInfoTable[ProjectName]=OutputTable[[#This Row],[ProjectName]])*ProjectInfoTable[NumberOfReplications]))</f>
        <v>15</v>
      </c>
      <c r="K118" s="5">
        <f t="array" ref="K118">IFERROR(AVERAGE(IF((OutputTable[GroupByKey]=OutputTable[[#This Row],[GroupByKey]]),(OutputTable[GroupByKey]=OutputTable[[#This Row],[GroupByKey]])*OutputTable[RecordedValue])),0)</f>
        <v>0</v>
      </c>
      <c r="L118" s="5">
        <f t="array" ref="L118">IFERROR(_xlfn.STDEV.S(IF((OutputTable[GroupByKey]=OutputTable[[#This Row],[GroupByKey]]),(OutputTable[GroupByKey]=OutputTable[[#This Row],[GroupByKey]])*OutputTable[RecordedValue])),0)</f>
        <v>0</v>
      </c>
      <c r="M118" s="5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8" s="5">
        <f t="array" ref="O118">MIN(IF((OutputTable[GroupByKey]=OutputTable[[#This Row],[GroupByKey]]),(OutputTable[GroupByKey]=OutputTable[[#This Row],[GroupByKey]])*OutputTable[RecordedValue]))</f>
        <v>0</v>
      </c>
      <c r="P118" s="5">
        <f t="array" ref="P118">MAX(IF((OutputTable[GroupByKey]=OutputTable[[#This Row],[GroupByKey]]),(OutputTable[GroupByKey]=OutputTable[[#This Row],[GroupByKey]])*OutputTable[RecordedValue]))</f>
        <v>0</v>
      </c>
    </row>
    <row r="119" spans="1:16" x14ac:dyDescent="0.25">
      <c r="A119" t="s">
        <v>67</v>
      </c>
      <c r="B119" t="s">
        <v>70</v>
      </c>
      <c r="C119">
        <v>5</v>
      </c>
      <c r="D119" t="s">
        <v>124</v>
      </c>
      <c r="E119" t="s">
        <v>114</v>
      </c>
      <c r="F119" t="s">
        <v>73</v>
      </c>
      <c r="G119">
        <v>0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Projectcutter.NumberSeizedTotal Number SeizedResource</v>
      </c>
      <c r="J119" s="5">
        <f t="array" ref="J119">MAX(IF((ProjectInfoTable[ProjectName]=OutputTable[[#This Row],[ProjectName]]),(ProjectInfoTable[ProjectName]=OutputTable[[#This Row],[ProjectName]])*ProjectInfoTable[NumberOfReplications]))</f>
        <v>15</v>
      </c>
      <c r="K119" s="5">
        <f t="array" ref="K119">IFERROR(AVERAGE(IF((OutputTable[GroupByKey]=OutputTable[[#This Row],[GroupByKey]]),(OutputTable[GroupByKey]=OutputTable[[#This Row],[GroupByKey]])*OutputTable[RecordedValue])),0)</f>
        <v>0</v>
      </c>
      <c r="L119" s="5">
        <f t="array" ref="L119">IFERROR(_xlfn.STDEV.S(IF((OutputTable[GroupByKey]=OutputTable[[#This Row],[GroupByKey]]),(OutputTable[GroupByKey]=OutputTable[[#This Row],[GroupByKey]])*OutputTable[RecordedValue])),0)</f>
        <v>0</v>
      </c>
      <c r="M119" s="5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9" s="5">
        <f t="array" ref="O119">MIN(IF((OutputTable[GroupByKey]=OutputTable[[#This Row],[GroupByKey]]),(OutputTable[GroupByKey]=OutputTable[[#This Row],[GroupByKey]])*OutputTable[RecordedValue]))</f>
        <v>0</v>
      </c>
      <c r="P119" s="5">
        <f t="array" ref="P119">MAX(IF((OutputTable[GroupByKey]=OutputTable[[#This Row],[GroupByKey]]),(OutputTable[GroupByKey]=OutputTable[[#This Row],[GroupByKey]])*OutputTable[RecordedValue]))</f>
        <v>0</v>
      </c>
    </row>
    <row r="120" spans="1:16" x14ac:dyDescent="0.25">
      <c r="A120" t="s">
        <v>67</v>
      </c>
      <c r="B120" t="s">
        <v>70</v>
      </c>
      <c r="C120">
        <v>5</v>
      </c>
      <c r="D120" t="s">
        <v>125</v>
      </c>
      <c r="E120" t="s">
        <v>116</v>
      </c>
      <c r="F120" t="s">
        <v>73</v>
      </c>
      <c r="G120">
        <v>0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Projectcutter.ScheduledUtilizationScheduled UtilizationResource</v>
      </c>
      <c r="J120" s="5">
        <f t="array" ref="J120">MAX(IF((ProjectInfoTable[ProjectName]=OutputTable[[#This Row],[ProjectName]]),(ProjectInfoTable[ProjectName]=OutputTable[[#This Row],[ProjectName]])*ProjectInfoTable[NumberOfReplications]))</f>
        <v>15</v>
      </c>
      <c r="K120" s="5">
        <f t="array" ref="K120">IFERROR(AVERAGE(IF((OutputTable[GroupByKey]=OutputTable[[#This Row],[GroupByKey]]),(OutputTable[GroupByKey]=OutputTable[[#This Row],[GroupByKey]])*OutputTable[RecordedValue])),0)</f>
        <v>0</v>
      </c>
      <c r="L120" s="5">
        <f t="array" ref="L120">IFERROR(_xlfn.STDEV.S(IF((OutputTable[GroupByKey]=OutputTable[[#This Row],[GroupByKey]]),(OutputTable[GroupByKey]=OutputTable[[#This Row],[GroupByKey]])*OutputTable[RecordedValue])),0)</f>
        <v>0</v>
      </c>
      <c r="M120" s="5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0" s="5">
        <f t="array" ref="O120">MIN(IF((OutputTable[GroupByKey]=OutputTable[[#This Row],[GroupByKey]]),(OutputTable[GroupByKey]=OutputTable[[#This Row],[GroupByKey]])*OutputTable[RecordedValue]))</f>
        <v>0</v>
      </c>
      <c r="P120" s="5">
        <f t="array" ref="P120">MAX(IF((OutputTable[GroupByKey]=OutputTable[[#This Row],[GroupByKey]]),(OutputTable[GroupByKey]=OutputTable[[#This Row],[GroupByKey]])*OutputTable[RecordedValue]))</f>
        <v>0</v>
      </c>
    </row>
    <row r="121" spans="1:16" x14ac:dyDescent="0.25">
      <c r="A121" t="s">
        <v>67</v>
      </c>
      <c r="B121" t="s">
        <v>70</v>
      </c>
      <c r="C121">
        <v>5</v>
      </c>
      <c r="D121" t="s">
        <v>126</v>
      </c>
      <c r="E121" t="s">
        <v>114</v>
      </c>
      <c r="F121" t="s">
        <v>73</v>
      </c>
      <c r="G121">
        <v>0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Projectfinalqcman.NumberSeizedTotal Number SeizedResource</v>
      </c>
      <c r="J121" s="5">
        <f t="array" ref="J121">MAX(IF((ProjectInfoTable[ProjectName]=OutputTable[[#This Row],[ProjectName]]),(ProjectInfoTable[ProjectName]=OutputTable[[#This Row],[ProjectName]])*ProjectInfoTable[NumberOfReplications]))</f>
        <v>15</v>
      </c>
      <c r="K121" s="5">
        <f t="array" ref="K121">IFERROR(AVERAGE(IF((OutputTable[GroupByKey]=OutputTable[[#This Row],[GroupByKey]]),(OutputTable[GroupByKey]=OutputTable[[#This Row],[GroupByKey]])*OutputTable[RecordedValue])),0)</f>
        <v>0</v>
      </c>
      <c r="L121" s="5">
        <f t="array" ref="L121">IFERROR(_xlfn.STDEV.S(IF((OutputTable[GroupByKey]=OutputTable[[#This Row],[GroupByKey]]),(OutputTable[GroupByKey]=OutputTable[[#This Row],[GroupByKey]])*OutputTable[RecordedValue])),0)</f>
        <v>0</v>
      </c>
      <c r="M121" s="5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1" s="5">
        <f t="array" ref="O121">MIN(IF((OutputTable[GroupByKey]=OutputTable[[#This Row],[GroupByKey]]),(OutputTable[GroupByKey]=OutputTable[[#This Row],[GroupByKey]])*OutputTable[RecordedValue]))</f>
        <v>0</v>
      </c>
      <c r="P121" s="5">
        <f t="array" ref="P121">MAX(IF((OutputTable[GroupByKey]=OutputTable[[#This Row],[GroupByKey]]),(OutputTable[GroupByKey]=OutputTable[[#This Row],[GroupByKey]])*OutputTable[RecordedValue]))</f>
        <v>0</v>
      </c>
    </row>
    <row r="122" spans="1:16" x14ac:dyDescent="0.25">
      <c r="A122" t="s">
        <v>67</v>
      </c>
      <c r="B122" t="s">
        <v>70</v>
      </c>
      <c r="C122">
        <v>5</v>
      </c>
      <c r="D122" t="s">
        <v>127</v>
      </c>
      <c r="E122" t="s">
        <v>116</v>
      </c>
      <c r="F122" t="s">
        <v>73</v>
      </c>
      <c r="G122">
        <v>0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Projectfinalqcman.ScheduledUtilizationScheduled UtilizationResource</v>
      </c>
      <c r="J122" s="5">
        <f t="array" ref="J122">MAX(IF((ProjectInfoTable[ProjectName]=OutputTable[[#This Row],[ProjectName]]),(ProjectInfoTable[ProjectName]=OutputTable[[#This Row],[ProjectName]])*ProjectInfoTable[NumberOfReplications]))</f>
        <v>15</v>
      </c>
      <c r="K122" s="5">
        <f t="array" ref="K122">IFERROR(AVERAGE(IF((OutputTable[GroupByKey]=OutputTable[[#This Row],[GroupByKey]]),(OutputTable[GroupByKey]=OutputTable[[#This Row],[GroupByKey]])*OutputTable[RecordedValue])),0)</f>
        <v>0</v>
      </c>
      <c r="L122" s="5">
        <f t="array" ref="L122">IFERROR(_xlfn.STDEV.S(IF((OutputTable[GroupByKey]=OutputTable[[#This Row],[GroupByKey]]),(OutputTable[GroupByKey]=OutputTable[[#This Row],[GroupByKey]])*OutputTable[RecordedValue])),0)</f>
        <v>0</v>
      </c>
      <c r="M122" s="5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2" s="5">
        <f t="array" ref="O122">MIN(IF((OutputTable[GroupByKey]=OutputTable[[#This Row],[GroupByKey]]),(OutputTable[GroupByKey]=OutputTable[[#This Row],[GroupByKey]])*OutputTable[RecordedValue]))</f>
        <v>0</v>
      </c>
      <c r="P122" s="5">
        <f t="array" ref="P122">MAX(IF((OutputTable[GroupByKey]=OutputTable[[#This Row],[GroupByKey]]),(OutputTable[GroupByKey]=OutputTable[[#This Row],[GroupByKey]])*OutputTable[RecordedValue]))</f>
        <v>0</v>
      </c>
    </row>
    <row r="123" spans="1:16" x14ac:dyDescent="0.25">
      <c r="A123" t="s">
        <v>67</v>
      </c>
      <c r="B123" t="s">
        <v>70</v>
      </c>
      <c r="C123">
        <v>5</v>
      </c>
      <c r="D123" t="s">
        <v>128</v>
      </c>
      <c r="E123" t="s">
        <v>114</v>
      </c>
      <c r="F123" t="s">
        <v>73</v>
      </c>
      <c r="G123">
        <v>0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Projectpaintingmachine.NumberSeizedTotal Number SeizedResource</v>
      </c>
      <c r="J123" s="5">
        <f t="array" ref="J123">MAX(IF((ProjectInfoTable[ProjectName]=OutputTable[[#This Row],[ProjectName]]),(ProjectInfoTable[ProjectName]=OutputTable[[#This Row],[ProjectName]])*ProjectInfoTable[NumberOfReplications]))</f>
        <v>15</v>
      </c>
      <c r="K123" s="5">
        <f t="array" ref="K123">IFERROR(AVERAGE(IF((OutputTable[GroupByKey]=OutputTable[[#This Row],[GroupByKey]]),(OutputTable[GroupByKey]=OutputTable[[#This Row],[GroupByKey]])*OutputTable[RecordedValue])),0)</f>
        <v>0</v>
      </c>
      <c r="L123" s="5">
        <f t="array" ref="L123">IFERROR(_xlfn.STDEV.S(IF((OutputTable[GroupByKey]=OutputTable[[#This Row],[GroupByKey]]),(OutputTable[GroupByKey]=OutputTable[[#This Row],[GroupByKey]])*OutputTable[RecordedValue])),0)</f>
        <v>0</v>
      </c>
      <c r="M123" s="5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3" s="5">
        <f t="array" ref="O123">MIN(IF((OutputTable[GroupByKey]=OutputTable[[#This Row],[GroupByKey]]),(OutputTable[GroupByKey]=OutputTable[[#This Row],[GroupByKey]])*OutputTable[RecordedValue]))</f>
        <v>0</v>
      </c>
      <c r="P123" s="5">
        <f t="array" ref="P123">MAX(IF((OutputTable[GroupByKey]=OutputTable[[#This Row],[GroupByKey]]),(OutputTable[GroupByKey]=OutputTable[[#This Row],[GroupByKey]])*OutputTable[RecordedValue]))</f>
        <v>0</v>
      </c>
    </row>
    <row r="124" spans="1:16" x14ac:dyDescent="0.25">
      <c r="A124" t="s">
        <v>67</v>
      </c>
      <c r="B124" t="s">
        <v>70</v>
      </c>
      <c r="C124">
        <v>5</v>
      </c>
      <c r="D124" t="s">
        <v>129</v>
      </c>
      <c r="E124" t="s">
        <v>116</v>
      </c>
      <c r="F124" t="s">
        <v>73</v>
      </c>
      <c r="G124">
        <v>0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Projectpaintingmachine.ScheduledUtilizationScheduled UtilizationResource</v>
      </c>
      <c r="J124" s="5">
        <f t="array" ref="J124">MAX(IF((ProjectInfoTable[ProjectName]=OutputTable[[#This Row],[ProjectName]]),(ProjectInfoTable[ProjectName]=OutputTable[[#This Row],[ProjectName]])*ProjectInfoTable[NumberOfReplications]))</f>
        <v>15</v>
      </c>
      <c r="K124" s="5">
        <f t="array" ref="K124">IFERROR(AVERAGE(IF((OutputTable[GroupByKey]=OutputTable[[#This Row],[GroupByKey]]),(OutputTable[GroupByKey]=OutputTable[[#This Row],[GroupByKey]])*OutputTable[RecordedValue])),0)</f>
        <v>0</v>
      </c>
      <c r="L124" s="5">
        <f t="array" ref="L124">IFERROR(_xlfn.STDEV.S(IF((OutputTable[GroupByKey]=OutputTable[[#This Row],[GroupByKey]]),(OutputTable[GroupByKey]=OutputTable[[#This Row],[GroupByKey]])*OutputTable[RecordedValue])),0)</f>
        <v>0</v>
      </c>
      <c r="M124" s="5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4" s="5">
        <f t="array" ref="O124">MIN(IF((OutputTable[GroupByKey]=OutputTable[[#This Row],[GroupByKey]]),(OutputTable[GroupByKey]=OutputTable[[#This Row],[GroupByKey]])*OutputTable[RecordedValue]))</f>
        <v>0</v>
      </c>
      <c r="P124" s="5">
        <f t="array" ref="P124">MAX(IF((OutputTable[GroupByKey]=OutputTable[[#This Row],[GroupByKey]]),(OutputTable[GroupByKey]=OutputTable[[#This Row],[GroupByKey]])*OutputTable[RecordedValue]))</f>
        <v>0</v>
      </c>
    </row>
    <row r="125" spans="1:16" x14ac:dyDescent="0.25">
      <c r="A125" t="s">
        <v>67</v>
      </c>
      <c r="B125" t="s">
        <v>70</v>
      </c>
      <c r="C125">
        <v>5</v>
      </c>
      <c r="D125" t="s">
        <v>130</v>
      </c>
      <c r="E125" t="s">
        <v>114</v>
      </c>
      <c r="F125" t="s">
        <v>73</v>
      </c>
      <c r="G125">
        <v>0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Projectpaintingoperator.NumberSeizedTotal Number SeizedResource</v>
      </c>
      <c r="J125" s="5">
        <f t="array" ref="J125">MAX(IF((ProjectInfoTable[ProjectName]=OutputTable[[#This Row],[ProjectName]]),(ProjectInfoTable[ProjectName]=OutputTable[[#This Row],[ProjectName]])*ProjectInfoTable[NumberOfReplications]))</f>
        <v>15</v>
      </c>
      <c r="K125" s="5">
        <f t="array" ref="K125">IFERROR(AVERAGE(IF((OutputTable[GroupByKey]=OutputTable[[#This Row],[GroupByKey]]),(OutputTable[GroupByKey]=OutputTable[[#This Row],[GroupByKey]])*OutputTable[RecordedValue])),0)</f>
        <v>0</v>
      </c>
      <c r="L125" s="5">
        <f t="array" ref="L125">IFERROR(_xlfn.STDEV.S(IF((OutputTable[GroupByKey]=OutputTable[[#This Row],[GroupByKey]]),(OutputTable[GroupByKey]=OutputTable[[#This Row],[GroupByKey]])*OutputTable[RecordedValue])),0)</f>
        <v>0</v>
      </c>
      <c r="M125" s="5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5" s="5">
        <f t="array" ref="O125">MIN(IF((OutputTable[GroupByKey]=OutputTable[[#This Row],[GroupByKey]]),(OutputTable[GroupByKey]=OutputTable[[#This Row],[GroupByKey]])*OutputTable[RecordedValue]))</f>
        <v>0</v>
      </c>
      <c r="P125" s="5">
        <f t="array" ref="P125">MAX(IF((OutputTable[GroupByKey]=OutputTable[[#This Row],[GroupByKey]]),(OutputTable[GroupByKey]=OutputTable[[#This Row],[GroupByKey]])*OutputTable[RecordedValue]))</f>
        <v>0</v>
      </c>
    </row>
    <row r="126" spans="1:16" x14ac:dyDescent="0.25">
      <c r="A126" t="s">
        <v>67</v>
      </c>
      <c r="B126" t="s">
        <v>70</v>
      </c>
      <c r="C126">
        <v>5</v>
      </c>
      <c r="D126" t="s">
        <v>131</v>
      </c>
      <c r="E126" t="s">
        <v>116</v>
      </c>
      <c r="F126" t="s">
        <v>73</v>
      </c>
      <c r="G126">
        <v>0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Projectpaintingoperator.ScheduledUtilizationScheduled UtilizationResource</v>
      </c>
      <c r="J126" s="5">
        <f t="array" ref="J126">MAX(IF((ProjectInfoTable[ProjectName]=OutputTable[[#This Row],[ProjectName]]),(ProjectInfoTable[ProjectName]=OutputTable[[#This Row],[ProjectName]])*ProjectInfoTable[NumberOfReplications]))</f>
        <v>15</v>
      </c>
      <c r="K126" s="5">
        <f t="array" ref="K126">IFERROR(AVERAGE(IF((OutputTable[GroupByKey]=OutputTable[[#This Row],[GroupByKey]]),(OutputTable[GroupByKey]=OutputTable[[#This Row],[GroupByKey]])*OutputTable[RecordedValue])),0)</f>
        <v>0</v>
      </c>
      <c r="L126" s="5">
        <f t="array" ref="L126">IFERROR(_xlfn.STDEV.S(IF((OutputTable[GroupByKey]=OutputTable[[#This Row],[GroupByKey]]),(OutputTable[GroupByKey]=OutputTable[[#This Row],[GroupByKey]])*OutputTable[RecordedValue])),0)</f>
        <v>0</v>
      </c>
      <c r="M126" s="5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6" s="5">
        <f t="array" ref="O126">MIN(IF((OutputTable[GroupByKey]=OutputTable[[#This Row],[GroupByKey]]),(OutputTable[GroupByKey]=OutputTable[[#This Row],[GroupByKey]])*OutputTable[RecordedValue]))</f>
        <v>0</v>
      </c>
      <c r="P126" s="5">
        <f t="array" ref="P126">MAX(IF((OutputTable[GroupByKey]=OutputTable[[#This Row],[GroupByKey]]),(OutputTable[GroupByKey]=OutputTable[[#This Row],[GroupByKey]])*OutputTable[RecordedValue]))</f>
        <v>0</v>
      </c>
    </row>
    <row r="127" spans="1:16" x14ac:dyDescent="0.25">
      <c r="A127" t="s">
        <v>67</v>
      </c>
      <c r="B127" t="s">
        <v>70</v>
      </c>
      <c r="C127">
        <v>5</v>
      </c>
      <c r="D127" t="s">
        <v>132</v>
      </c>
      <c r="E127" t="s">
        <v>114</v>
      </c>
      <c r="F127" t="s">
        <v>73</v>
      </c>
      <c r="G127">
        <v>0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Projectsandblastmachine.NumberSeizedTotal Number SeizedResource</v>
      </c>
      <c r="J127" s="5">
        <f t="array" ref="J127">MAX(IF((ProjectInfoTable[ProjectName]=OutputTable[[#This Row],[ProjectName]]),(ProjectInfoTable[ProjectName]=OutputTable[[#This Row],[ProjectName]])*ProjectInfoTable[NumberOfReplications]))</f>
        <v>15</v>
      </c>
      <c r="K127" s="5">
        <f t="array" ref="K127">IFERROR(AVERAGE(IF((OutputTable[GroupByKey]=OutputTable[[#This Row],[GroupByKey]]),(OutputTable[GroupByKey]=OutputTable[[#This Row],[GroupByKey]])*OutputTable[RecordedValue])),0)</f>
        <v>0</v>
      </c>
      <c r="L127" s="5">
        <f t="array" ref="L127">IFERROR(_xlfn.STDEV.S(IF((OutputTable[GroupByKey]=OutputTable[[#This Row],[GroupByKey]]),(OutputTable[GroupByKey]=OutputTable[[#This Row],[GroupByKey]])*OutputTable[RecordedValue])),0)</f>
        <v>0</v>
      </c>
      <c r="M127" s="5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7" s="5">
        <f t="array" ref="O127">MIN(IF((OutputTable[GroupByKey]=OutputTable[[#This Row],[GroupByKey]]),(OutputTable[GroupByKey]=OutputTable[[#This Row],[GroupByKey]])*OutputTable[RecordedValue]))</f>
        <v>0</v>
      </c>
      <c r="P127" s="5">
        <f t="array" ref="P127">MAX(IF((OutputTable[GroupByKey]=OutputTable[[#This Row],[GroupByKey]]),(OutputTable[GroupByKey]=OutputTable[[#This Row],[GroupByKey]])*OutputTable[RecordedValue]))</f>
        <v>0</v>
      </c>
    </row>
    <row r="128" spans="1:16" x14ac:dyDescent="0.25">
      <c r="A128" t="s">
        <v>67</v>
      </c>
      <c r="B128" t="s">
        <v>70</v>
      </c>
      <c r="C128">
        <v>5</v>
      </c>
      <c r="D128" t="s">
        <v>133</v>
      </c>
      <c r="E128" t="s">
        <v>116</v>
      </c>
      <c r="F128" t="s">
        <v>73</v>
      </c>
      <c r="G128">
        <v>0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Projectsandblastmachine.ScheduledUtilizationScheduled UtilizationResource</v>
      </c>
      <c r="J128" s="5">
        <f t="array" ref="J128">MAX(IF((ProjectInfoTable[ProjectName]=OutputTable[[#This Row],[ProjectName]]),(ProjectInfoTable[ProjectName]=OutputTable[[#This Row],[ProjectName]])*ProjectInfoTable[NumberOfReplications]))</f>
        <v>15</v>
      </c>
      <c r="K128" s="5">
        <f t="array" ref="K128">IFERROR(AVERAGE(IF((OutputTable[GroupByKey]=OutputTable[[#This Row],[GroupByKey]]),(OutputTable[GroupByKey]=OutputTable[[#This Row],[GroupByKey]])*OutputTable[RecordedValue])),0)</f>
        <v>0</v>
      </c>
      <c r="L128" s="5">
        <f t="array" ref="L128">IFERROR(_xlfn.STDEV.S(IF((OutputTable[GroupByKey]=OutputTable[[#This Row],[GroupByKey]]),(OutputTable[GroupByKey]=OutputTable[[#This Row],[GroupByKey]])*OutputTable[RecordedValue])),0)</f>
        <v>0</v>
      </c>
      <c r="M128" s="5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8" s="5">
        <f t="array" ref="O128">MIN(IF((OutputTable[GroupByKey]=OutputTable[[#This Row],[GroupByKey]]),(OutputTable[GroupByKey]=OutputTable[[#This Row],[GroupByKey]])*OutputTable[RecordedValue]))</f>
        <v>0</v>
      </c>
      <c r="P128" s="5">
        <f t="array" ref="P128">MAX(IF((OutputTable[GroupByKey]=OutputTable[[#This Row],[GroupByKey]]),(OutputTable[GroupByKey]=OutputTable[[#This Row],[GroupByKey]])*OutputTable[RecordedValue]))</f>
        <v>0</v>
      </c>
    </row>
    <row r="129" spans="1:16" x14ac:dyDescent="0.25">
      <c r="A129" t="s">
        <v>67</v>
      </c>
      <c r="B129" t="s">
        <v>70</v>
      </c>
      <c r="C129">
        <v>5</v>
      </c>
      <c r="D129" t="s">
        <v>134</v>
      </c>
      <c r="E129" t="s">
        <v>114</v>
      </c>
      <c r="F129" t="s">
        <v>73</v>
      </c>
      <c r="G129">
        <v>0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Projectsandblastoperator.NumberSeizedTotal Number SeizedResource</v>
      </c>
      <c r="J129" s="5">
        <f t="array" ref="J129">MAX(IF((ProjectInfoTable[ProjectName]=OutputTable[[#This Row],[ProjectName]]),(ProjectInfoTable[ProjectName]=OutputTable[[#This Row],[ProjectName]])*ProjectInfoTable[NumberOfReplications]))</f>
        <v>15</v>
      </c>
      <c r="K129" s="5">
        <f t="array" ref="K129">IFERROR(AVERAGE(IF((OutputTable[GroupByKey]=OutputTable[[#This Row],[GroupByKey]]),(OutputTable[GroupByKey]=OutputTable[[#This Row],[GroupByKey]])*OutputTable[RecordedValue])),0)</f>
        <v>0</v>
      </c>
      <c r="L129" s="5">
        <f t="array" ref="L129">IFERROR(_xlfn.STDEV.S(IF((OutputTable[GroupByKey]=OutputTable[[#This Row],[GroupByKey]]),(OutputTable[GroupByKey]=OutputTable[[#This Row],[GroupByKey]])*OutputTable[RecordedValue])),0)</f>
        <v>0</v>
      </c>
      <c r="M129" s="5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9" s="5">
        <f t="array" ref="O129">MIN(IF((OutputTable[GroupByKey]=OutputTable[[#This Row],[GroupByKey]]),(OutputTable[GroupByKey]=OutputTable[[#This Row],[GroupByKey]])*OutputTable[RecordedValue]))</f>
        <v>0</v>
      </c>
      <c r="P129" s="5">
        <f t="array" ref="P129">MAX(IF((OutputTable[GroupByKey]=OutputTable[[#This Row],[GroupByKey]]),(OutputTable[GroupByKey]=OutputTable[[#This Row],[GroupByKey]])*OutputTable[RecordedValue]))</f>
        <v>0</v>
      </c>
    </row>
    <row r="130" spans="1:16" x14ac:dyDescent="0.25">
      <c r="A130" t="s">
        <v>67</v>
      </c>
      <c r="B130" t="s">
        <v>70</v>
      </c>
      <c r="C130">
        <v>5</v>
      </c>
      <c r="D130" t="s">
        <v>135</v>
      </c>
      <c r="E130" t="s">
        <v>116</v>
      </c>
      <c r="F130" t="s">
        <v>73</v>
      </c>
      <c r="G130">
        <v>0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Projectsandblastoperator.ScheduledUtilizationScheduled UtilizationResource</v>
      </c>
      <c r="J130" s="5">
        <f t="array" ref="J130">MAX(IF((ProjectInfoTable[ProjectName]=OutputTable[[#This Row],[ProjectName]]),(ProjectInfoTable[ProjectName]=OutputTable[[#This Row],[ProjectName]])*ProjectInfoTable[NumberOfReplications]))</f>
        <v>15</v>
      </c>
      <c r="K130" s="5">
        <f t="array" ref="K130">IFERROR(AVERAGE(IF((OutputTable[GroupByKey]=OutputTable[[#This Row],[GroupByKey]]),(OutputTable[GroupByKey]=OutputTable[[#This Row],[GroupByKey]])*OutputTable[RecordedValue])),0)</f>
        <v>0</v>
      </c>
      <c r="L130" s="5">
        <f t="array" ref="L130">IFERROR(_xlfn.STDEV.S(IF((OutputTable[GroupByKey]=OutputTable[[#This Row],[GroupByKey]]),(OutputTable[GroupByKey]=OutputTable[[#This Row],[GroupByKey]])*OutputTable[RecordedValue])),0)</f>
        <v>0</v>
      </c>
      <c r="M130" s="5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0" s="5">
        <f t="array" ref="O130">MIN(IF((OutputTable[GroupByKey]=OutputTable[[#This Row],[GroupByKey]]),(OutputTable[GroupByKey]=OutputTable[[#This Row],[GroupByKey]])*OutputTable[RecordedValue]))</f>
        <v>0</v>
      </c>
      <c r="P130" s="5">
        <f t="array" ref="P130">MAX(IF((OutputTable[GroupByKey]=OutputTable[[#This Row],[GroupByKey]]),(OutputTable[GroupByKey]=OutputTable[[#This Row],[GroupByKey]])*OutputTable[RecordedValue]))</f>
        <v>0</v>
      </c>
    </row>
    <row r="131" spans="1:16" x14ac:dyDescent="0.25">
      <c r="A131" t="s">
        <v>67</v>
      </c>
      <c r="B131" t="s">
        <v>70</v>
      </c>
      <c r="C131">
        <v>5</v>
      </c>
      <c r="D131" t="s">
        <v>136</v>
      </c>
      <c r="E131" t="s">
        <v>120</v>
      </c>
      <c r="F131" t="s">
        <v>79</v>
      </c>
      <c r="G131">
        <v>0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Projectsteelsheet.NumberInNumber InEntity</v>
      </c>
      <c r="J131" s="5">
        <f t="array" ref="J131">MAX(IF((ProjectInfoTable[ProjectName]=OutputTable[[#This Row],[ProjectName]]),(ProjectInfoTable[ProjectName]=OutputTable[[#This Row],[ProjectName]])*ProjectInfoTable[NumberOfReplications]))</f>
        <v>15</v>
      </c>
      <c r="K131" s="5">
        <f t="array" ref="K131">IFERROR(AVERAGE(IF((OutputTable[GroupByKey]=OutputTable[[#This Row],[GroupByKey]]),(OutputTable[GroupByKey]=OutputTable[[#This Row],[GroupByKey]])*OutputTable[RecordedValue])),0)</f>
        <v>0</v>
      </c>
      <c r="L131" s="5">
        <f t="array" ref="L131">IFERROR(_xlfn.STDEV.S(IF((OutputTable[GroupByKey]=OutputTable[[#This Row],[GroupByKey]]),(OutputTable[GroupByKey]=OutputTable[[#This Row],[GroupByKey]])*OutputTable[RecordedValue])),0)</f>
        <v>0</v>
      </c>
      <c r="M131" s="5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1" s="5">
        <f t="array" ref="O131">MIN(IF((OutputTable[GroupByKey]=OutputTable[[#This Row],[GroupByKey]]),(OutputTable[GroupByKey]=OutputTable[[#This Row],[GroupByKey]])*OutputTable[RecordedValue]))</f>
        <v>0</v>
      </c>
      <c r="P131" s="5">
        <f t="array" ref="P131">MAX(IF((OutputTable[GroupByKey]=OutputTable[[#This Row],[GroupByKey]]),(OutputTable[GroupByKey]=OutputTable[[#This Row],[GroupByKey]])*OutputTable[RecordedValue]))</f>
        <v>0</v>
      </c>
    </row>
    <row r="132" spans="1:16" x14ac:dyDescent="0.25">
      <c r="A132" t="s">
        <v>67</v>
      </c>
      <c r="B132" t="s">
        <v>70</v>
      </c>
      <c r="C132">
        <v>5</v>
      </c>
      <c r="D132" t="s">
        <v>137</v>
      </c>
      <c r="E132" t="s">
        <v>111</v>
      </c>
      <c r="F132" t="s">
        <v>79</v>
      </c>
      <c r="G132">
        <v>0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Projectsteelsheet.NumberOutNumber OutEntity</v>
      </c>
      <c r="J132" s="5">
        <f t="array" ref="J132">MAX(IF((ProjectInfoTable[ProjectName]=OutputTable[[#This Row],[ProjectName]]),(ProjectInfoTable[ProjectName]=OutputTable[[#This Row],[ProjectName]])*ProjectInfoTable[NumberOfReplications]))</f>
        <v>15</v>
      </c>
      <c r="K132" s="5">
        <f t="array" ref="K132">IFERROR(AVERAGE(IF((OutputTable[GroupByKey]=OutputTable[[#This Row],[GroupByKey]]),(OutputTable[GroupByKey]=OutputTable[[#This Row],[GroupByKey]])*OutputTable[RecordedValue])),0)</f>
        <v>0</v>
      </c>
      <c r="L132" s="5">
        <f t="array" ref="L132">IFERROR(_xlfn.STDEV.S(IF((OutputTable[GroupByKey]=OutputTable[[#This Row],[GroupByKey]]),(OutputTable[GroupByKey]=OutputTable[[#This Row],[GroupByKey]])*OutputTable[RecordedValue])),0)</f>
        <v>0</v>
      </c>
      <c r="M132" s="5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2" s="5">
        <f t="array" ref="O132">MIN(IF((OutputTable[GroupByKey]=OutputTable[[#This Row],[GroupByKey]]),(OutputTable[GroupByKey]=OutputTable[[#This Row],[GroupByKey]])*OutputTable[RecordedValue]))</f>
        <v>0</v>
      </c>
      <c r="P132" s="5">
        <f t="array" ref="P132">MAX(IF((OutputTable[GroupByKey]=OutputTable[[#This Row],[GroupByKey]]),(OutputTable[GroupByKey]=OutputTable[[#This Row],[GroupByKey]])*OutputTable[RecordedValue]))</f>
        <v>0</v>
      </c>
    </row>
    <row r="133" spans="1:16" x14ac:dyDescent="0.25">
      <c r="A133" t="s">
        <v>67</v>
      </c>
      <c r="B133" t="s">
        <v>70</v>
      </c>
      <c r="C133">
        <v>5</v>
      </c>
      <c r="D133" t="s">
        <v>138</v>
      </c>
      <c r="E133" t="s">
        <v>114</v>
      </c>
      <c r="F133" t="s">
        <v>73</v>
      </c>
      <c r="G133">
        <v>0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Projectwelder.NumberSeizedTotal Number SeizedResource</v>
      </c>
      <c r="J133" s="5">
        <f t="array" ref="J133">MAX(IF((ProjectInfoTable[ProjectName]=OutputTable[[#This Row],[ProjectName]]),(ProjectInfoTable[ProjectName]=OutputTable[[#This Row],[ProjectName]])*ProjectInfoTable[NumberOfReplications]))</f>
        <v>15</v>
      </c>
      <c r="K133" s="5">
        <f t="array" ref="K133">IFERROR(AVERAGE(IF((OutputTable[GroupByKey]=OutputTable[[#This Row],[GroupByKey]]),(OutputTable[GroupByKey]=OutputTable[[#This Row],[GroupByKey]])*OutputTable[RecordedValue])),0)</f>
        <v>0</v>
      </c>
      <c r="L133" s="5">
        <f t="array" ref="L133">IFERROR(_xlfn.STDEV.S(IF((OutputTable[GroupByKey]=OutputTable[[#This Row],[GroupByKey]]),(OutputTable[GroupByKey]=OutputTable[[#This Row],[GroupByKey]])*OutputTable[RecordedValue])),0)</f>
        <v>0</v>
      </c>
      <c r="M133" s="5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3" s="5">
        <f t="array" ref="O133">MIN(IF((OutputTable[GroupByKey]=OutputTable[[#This Row],[GroupByKey]]),(OutputTable[GroupByKey]=OutputTable[[#This Row],[GroupByKey]])*OutputTable[RecordedValue]))</f>
        <v>0</v>
      </c>
      <c r="P133" s="5">
        <f t="array" ref="P133">MAX(IF((OutputTable[GroupByKey]=OutputTable[[#This Row],[GroupByKey]]),(OutputTable[GroupByKey]=OutputTable[[#This Row],[GroupByKey]])*OutputTable[RecordedValue]))</f>
        <v>0</v>
      </c>
    </row>
    <row r="134" spans="1:16" x14ac:dyDescent="0.25">
      <c r="A134" t="s">
        <v>67</v>
      </c>
      <c r="B134" t="s">
        <v>70</v>
      </c>
      <c r="C134">
        <v>5</v>
      </c>
      <c r="D134" t="s">
        <v>139</v>
      </c>
      <c r="E134" t="s">
        <v>116</v>
      </c>
      <c r="F134" t="s">
        <v>73</v>
      </c>
      <c r="G134">
        <v>0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Projectwelder.ScheduledUtilizationScheduled UtilizationResource</v>
      </c>
      <c r="J134" s="5">
        <f t="array" ref="J134">MAX(IF((ProjectInfoTable[ProjectName]=OutputTable[[#This Row],[ProjectName]]),(ProjectInfoTable[ProjectName]=OutputTable[[#This Row],[ProjectName]])*ProjectInfoTable[NumberOfReplications]))</f>
        <v>15</v>
      </c>
      <c r="K134" s="5">
        <f t="array" ref="K134">IFERROR(AVERAGE(IF((OutputTable[GroupByKey]=OutputTable[[#This Row],[GroupByKey]]),(OutputTable[GroupByKey]=OutputTable[[#This Row],[GroupByKey]])*OutputTable[RecordedValue])),0)</f>
        <v>0</v>
      </c>
      <c r="L134" s="5">
        <f t="array" ref="L134">IFERROR(_xlfn.STDEV.S(IF((OutputTable[GroupByKey]=OutputTable[[#This Row],[GroupByKey]]),(OutputTable[GroupByKey]=OutputTable[[#This Row],[GroupByKey]])*OutputTable[RecordedValue])),0)</f>
        <v>0</v>
      </c>
      <c r="M134" s="5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" s="5">
        <f t="array" ref="O134">MIN(IF((OutputTable[GroupByKey]=OutputTable[[#This Row],[GroupByKey]]),(OutputTable[GroupByKey]=OutputTable[[#This Row],[GroupByKey]])*OutputTable[RecordedValue]))</f>
        <v>0</v>
      </c>
      <c r="P134" s="5">
        <f t="array" ref="P134">MAX(IF((OutputTable[GroupByKey]=OutputTable[[#This Row],[GroupByKey]]),(OutputTable[GroupByKey]=OutputTable[[#This Row],[GroupByKey]])*OutputTable[RecordedValue]))</f>
        <v>0</v>
      </c>
    </row>
    <row r="135" spans="1:16" x14ac:dyDescent="0.25">
      <c r="A135" t="s">
        <v>67</v>
      </c>
      <c r="B135" t="s">
        <v>70</v>
      </c>
      <c r="C135">
        <v>5</v>
      </c>
      <c r="D135" t="s">
        <v>140</v>
      </c>
      <c r="E135" t="s">
        <v>114</v>
      </c>
      <c r="F135" t="s">
        <v>73</v>
      </c>
      <c r="G135">
        <v>0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Projectweldingqcworker.NumberSeizedTotal Number SeizedResource</v>
      </c>
      <c r="J135" s="5">
        <f t="array" ref="J135">MAX(IF((ProjectInfoTable[ProjectName]=OutputTable[[#This Row],[ProjectName]]),(ProjectInfoTable[ProjectName]=OutputTable[[#This Row],[ProjectName]])*ProjectInfoTable[NumberOfReplications]))</f>
        <v>15</v>
      </c>
      <c r="K135" s="5">
        <f t="array" ref="K135">IFERROR(AVERAGE(IF((OutputTable[GroupByKey]=OutputTable[[#This Row],[GroupByKey]]),(OutputTable[GroupByKey]=OutputTable[[#This Row],[GroupByKey]])*OutputTable[RecordedValue])),0)</f>
        <v>0</v>
      </c>
      <c r="L135" s="5">
        <f t="array" ref="L135">IFERROR(_xlfn.STDEV.S(IF((OutputTable[GroupByKey]=OutputTable[[#This Row],[GroupByKey]]),(OutputTable[GroupByKey]=OutputTable[[#This Row],[GroupByKey]])*OutputTable[RecordedValue])),0)</f>
        <v>0</v>
      </c>
      <c r="M135" s="5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" s="5">
        <f t="array" ref="O135">MIN(IF((OutputTable[GroupByKey]=OutputTable[[#This Row],[GroupByKey]]),(OutputTable[GroupByKey]=OutputTable[[#This Row],[GroupByKey]])*OutputTable[RecordedValue]))</f>
        <v>0</v>
      </c>
      <c r="P135" s="5">
        <f t="array" ref="P135">MAX(IF((OutputTable[GroupByKey]=OutputTable[[#This Row],[GroupByKey]]),(OutputTable[GroupByKey]=OutputTable[[#This Row],[GroupByKey]])*OutputTable[RecordedValue]))</f>
        <v>0</v>
      </c>
    </row>
    <row r="136" spans="1:16" x14ac:dyDescent="0.25">
      <c r="A136" t="s">
        <v>67</v>
      </c>
      <c r="B136" t="s">
        <v>70</v>
      </c>
      <c r="C136">
        <v>5</v>
      </c>
      <c r="D136" t="s">
        <v>141</v>
      </c>
      <c r="E136" t="s">
        <v>116</v>
      </c>
      <c r="F136" t="s">
        <v>73</v>
      </c>
      <c r="G136">
        <v>0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Projectweldingqcworker.ScheduledUtilizationScheduled UtilizationResource</v>
      </c>
      <c r="J136" s="5">
        <f t="array" ref="J136">MAX(IF((ProjectInfoTable[ProjectName]=OutputTable[[#This Row],[ProjectName]]),(ProjectInfoTable[ProjectName]=OutputTable[[#This Row],[ProjectName]])*ProjectInfoTable[NumberOfReplications]))</f>
        <v>15</v>
      </c>
      <c r="K136" s="5">
        <f t="array" ref="K136">IFERROR(AVERAGE(IF((OutputTable[GroupByKey]=OutputTable[[#This Row],[GroupByKey]]),(OutputTable[GroupByKey]=OutputTable[[#This Row],[GroupByKey]])*OutputTable[RecordedValue])),0)</f>
        <v>0</v>
      </c>
      <c r="L136" s="5">
        <f t="array" ref="L136">IFERROR(_xlfn.STDEV.S(IF((OutputTable[GroupByKey]=OutputTable[[#This Row],[GroupByKey]]),(OutputTable[GroupByKey]=OutputTable[[#This Row],[GroupByKey]])*OutputTable[RecordedValue])),0)</f>
        <v>0</v>
      </c>
      <c r="M136" s="5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6" s="5">
        <f t="array" ref="O136">MIN(IF((OutputTable[GroupByKey]=OutputTable[[#This Row],[GroupByKey]]),(OutputTable[GroupByKey]=OutputTable[[#This Row],[GroupByKey]])*OutputTable[RecordedValue]))</f>
        <v>0</v>
      </c>
      <c r="P136" s="5">
        <f t="array" ref="P136">MAX(IF((OutputTable[GroupByKey]=OutputTable[[#This Row],[GroupByKey]]),(OutputTable[GroupByKey]=OutputTable[[#This Row],[GroupByKey]])*OutputTable[RecordedValue]))</f>
        <v>0</v>
      </c>
    </row>
    <row r="137" spans="1:16" x14ac:dyDescent="0.25">
      <c r="A137" t="s">
        <v>67</v>
      </c>
      <c r="B137" t="s">
        <v>70</v>
      </c>
      <c r="C137">
        <v>6</v>
      </c>
      <c r="D137" t="s">
        <v>110</v>
      </c>
      <c r="E137" t="s">
        <v>111</v>
      </c>
      <c r="F137" t="s">
        <v>112</v>
      </c>
      <c r="G137">
        <v>0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ProjectSystem.NumberOutNumber OutSystem</v>
      </c>
      <c r="J137" s="5">
        <f t="array" ref="J137">MAX(IF((ProjectInfoTable[ProjectName]=OutputTable[[#This Row],[ProjectName]]),(ProjectInfoTable[ProjectName]=OutputTable[[#This Row],[ProjectName]])*ProjectInfoTable[NumberOfReplications]))</f>
        <v>15</v>
      </c>
      <c r="K137" s="5">
        <f t="array" ref="K137">IFERROR(AVERAGE(IF((OutputTable[GroupByKey]=OutputTable[[#This Row],[GroupByKey]]),(OutputTable[GroupByKey]=OutputTable[[#This Row],[GroupByKey]])*OutputTable[RecordedValue])),0)</f>
        <v>0</v>
      </c>
      <c r="L137" s="5">
        <f t="array" ref="L137">IFERROR(_xlfn.STDEV.S(IF((OutputTable[GroupByKey]=OutputTable[[#This Row],[GroupByKey]]),(OutputTable[GroupByKey]=OutputTable[[#This Row],[GroupByKey]])*OutputTable[RecordedValue])),0)</f>
        <v>0</v>
      </c>
      <c r="M137" s="5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7" s="5">
        <f t="array" ref="O137">MIN(IF((OutputTable[GroupByKey]=OutputTable[[#This Row],[GroupByKey]]),(OutputTable[GroupByKey]=OutputTable[[#This Row],[GroupByKey]])*OutputTable[RecordedValue]))</f>
        <v>0</v>
      </c>
      <c r="P137" s="5">
        <f t="array" ref="P137">MAX(IF((OutputTable[GroupByKey]=OutputTable[[#This Row],[GroupByKey]]),(OutputTable[GroupByKey]=OutputTable[[#This Row],[GroupByKey]])*OutputTable[RecordedValue]))</f>
        <v>0</v>
      </c>
    </row>
    <row r="138" spans="1:16" x14ac:dyDescent="0.25">
      <c r="A138" t="s">
        <v>67</v>
      </c>
      <c r="B138" t="s">
        <v>70</v>
      </c>
      <c r="C138">
        <v>6</v>
      </c>
      <c r="D138" t="s">
        <v>113</v>
      </c>
      <c r="E138" t="s">
        <v>114</v>
      </c>
      <c r="F138" t="s">
        <v>73</v>
      </c>
      <c r="G138">
        <v>0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Projectassembler.NumberSeizedTotal Number SeizedResource</v>
      </c>
      <c r="J138" s="5">
        <f t="array" ref="J138">MAX(IF((ProjectInfoTable[ProjectName]=OutputTable[[#This Row],[ProjectName]]),(ProjectInfoTable[ProjectName]=OutputTable[[#This Row],[ProjectName]])*ProjectInfoTable[NumberOfReplications]))</f>
        <v>15</v>
      </c>
      <c r="K138" s="5">
        <f t="array" ref="K138">IFERROR(AVERAGE(IF((OutputTable[GroupByKey]=OutputTable[[#This Row],[GroupByKey]]),(OutputTable[GroupByKey]=OutputTable[[#This Row],[GroupByKey]])*OutputTable[RecordedValue])),0)</f>
        <v>0</v>
      </c>
      <c r="L138" s="5">
        <f t="array" ref="L138">IFERROR(_xlfn.STDEV.S(IF((OutputTable[GroupByKey]=OutputTable[[#This Row],[GroupByKey]]),(OutputTable[GroupByKey]=OutputTable[[#This Row],[GroupByKey]])*OutputTable[RecordedValue])),0)</f>
        <v>0</v>
      </c>
      <c r="M138" s="5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8" s="5">
        <f t="array" ref="O138">MIN(IF((OutputTable[GroupByKey]=OutputTable[[#This Row],[GroupByKey]]),(OutputTable[GroupByKey]=OutputTable[[#This Row],[GroupByKey]])*OutputTable[RecordedValue]))</f>
        <v>0</v>
      </c>
      <c r="P138" s="5">
        <f t="array" ref="P138">MAX(IF((OutputTable[GroupByKey]=OutputTable[[#This Row],[GroupByKey]]),(OutputTable[GroupByKey]=OutputTable[[#This Row],[GroupByKey]])*OutputTable[RecordedValue]))</f>
        <v>0</v>
      </c>
    </row>
    <row r="139" spans="1:16" x14ac:dyDescent="0.25">
      <c r="A139" t="s">
        <v>67</v>
      </c>
      <c r="B139" t="s">
        <v>70</v>
      </c>
      <c r="C139">
        <v>6</v>
      </c>
      <c r="D139" t="s">
        <v>115</v>
      </c>
      <c r="E139" t="s">
        <v>116</v>
      </c>
      <c r="F139" t="s">
        <v>73</v>
      </c>
      <c r="G139">
        <v>0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Projectassembler.ScheduledUtilizationScheduled UtilizationResource</v>
      </c>
      <c r="J139" s="5">
        <f t="array" ref="J139">MAX(IF((ProjectInfoTable[ProjectName]=OutputTable[[#This Row],[ProjectName]]),(ProjectInfoTable[ProjectName]=OutputTable[[#This Row],[ProjectName]])*ProjectInfoTable[NumberOfReplications]))</f>
        <v>15</v>
      </c>
      <c r="K139" s="5">
        <f t="array" ref="K139">IFERROR(AVERAGE(IF((OutputTable[GroupByKey]=OutputTable[[#This Row],[GroupByKey]]),(OutputTable[GroupByKey]=OutputTable[[#This Row],[GroupByKey]])*OutputTable[RecordedValue])),0)</f>
        <v>0</v>
      </c>
      <c r="L139" s="5">
        <f t="array" ref="L139">IFERROR(_xlfn.STDEV.S(IF((OutputTable[GroupByKey]=OutputTable[[#This Row],[GroupByKey]]),(OutputTable[GroupByKey]=OutputTable[[#This Row],[GroupByKey]])*OutputTable[RecordedValue])),0)</f>
        <v>0</v>
      </c>
      <c r="M139" s="5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9" s="5">
        <f t="array" ref="O139">MIN(IF((OutputTable[GroupByKey]=OutputTable[[#This Row],[GroupByKey]]),(OutputTable[GroupByKey]=OutputTable[[#This Row],[GroupByKey]])*OutputTable[RecordedValue]))</f>
        <v>0</v>
      </c>
      <c r="P139" s="5">
        <f t="array" ref="P139">MAX(IF((OutputTable[GroupByKey]=OutputTable[[#This Row],[GroupByKey]]),(OutputTable[GroupByKey]=OutputTable[[#This Row],[GroupByKey]])*OutputTable[RecordedValue]))</f>
        <v>0</v>
      </c>
    </row>
    <row r="140" spans="1:16" x14ac:dyDescent="0.25">
      <c r="A140" t="s">
        <v>67</v>
      </c>
      <c r="B140" t="s">
        <v>70</v>
      </c>
      <c r="C140">
        <v>6</v>
      </c>
      <c r="D140" t="s">
        <v>117</v>
      </c>
      <c r="E140" t="s">
        <v>114</v>
      </c>
      <c r="F140" t="s">
        <v>73</v>
      </c>
      <c r="G140">
        <v>0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Projectassemblyqcworker.NumberSeizedTotal Number SeizedResource</v>
      </c>
      <c r="J140" s="5">
        <f t="array" ref="J140">MAX(IF((ProjectInfoTable[ProjectName]=OutputTable[[#This Row],[ProjectName]]),(ProjectInfoTable[ProjectName]=OutputTable[[#This Row],[ProjectName]])*ProjectInfoTable[NumberOfReplications]))</f>
        <v>15</v>
      </c>
      <c r="K140" s="5">
        <f t="array" ref="K140">IFERROR(AVERAGE(IF((OutputTable[GroupByKey]=OutputTable[[#This Row],[GroupByKey]]),(OutputTable[GroupByKey]=OutputTable[[#This Row],[GroupByKey]])*OutputTable[RecordedValue])),0)</f>
        <v>0</v>
      </c>
      <c r="L140" s="5">
        <f t="array" ref="L140">IFERROR(_xlfn.STDEV.S(IF((OutputTable[GroupByKey]=OutputTable[[#This Row],[GroupByKey]]),(OutputTable[GroupByKey]=OutputTable[[#This Row],[GroupByKey]])*OutputTable[RecordedValue])),0)</f>
        <v>0</v>
      </c>
      <c r="M140" s="5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0" s="5">
        <f t="array" ref="O140">MIN(IF((OutputTable[GroupByKey]=OutputTable[[#This Row],[GroupByKey]]),(OutputTable[GroupByKey]=OutputTable[[#This Row],[GroupByKey]])*OutputTable[RecordedValue]))</f>
        <v>0</v>
      </c>
      <c r="P140" s="5">
        <f t="array" ref="P140">MAX(IF((OutputTable[GroupByKey]=OutputTable[[#This Row],[GroupByKey]]),(OutputTable[GroupByKey]=OutputTable[[#This Row],[GroupByKey]])*OutputTable[RecordedValue]))</f>
        <v>0</v>
      </c>
    </row>
    <row r="141" spans="1:16" x14ac:dyDescent="0.25">
      <c r="A141" t="s">
        <v>67</v>
      </c>
      <c r="B141" t="s">
        <v>70</v>
      </c>
      <c r="C141">
        <v>6</v>
      </c>
      <c r="D141" t="s">
        <v>118</v>
      </c>
      <c r="E141" t="s">
        <v>116</v>
      </c>
      <c r="F141" t="s">
        <v>73</v>
      </c>
      <c r="G141">
        <v>0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Projectassemblyqcworker.ScheduledUtilizationScheduled UtilizationResource</v>
      </c>
      <c r="J141" s="5">
        <f t="array" ref="J141">MAX(IF((ProjectInfoTable[ProjectName]=OutputTable[[#This Row],[ProjectName]]),(ProjectInfoTable[ProjectName]=OutputTable[[#This Row],[ProjectName]])*ProjectInfoTable[NumberOfReplications]))</f>
        <v>15</v>
      </c>
      <c r="K141" s="5">
        <f t="array" ref="K141">IFERROR(AVERAGE(IF((OutputTable[GroupByKey]=OutputTable[[#This Row],[GroupByKey]]),(OutputTable[GroupByKey]=OutputTable[[#This Row],[GroupByKey]])*OutputTable[RecordedValue])),0)</f>
        <v>0</v>
      </c>
      <c r="L141" s="5">
        <f t="array" ref="L141">IFERROR(_xlfn.STDEV.S(IF((OutputTable[GroupByKey]=OutputTable[[#This Row],[GroupByKey]]),(OutputTable[GroupByKey]=OutputTable[[#This Row],[GroupByKey]])*OutputTable[RecordedValue])),0)</f>
        <v>0</v>
      </c>
      <c r="M141" s="5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1" s="5">
        <f t="array" ref="O141">MIN(IF((OutputTable[GroupByKey]=OutputTable[[#This Row],[GroupByKey]]),(OutputTable[GroupByKey]=OutputTable[[#This Row],[GroupByKey]])*OutputTable[RecordedValue]))</f>
        <v>0</v>
      </c>
      <c r="P141" s="5">
        <f t="array" ref="P141">MAX(IF((OutputTable[GroupByKey]=OutputTable[[#This Row],[GroupByKey]]),(OutputTable[GroupByKey]=OutputTable[[#This Row],[GroupByKey]])*OutputTable[RecordedValue]))</f>
        <v>0</v>
      </c>
    </row>
    <row r="142" spans="1:16" x14ac:dyDescent="0.25">
      <c r="A142" t="s">
        <v>67</v>
      </c>
      <c r="B142" t="s">
        <v>70</v>
      </c>
      <c r="C142">
        <v>6</v>
      </c>
      <c r="D142" t="s">
        <v>119</v>
      </c>
      <c r="E142" t="s">
        <v>120</v>
      </c>
      <c r="F142" t="s">
        <v>79</v>
      </c>
      <c r="G142">
        <v>0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Projectbatched_parts.NumberInNumber InEntity</v>
      </c>
      <c r="J142" s="5">
        <f t="array" ref="J142">MAX(IF((ProjectInfoTable[ProjectName]=OutputTable[[#This Row],[ProjectName]]),(ProjectInfoTable[ProjectName]=OutputTable[[#This Row],[ProjectName]])*ProjectInfoTable[NumberOfReplications]))</f>
        <v>15</v>
      </c>
      <c r="K142" s="5">
        <f t="array" ref="K142">IFERROR(AVERAGE(IF((OutputTable[GroupByKey]=OutputTable[[#This Row],[GroupByKey]]),(OutputTable[GroupByKey]=OutputTable[[#This Row],[GroupByKey]])*OutputTable[RecordedValue])),0)</f>
        <v>0</v>
      </c>
      <c r="L142" s="5">
        <f t="array" ref="L142">IFERROR(_xlfn.STDEV.S(IF((OutputTable[GroupByKey]=OutputTable[[#This Row],[GroupByKey]]),(OutputTable[GroupByKey]=OutputTable[[#This Row],[GroupByKey]])*OutputTable[RecordedValue])),0)</f>
        <v>0</v>
      </c>
      <c r="M142" s="5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2" s="5">
        <f t="array" ref="O142">MIN(IF((OutputTable[GroupByKey]=OutputTable[[#This Row],[GroupByKey]]),(OutputTable[GroupByKey]=OutputTable[[#This Row],[GroupByKey]])*OutputTable[RecordedValue]))</f>
        <v>0</v>
      </c>
      <c r="P142" s="5">
        <f t="array" ref="P142">MAX(IF((OutputTable[GroupByKey]=OutputTable[[#This Row],[GroupByKey]]),(OutputTable[GroupByKey]=OutputTable[[#This Row],[GroupByKey]])*OutputTable[RecordedValue]))</f>
        <v>0</v>
      </c>
    </row>
    <row r="143" spans="1:16" x14ac:dyDescent="0.25">
      <c r="A143" t="s">
        <v>67</v>
      </c>
      <c r="B143" t="s">
        <v>70</v>
      </c>
      <c r="C143">
        <v>6</v>
      </c>
      <c r="D143" t="s">
        <v>121</v>
      </c>
      <c r="E143" t="s">
        <v>111</v>
      </c>
      <c r="F143" t="s">
        <v>79</v>
      </c>
      <c r="G143">
        <v>0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Projectbatched_parts.NumberOutNumber OutEntity</v>
      </c>
      <c r="J143" s="5">
        <f t="array" ref="J143">MAX(IF((ProjectInfoTable[ProjectName]=OutputTable[[#This Row],[ProjectName]]),(ProjectInfoTable[ProjectName]=OutputTable[[#This Row],[ProjectName]])*ProjectInfoTable[NumberOfReplications]))</f>
        <v>15</v>
      </c>
      <c r="K143" s="5">
        <f t="array" ref="K143">IFERROR(AVERAGE(IF((OutputTable[GroupByKey]=OutputTable[[#This Row],[GroupByKey]]),(OutputTable[GroupByKey]=OutputTable[[#This Row],[GroupByKey]])*OutputTable[RecordedValue])),0)</f>
        <v>0</v>
      </c>
      <c r="L143" s="5">
        <f t="array" ref="L143">IFERROR(_xlfn.STDEV.S(IF((OutputTable[GroupByKey]=OutputTable[[#This Row],[GroupByKey]]),(OutputTable[GroupByKey]=OutputTable[[#This Row],[GroupByKey]])*OutputTable[RecordedValue])),0)</f>
        <v>0</v>
      </c>
      <c r="M143" s="5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3" s="5">
        <f t="array" ref="O143">MIN(IF((OutputTable[GroupByKey]=OutputTable[[#This Row],[GroupByKey]]),(OutputTable[GroupByKey]=OutputTable[[#This Row],[GroupByKey]])*OutputTable[RecordedValue]))</f>
        <v>0</v>
      </c>
      <c r="P143" s="5">
        <f t="array" ref="P143">MAX(IF((OutputTable[GroupByKey]=OutputTable[[#This Row],[GroupByKey]]),(OutputTable[GroupByKey]=OutputTable[[#This Row],[GroupByKey]])*OutputTable[RecordedValue]))</f>
        <v>0</v>
      </c>
    </row>
    <row r="144" spans="1:16" x14ac:dyDescent="0.25">
      <c r="A144" t="s">
        <v>67</v>
      </c>
      <c r="B144" t="s">
        <v>70</v>
      </c>
      <c r="C144">
        <v>6</v>
      </c>
      <c r="D144" t="s">
        <v>122</v>
      </c>
      <c r="E144" t="s">
        <v>114</v>
      </c>
      <c r="F144" t="s">
        <v>73</v>
      </c>
      <c r="G144">
        <v>0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Projectcleaner.NumberSeizedTotal Number SeizedResource</v>
      </c>
      <c r="J144" s="5">
        <f t="array" ref="J144">MAX(IF((ProjectInfoTable[ProjectName]=OutputTable[[#This Row],[ProjectName]]),(ProjectInfoTable[ProjectName]=OutputTable[[#This Row],[ProjectName]])*ProjectInfoTable[NumberOfReplications]))</f>
        <v>15</v>
      </c>
      <c r="K144" s="5">
        <f t="array" ref="K144">IFERROR(AVERAGE(IF((OutputTable[GroupByKey]=OutputTable[[#This Row],[GroupByKey]]),(OutputTable[GroupByKey]=OutputTable[[#This Row],[GroupByKey]])*OutputTable[RecordedValue])),0)</f>
        <v>0</v>
      </c>
      <c r="L144" s="5">
        <f t="array" ref="L144">IFERROR(_xlfn.STDEV.S(IF((OutputTable[GroupByKey]=OutputTable[[#This Row],[GroupByKey]]),(OutputTable[GroupByKey]=OutputTable[[#This Row],[GroupByKey]])*OutputTable[RecordedValue])),0)</f>
        <v>0</v>
      </c>
      <c r="M144" s="5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4" s="5">
        <f t="array" ref="O144">MIN(IF((OutputTable[GroupByKey]=OutputTable[[#This Row],[GroupByKey]]),(OutputTable[GroupByKey]=OutputTable[[#This Row],[GroupByKey]])*OutputTable[RecordedValue]))</f>
        <v>0</v>
      </c>
      <c r="P144" s="5">
        <f t="array" ref="P144">MAX(IF((OutputTable[GroupByKey]=OutputTable[[#This Row],[GroupByKey]]),(OutputTable[GroupByKey]=OutputTable[[#This Row],[GroupByKey]])*OutputTable[RecordedValue]))</f>
        <v>0</v>
      </c>
    </row>
    <row r="145" spans="1:16" x14ac:dyDescent="0.25">
      <c r="A145" t="s">
        <v>67</v>
      </c>
      <c r="B145" t="s">
        <v>70</v>
      </c>
      <c r="C145">
        <v>6</v>
      </c>
      <c r="D145" t="s">
        <v>123</v>
      </c>
      <c r="E145" t="s">
        <v>116</v>
      </c>
      <c r="F145" t="s">
        <v>73</v>
      </c>
      <c r="G145">
        <v>0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145" s="5">
        <f t="array" ref="J145">MAX(IF((ProjectInfoTable[ProjectName]=OutputTable[[#This Row],[ProjectName]]),(ProjectInfoTable[ProjectName]=OutputTable[[#This Row],[ProjectName]])*ProjectInfoTable[NumberOfReplications]))</f>
        <v>15</v>
      </c>
      <c r="K145" s="5">
        <f t="array" ref="K145">IFERROR(AVERAGE(IF((OutputTable[GroupByKey]=OutputTable[[#This Row],[GroupByKey]]),(OutputTable[GroupByKey]=OutputTable[[#This Row],[GroupByKey]])*OutputTable[RecordedValue])),0)</f>
        <v>0</v>
      </c>
      <c r="L145" s="5">
        <f t="array" ref="L145">IFERROR(_xlfn.STDEV.S(IF((OutputTable[GroupByKey]=OutputTable[[#This Row],[GroupByKey]]),(OutputTable[GroupByKey]=OutputTable[[#This Row],[GroupByKey]])*OutputTable[RecordedValue])),0)</f>
        <v>0</v>
      </c>
      <c r="M145" s="5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5" s="5">
        <f t="array" ref="O145">MIN(IF((OutputTable[GroupByKey]=OutputTable[[#This Row],[GroupByKey]]),(OutputTable[GroupByKey]=OutputTable[[#This Row],[GroupByKey]])*OutputTable[RecordedValue]))</f>
        <v>0</v>
      </c>
      <c r="P145" s="5">
        <f t="array" ref="P145">MAX(IF((OutputTable[GroupByKey]=OutputTable[[#This Row],[GroupByKey]]),(OutputTable[GroupByKey]=OutputTable[[#This Row],[GroupByKey]])*OutputTable[RecordedValue]))</f>
        <v>0</v>
      </c>
    </row>
    <row r="146" spans="1:16" x14ac:dyDescent="0.25">
      <c r="A146" t="s">
        <v>67</v>
      </c>
      <c r="B146" t="s">
        <v>70</v>
      </c>
      <c r="C146">
        <v>6</v>
      </c>
      <c r="D146" t="s">
        <v>124</v>
      </c>
      <c r="E146" t="s">
        <v>114</v>
      </c>
      <c r="F146" t="s">
        <v>73</v>
      </c>
      <c r="G146">
        <v>0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Projectcutter.NumberSeizedTotal Number SeizedResource</v>
      </c>
      <c r="J146" s="5">
        <f t="array" ref="J146">MAX(IF((ProjectInfoTable[ProjectName]=OutputTable[[#This Row],[ProjectName]]),(ProjectInfoTable[ProjectName]=OutputTable[[#This Row],[ProjectName]])*ProjectInfoTable[NumberOfReplications]))</f>
        <v>15</v>
      </c>
      <c r="K146" s="5">
        <f t="array" ref="K146">IFERROR(AVERAGE(IF((OutputTable[GroupByKey]=OutputTable[[#This Row],[GroupByKey]]),(OutputTable[GroupByKey]=OutputTable[[#This Row],[GroupByKey]])*OutputTable[RecordedValue])),0)</f>
        <v>0</v>
      </c>
      <c r="L146" s="5">
        <f t="array" ref="L146">IFERROR(_xlfn.STDEV.S(IF((OutputTable[GroupByKey]=OutputTable[[#This Row],[GroupByKey]]),(OutputTable[GroupByKey]=OutputTable[[#This Row],[GroupByKey]])*OutputTable[RecordedValue])),0)</f>
        <v>0</v>
      </c>
      <c r="M146" s="5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6" s="5">
        <f t="array" ref="O146">MIN(IF((OutputTable[GroupByKey]=OutputTable[[#This Row],[GroupByKey]]),(OutputTable[GroupByKey]=OutputTable[[#This Row],[GroupByKey]])*OutputTable[RecordedValue]))</f>
        <v>0</v>
      </c>
      <c r="P146" s="5">
        <f t="array" ref="P146">MAX(IF((OutputTable[GroupByKey]=OutputTable[[#This Row],[GroupByKey]]),(OutputTable[GroupByKey]=OutputTable[[#This Row],[GroupByKey]])*OutputTable[RecordedValue]))</f>
        <v>0</v>
      </c>
    </row>
    <row r="147" spans="1:16" x14ac:dyDescent="0.25">
      <c r="A147" t="s">
        <v>67</v>
      </c>
      <c r="B147" t="s">
        <v>70</v>
      </c>
      <c r="C147">
        <v>6</v>
      </c>
      <c r="D147" t="s">
        <v>125</v>
      </c>
      <c r="E147" t="s">
        <v>116</v>
      </c>
      <c r="F147" t="s">
        <v>73</v>
      </c>
      <c r="G147">
        <v>0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Projectcutter.ScheduledUtilizationScheduled UtilizationResource</v>
      </c>
      <c r="J147" s="5">
        <f t="array" ref="J147">MAX(IF((ProjectInfoTable[ProjectName]=OutputTable[[#This Row],[ProjectName]]),(ProjectInfoTable[ProjectName]=OutputTable[[#This Row],[ProjectName]])*ProjectInfoTable[NumberOfReplications]))</f>
        <v>15</v>
      </c>
      <c r="K147" s="5">
        <f t="array" ref="K147">IFERROR(AVERAGE(IF((OutputTable[GroupByKey]=OutputTable[[#This Row],[GroupByKey]]),(OutputTable[GroupByKey]=OutputTable[[#This Row],[GroupByKey]])*OutputTable[RecordedValue])),0)</f>
        <v>0</v>
      </c>
      <c r="L147" s="5">
        <f t="array" ref="L147">IFERROR(_xlfn.STDEV.S(IF((OutputTable[GroupByKey]=OutputTable[[#This Row],[GroupByKey]]),(OutputTable[GroupByKey]=OutputTable[[#This Row],[GroupByKey]])*OutputTable[RecordedValue])),0)</f>
        <v>0</v>
      </c>
      <c r="M147" s="5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7" s="5">
        <f t="array" ref="O147">MIN(IF((OutputTable[GroupByKey]=OutputTable[[#This Row],[GroupByKey]]),(OutputTable[GroupByKey]=OutputTable[[#This Row],[GroupByKey]])*OutputTable[RecordedValue]))</f>
        <v>0</v>
      </c>
      <c r="P147" s="5">
        <f t="array" ref="P147">MAX(IF((OutputTable[GroupByKey]=OutputTable[[#This Row],[GroupByKey]]),(OutputTable[GroupByKey]=OutputTable[[#This Row],[GroupByKey]])*OutputTable[RecordedValue]))</f>
        <v>0</v>
      </c>
    </row>
    <row r="148" spans="1:16" x14ac:dyDescent="0.25">
      <c r="A148" t="s">
        <v>67</v>
      </c>
      <c r="B148" t="s">
        <v>70</v>
      </c>
      <c r="C148">
        <v>6</v>
      </c>
      <c r="D148" t="s">
        <v>126</v>
      </c>
      <c r="E148" t="s">
        <v>114</v>
      </c>
      <c r="F148" t="s">
        <v>73</v>
      </c>
      <c r="G148">
        <v>0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Projectfinalqcman.NumberSeizedTotal Number SeizedResource</v>
      </c>
      <c r="J148" s="5">
        <f t="array" ref="J148">MAX(IF((ProjectInfoTable[ProjectName]=OutputTable[[#This Row],[ProjectName]]),(ProjectInfoTable[ProjectName]=OutputTable[[#This Row],[ProjectName]])*ProjectInfoTable[NumberOfReplications]))</f>
        <v>15</v>
      </c>
      <c r="K148" s="5">
        <f t="array" ref="K148">IFERROR(AVERAGE(IF((OutputTable[GroupByKey]=OutputTable[[#This Row],[GroupByKey]]),(OutputTable[GroupByKey]=OutputTable[[#This Row],[GroupByKey]])*OutputTable[RecordedValue])),0)</f>
        <v>0</v>
      </c>
      <c r="L148" s="5">
        <f t="array" ref="L148">IFERROR(_xlfn.STDEV.S(IF((OutputTable[GroupByKey]=OutputTable[[#This Row],[GroupByKey]]),(OutputTable[GroupByKey]=OutputTable[[#This Row],[GroupByKey]])*OutputTable[RecordedValue])),0)</f>
        <v>0</v>
      </c>
      <c r="M148" s="5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8" s="5">
        <f t="array" ref="O148">MIN(IF((OutputTable[GroupByKey]=OutputTable[[#This Row],[GroupByKey]]),(OutputTable[GroupByKey]=OutputTable[[#This Row],[GroupByKey]])*OutputTable[RecordedValue]))</f>
        <v>0</v>
      </c>
      <c r="P148" s="5">
        <f t="array" ref="P148">MAX(IF((OutputTable[GroupByKey]=OutputTable[[#This Row],[GroupByKey]]),(OutputTable[GroupByKey]=OutputTable[[#This Row],[GroupByKey]])*OutputTable[RecordedValue]))</f>
        <v>0</v>
      </c>
    </row>
    <row r="149" spans="1:16" x14ac:dyDescent="0.25">
      <c r="A149" t="s">
        <v>67</v>
      </c>
      <c r="B149" t="s">
        <v>70</v>
      </c>
      <c r="C149">
        <v>6</v>
      </c>
      <c r="D149" t="s">
        <v>127</v>
      </c>
      <c r="E149" t="s">
        <v>116</v>
      </c>
      <c r="F149" t="s">
        <v>73</v>
      </c>
      <c r="G149">
        <v>0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Projectfinalqcman.ScheduledUtilizationScheduled UtilizationResource</v>
      </c>
      <c r="J149" s="5">
        <f t="array" ref="J149">MAX(IF((ProjectInfoTable[ProjectName]=OutputTable[[#This Row],[ProjectName]]),(ProjectInfoTable[ProjectName]=OutputTable[[#This Row],[ProjectName]])*ProjectInfoTable[NumberOfReplications]))</f>
        <v>15</v>
      </c>
      <c r="K149" s="5">
        <f t="array" ref="K149">IFERROR(AVERAGE(IF((OutputTable[GroupByKey]=OutputTable[[#This Row],[GroupByKey]]),(OutputTable[GroupByKey]=OutputTable[[#This Row],[GroupByKey]])*OutputTable[RecordedValue])),0)</f>
        <v>0</v>
      </c>
      <c r="L149" s="5">
        <f t="array" ref="L149">IFERROR(_xlfn.STDEV.S(IF((OutputTable[GroupByKey]=OutputTable[[#This Row],[GroupByKey]]),(OutputTable[GroupByKey]=OutputTable[[#This Row],[GroupByKey]])*OutputTable[RecordedValue])),0)</f>
        <v>0</v>
      </c>
      <c r="M149" s="5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49" s="5">
        <f t="array" ref="O149">MIN(IF((OutputTable[GroupByKey]=OutputTable[[#This Row],[GroupByKey]]),(OutputTable[GroupByKey]=OutputTable[[#This Row],[GroupByKey]])*OutputTable[RecordedValue]))</f>
        <v>0</v>
      </c>
      <c r="P149" s="5">
        <f t="array" ref="P149">MAX(IF((OutputTable[GroupByKey]=OutputTable[[#This Row],[GroupByKey]]),(OutputTable[GroupByKey]=OutputTable[[#This Row],[GroupByKey]])*OutputTable[RecordedValue]))</f>
        <v>0</v>
      </c>
    </row>
    <row r="150" spans="1:16" x14ac:dyDescent="0.25">
      <c r="A150" t="s">
        <v>67</v>
      </c>
      <c r="B150" t="s">
        <v>70</v>
      </c>
      <c r="C150">
        <v>6</v>
      </c>
      <c r="D150" t="s">
        <v>128</v>
      </c>
      <c r="E150" t="s">
        <v>114</v>
      </c>
      <c r="F150" t="s">
        <v>73</v>
      </c>
      <c r="G150">
        <v>0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Projectpaintingmachine.NumberSeizedTotal Number SeizedResource</v>
      </c>
      <c r="J150" s="5">
        <f t="array" ref="J150">MAX(IF((ProjectInfoTable[ProjectName]=OutputTable[[#This Row],[ProjectName]]),(ProjectInfoTable[ProjectName]=OutputTable[[#This Row],[ProjectName]])*ProjectInfoTable[NumberOfReplications]))</f>
        <v>15</v>
      </c>
      <c r="K150" s="5">
        <f t="array" ref="K150">IFERROR(AVERAGE(IF((OutputTable[GroupByKey]=OutputTable[[#This Row],[GroupByKey]]),(OutputTable[GroupByKey]=OutputTable[[#This Row],[GroupByKey]])*OutputTable[RecordedValue])),0)</f>
        <v>0</v>
      </c>
      <c r="L150" s="5">
        <f t="array" ref="L150">IFERROR(_xlfn.STDEV.S(IF((OutputTable[GroupByKey]=OutputTable[[#This Row],[GroupByKey]]),(OutputTable[GroupByKey]=OutputTable[[#This Row],[GroupByKey]])*OutputTable[RecordedValue])),0)</f>
        <v>0</v>
      </c>
      <c r="M150" s="5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0" s="5">
        <f t="array" ref="O150">MIN(IF((OutputTable[GroupByKey]=OutputTable[[#This Row],[GroupByKey]]),(OutputTable[GroupByKey]=OutputTable[[#This Row],[GroupByKey]])*OutputTable[RecordedValue]))</f>
        <v>0</v>
      </c>
      <c r="P150" s="5">
        <f t="array" ref="P150">MAX(IF((OutputTable[GroupByKey]=OutputTable[[#This Row],[GroupByKey]]),(OutputTable[GroupByKey]=OutputTable[[#This Row],[GroupByKey]])*OutputTable[RecordedValue]))</f>
        <v>0</v>
      </c>
    </row>
    <row r="151" spans="1:16" x14ac:dyDescent="0.25">
      <c r="A151" t="s">
        <v>67</v>
      </c>
      <c r="B151" t="s">
        <v>70</v>
      </c>
      <c r="C151">
        <v>6</v>
      </c>
      <c r="D151" t="s">
        <v>129</v>
      </c>
      <c r="E151" t="s">
        <v>116</v>
      </c>
      <c r="F151" t="s">
        <v>73</v>
      </c>
      <c r="G151">
        <v>0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Projectpaintingmachine.ScheduledUtilizationScheduled UtilizationResource</v>
      </c>
      <c r="J151" s="5">
        <f t="array" ref="J151">MAX(IF((ProjectInfoTable[ProjectName]=OutputTable[[#This Row],[ProjectName]]),(ProjectInfoTable[ProjectName]=OutputTable[[#This Row],[ProjectName]])*ProjectInfoTable[NumberOfReplications]))</f>
        <v>15</v>
      </c>
      <c r="K151" s="5">
        <f t="array" ref="K151">IFERROR(AVERAGE(IF((OutputTable[GroupByKey]=OutputTable[[#This Row],[GroupByKey]]),(OutputTable[GroupByKey]=OutputTable[[#This Row],[GroupByKey]])*OutputTable[RecordedValue])),0)</f>
        <v>0</v>
      </c>
      <c r="L151" s="5">
        <f t="array" ref="L151">IFERROR(_xlfn.STDEV.S(IF((OutputTable[GroupByKey]=OutputTable[[#This Row],[GroupByKey]]),(OutputTable[GroupByKey]=OutputTable[[#This Row],[GroupByKey]])*OutputTable[RecordedValue])),0)</f>
        <v>0</v>
      </c>
      <c r="M151" s="5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1" s="5">
        <f t="array" ref="O151">MIN(IF((OutputTable[GroupByKey]=OutputTable[[#This Row],[GroupByKey]]),(OutputTable[GroupByKey]=OutputTable[[#This Row],[GroupByKey]])*OutputTable[RecordedValue]))</f>
        <v>0</v>
      </c>
      <c r="P151" s="5">
        <f t="array" ref="P151">MAX(IF((OutputTable[GroupByKey]=OutputTable[[#This Row],[GroupByKey]]),(OutputTable[GroupByKey]=OutputTable[[#This Row],[GroupByKey]])*OutputTable[RecordedValue]))</f>
        <v>0</v>
      </c>
    </row>
    <row r="152" spans="1:16" x14ac:dyDescent="0.25">
      <c r="A152" t="s">
        <v>67</v>
      </c>
      <c r="B152" t="s">
        <v>70</v>
      </c>
      <c r="C152">
        <v>6</v>
      </c>
      <c r="D152" t="s">
        <v>130</v>
      </c>
      <c r="E152" t="s">
        <v>114</v>
      </c>
      <c r="F152" t="s">
        <v>73</v>
      </c>
      <c r="G152">
        <v>0</v>
      </c>
      <c r="H152">
        <v>0</v>
      </c>
      <c r="I152" s="5" t="str">
        <f>OutputTable[[#This Row],[ProjectName]]&amp;OutputTable[[#This Row],[Name]]&amp;OutputTable[[#This Row],[Type]]&amp;OutputTable[[#This Row],[Source]]</f>
        <v>Unnamed Projectpaintingoperator.NumberSeizedTotal Number SeizedResource</v>
      </c>
      <c r="J152" s="5">
        <f t="array" ref="J152">MAX(IF((ProjectInfoTable[ProjectName]=OutputTable[[#This Row],[ProjectName]]),(ProjectInfoTable[ProjectName]=OutputTable[[#This Row],[ProjectName]])*ProjectInfoTable[NumberOfReplications]))</f>
        <v>15</v>
      </c>
      <c r="K152" s="5">
        <f t="array" ref="K152">IFERROR(AVERAGE(IF((OutputTable[GroupByKey]=OutputTable[[#This Row],[GroupByKey]]),(OutputTable[GroupByKey]=OutputTable[[#This Row],[GroupByKey]])*OutputTable[RecordedValue])),0)</f>
        <v>0</v>
      </c>
      <c r="L152" s="5">
        <f t="array" ref="L152">IFERROR(_xlfn.STDEV.S(IF((OutputTable[GroupByKey]=OutputTable[[#This Row],[GroupByKey]]),(OutputTable[GroupByKey]=OutputTable[[#This Row],[GroupByKey]])*OutputTable[RecordedValue])),0)</f>
        <v>0</v>
      </c>
      <c r="M152" s="5">
        <f t="array" ref="M152">MAX(IF((ProjectInfoTable[ProjectName]=OutputTable[[#This Row],[ProjectName]]),(ProjectInfoTable[ProjectName]=OutputTable[[#This Row],[ProjectName]])*ProjectInfoTable[ConfidenceInterval]))</f>
        <v>0.95</v>
      </c>
      <c r="N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2" s="5">
        <f t="array" ref="O152">MIN(IF((OutputTable[GroupByKey]=OutputTable[[#This Row],[GroupByKey]]),(OutputTable[GroupByKey]=OutputTable[[#This Row],[GroupByKey]])*OutputTable[RecordedValue]))</f>
        <v>0</v>
      </c>
      <c r="P152" s="5">
        <f t="array" ref="P152">MAX(IF((OutputTable[GroupByKey]=OutputTable[[#This Row],[GroupByKey]]),(OutputTable[GroupByKey]=OutputTable[[#This Row],[GroupByKey]])*OutputTable[RecordedValue]))</f>
        <v>0</v>
      </c>
    </row>
    <row r="153" spans="1:16" x14ac:dyDescent="0.25">
      <c r="A153" t="s">
        <v>67</v>
      </c>
      <c r="B153" t="s">
        <v>70</v>
      </c>
      <c r="C153">
        <v>6</v>
      </c>
      <c r="D153" t="s">
        <v>131</v>
      </c>
      <c r="E153" t="s">
        <v>116</v>
      </c>
      <c r="F153" t="s">
        <v>73</v>
      </c>
      <c r="G153">
        <v>0</v>
      </c>
      <c r="H153">
        <v>0</v>
      </c>
      <c r="I153" s="5" t="str">
        <f>OutputTable[[#This Row],[ProjectName]]&amp;OutputTable[[#This Row],[Name]]&amp;OutputTable[[#This Row],[Type]]&amp;OutputTable[[#This Row],[Source]]</f>
        <v>Unnamed Projectpaintingoperator.ScheduledUtilizationScheduled UtilizationResource</v>
      </c>
      <c r="J153" s="5">
        <f t="array" ref="J153">MAX(IF((ProjectInfoTable[ProjectName]=OutputTable[[#This Row],[ProjectName]]),(ProjectInfoTable[ProjectName]=OutputTable[[#This Row],[ProjectName]])*ProjectInfoTable[NumberOfReplications]))</f>
        <v>15</v>
      </c>
      <c r="K153" s="5">
        <f t="array" ref="K153">IFERROR(AVERAGE(IF((OutputTable[GroupByKey]=OutputTable[[#This Row],[GroupByKey]]),(OutputTable[GroupByKey]=OutputTable[[#This Row],[GroupByKey]])*OutputTable[RecordedValue])),0)</f>
        <v>0</v>
      </c>
      <c r="L153" s="5">
        <f t="array" ref="L153">IFERROR(_xlfn.STDEV.S(IF((OutputTable[GroupByKey]=OutputTable[[#This Row],[GroupByKey]]),(OutputTable[GroupByKey]=OutputTable[[#This Row],[GroupByKey]])*OutputTable[RecordedValue])),0)</f>
        <v>0</v>
      </c>
      <c r="M153" s="5">
        <f t="array" ref="M153">MAX(IF((ProjectInfoTable[ProjectName]=OutputTable[[#This Row],[ProjectName]]),(ProjectInfoTable[ProjectName]=OutputTable[[#This Row],[ProjectName]])*ProjectInfoTable[ConfidenceInterval]))</f>
        <v>0.95</v>
      </c>
      <c r="N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3" s="5">
        <f t="array" ref="O153">MIN(IF((OutputTable[GroupByKey]=OutputTable[[#This Row],[GroupByKey]]),(OutputTable[GroupByKey]=OutputTable[[#This Row],[GroupByKey]])*OutputTable[RecordedValue]))</f>
        <v>0</v>
      </c>
      <c r="P153" s="5">
        <f t="array" ref="P153">MAX(IF((OutputTable[GroupByKey]=OutputTable[[#This Row],[GroupByKey]]),(OutputTable[GroupByKey]=OutputTable[[#This Row],[GroupByKey]])*OutputTable[RecordedValue]))</f>
        <v>0</v>
      </c>
    </row>
    <row r="154" spans="1:16" x14ac:dyDescent="0.25">
      <c r="A154" t="s">
        <v>67</v>
      </c>
      <c r="B154" t="s">
        <v>70</v>
      </c>
      <c r="C154">
        <v>6</v>
      </c>
      <c r="D154" t="s">
        <v>132</v>
      </c>
      <c r="E154" t="s">
        <v>114</v>
      </c>
      <c r="F154" t="s">
        <v>73</v>
      </c>
      <c r="G154">
        <v>0</v>
      </c>
      <c r="H154">
        <v>0</v>
      </c>
      <c r="I154" s="5" t="str">
        <f>OutputTable[[#This Row],[ProjectName]]&amp;OutputTable[[#This Row],[Name]]&amp;OutputTable[[#This Row],[Type]]&amp;OutputTable[[#This Row],[Source]]</f>
        <v>Unnamed Projectsandblastmachine.NumberSeizedTotal Number SeizedResource</v>
      </c>
      <c r="J154" s="5">
        <f t="array" ref="J154">MAX(IF((ProjectInfoTable[ProjectName]=OutputTable[[#This Row],[ProjectName]]),(ProjectInfoTable[ProjectName]=OutputTable[[#This Row],[ProjectName]])*ProjectInfoTable[NumberOfReplications]))</f>
        <v>15</v>
      </c>
      <c r="K154" s="5">
        <f t="array" ref="K154">IFERROR(AVERAGE(IF((OutputTable[GroupByKey]=OutputTable[[#This Row],[GroupByKey]]),(OutputTable[GroupByKey]=OutputTable[[#This Row],[GroupByKey]])*OutputTable[RecordedValue])),0)</f>
        <v>0</v>
      </c>
      <c r="L154" s="5">
        <f t="array" ref="L154">IFERROR(_xlfn.STDEV.S(IF((OutputTable[GroupByKey]=OutputTable[[#This Row],[GroupByKey]]),(OutputTable[GroupByKey]=OutputTable[[#This Row],[GroupByKey]])*OutputTable[RecordedValue])),0)</f>
        <v>0</v>
      </c>
      <c r="M154" s="5">
        <f t="array" ref="M154">MAX(IF((ProjectInfoTable[ProjectName]=OutputTable[[#This Row],[ProjectName]]),(ProjectInfoTable[ProjectName]=OutputTable[[#This Row],[ProjectName]])*ProjectInfoTable[ConfidenceInterval]))</f>
        <v>0.95</v>
      </c>
      <c r="N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4" s="5">
        <f t="array" ref="O154">MIN(IF((OutputTable[GroupByKey]=OutputTable[[#This Row],[GroupByKey]]),(OutputTable[GroupByKey]=OutputTable[[#This Row],[GroupByKey]])*OutputTable[RecordedValue]))</f>
        <v>0</v>
      </c>
      <c r="P154" s="5">
        <f t="array" ref="P154">MAX(IF((OutputTable[GroupByKey]=OutputTable[[#This Row],[GroupByKey]]),(OutputTable[GroupByKey]=OutputTable[[#This Row],[GroupByKey]])*OutputTable[RecordedValue]))</f>
        <v>0</v>
      </c>
    </row>
    <row r="155" spans="1:16" x14ac:dyDescent="0.25">
      <c r="A155" t="s">
        <v>67</v>
      </c>
      <c r="B155" t="s">
        <v>70</v>
      </c>
      <c r="C155">
        <v>6</v>
      </c>
      <c r="D155" t="s">
        <v>133</v>
      </c>
      <c r="E155" t="s">
        <v>116</v>
      </c>
      <c r="F155" t="s">
        <v>73</v>
      </c>
      <c r="G155">
        <v>0</v>
      </c>
      <c r="H155">
        <v>0</v>
      </c>
      <c r="I155" s="5" t="str">
        <f>OutputTable[[#This Row],[ProjectName]]&amp;OutputTable[[#This Row],[Name]]&amp;OutputTable[[#This Row],[Type]]&amp;OutputTable[[#This Row],[Source]]</f>
        <v>Unnamed Projectsandblastmachine.ScheduledUtilizationScheduled UtilizationResource</v>
      </c>
      <c r="J155" s="5">
        <f t="array" ref="J155">MAX(IF((ProjectInfoTable[ProjectName]=OutputTable[[#This Row],[ProjectName]]),(ProjectInfoTable[ProjectName]=OutputTable[[#This Row],[ProjectName]])*ProjectInfoTable[NumberOfReplications]))</f>
        <v>15</v>
      </c>
      <c r="K155" s="5">
        <f t="array" ref="K155">IFERROR(AVERAGE(IF((OutputTable[GroupByKey]=OutputTable[[#This Row],[GroupByKey]]),(OutputTable[GroupByKey]=OutputTable[[#This Row],[GroupByKey]])*OutputTable[RecordedValue])),0)</f>
        <v>0</v>
      </c>
      <c r="L155" s="5">
        <f t="array" ref="L155">IFERROR(_xlfn.STDEV.S(IF((OutputTable[GroupByKey]=OutputTable[[#This Row],[GroupByKey]]),(OutputTable[GroupByKey]=OutputTable[[#This Row],[GroupByKey]])*OutputTable[RecordedValue])),0)</f>
        <v>0</v>
      </c>
      <c r="M155" s="5">
        <f t="array" ref="M155">MAX(IF((ProjectInfoTable[ProjectName]=OutputTable[[#This Row],[ProjectName]]),(ProjectInfoTable[ProjectName]=OutputTable[[#This Row],[ProjectName]])*ProjectInfoTable[ConfidenceInterval]))</f>
        <v>0.95</v>
      </c>
      <c r="N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5" s="5">
        <f t="array" ref="O155">MIN(IF((OutputTable[GroupByKey]=OutputTable[[#This Row],[GroupByKey]]),(OutputTable[GroupByKey]=OutputTable[[#This Row],[GroupByKey]])*OutputTable[RecordedValue]))</f>
        <v>0</v>
      </c>
      <c r="P155" s="5">
        <f t="array" ref="P155">MAX(IF((OutputTable[GroupByKey]=OutputTable[[#This Row],[GroupByKey]]),(OutputTable[GroupByKey]=OutputTable[[#This Row],[GroupByKey]])*OutputTable[RecordedValue]))</f>
        <v>0</v>
      </c>
    </row>
    <row r="156" spans="1:16" x14ac:dyDescent="0.25">
      <c r="A156" t="s">
        <v>67</v>
      </c>
      <c r="B156" t="s">
        <v>70</v>
      </c>
      <c r="C156">
        <v>6</v>
      </c>
      <c r="D156" t="s">
        <v>134</v>
      </c>
      <c r="E156" t="s">
        <v>114</v>
      </c>
      <c r="F156" t="s">
        <v>73</v>
      </c>
      <c r="G156">
        <v>0</v>
      </c>
      <c r="H156">
        <v>0</v>
      </c>
      <c r="I156" s="5" t="str">
        <f>OutputTable[[#This Row],[ProjectName]]&amp;OutputTable[[#This Row],[Name]]&amp;OutputTable[[#This Row],[Type]]&amp;OutputTable[[#This Row],[Source]]</f>
        <v>Unnamed Projectsandblastoperator.NumberSeizedTotal Number SeizedResource</v>
      </c>
      <c r="J156" s="5">
        <f t="array" ref="J156">MAX(IF((ProjectInfoTable[ProjectName]=OutputTable[[#This Row],[ProjectName]]),(ProjectInfoTable[ProjectName]=OutputTable[[#This Row],[ProjectName]])*ProjectInfoTable[NumberOfReplications]))</f>
        <v>15</v>
      </c>
      <c r="K156" s="5">
        <f t="array" ref="K156">IFERROR(AVERAGE(IF((OutputTable[GroupByKey]=OutputTable[[#This Row],[GroupByKey]]),(OutputTable[GroupByKey]=OutputTable[[#This Row],[GroupByKey]])*OutputTable[RecordedValue])),0)</f>
        <v>0</v>
      </c>
      <c r="L156" s="5">
        <f t="array" ref="L156">IFERROR(_xlfn.STDEV.S(IF((OutputTable[GroupByKey]=OutputTable[[#This Row],[GroupByKey]]),(OutputTable[GroupByKey]=OutputTable[[#This Row],[GroupByKey]])*OutputTable[RecordedValue])),0)</f>
        <v>0</v>
      </c>
      <c r="M156" s="5">
        <f t="array" ref="M156">MAX(IF((ProjectInfoTable[ProjectName]=OutputTable[[#This Row],[ProjectName]]),(ProjectInfoTable[ProjectName]=OutputTable[[#This Row],[ProjectName]])*ProjectInfoTable[ConfidenceInterval]))</f>
        <v>0.95</v>
      </c>
      <c r="N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6" s="5">
        <f t="array" ref="O156">MIN(IF((OutputTable[GroupByKey]=OutputTable[[#This Row],[GroupByKey]]),(OutputTable[GroupByKey]=OutputTable[[#This Row],[GroupByKey]])*OutputTable[RecordedValue]))</f>
        <v>0</v>
      </c>
      <c r="P156" s="5">
        <f t="array" ref="P156">MAX(IF((OutputTable[GroupByKey]=OutputTable[[#This Row],[GroupByKey]]),(OutputTable[GroupByKey]=OutputTable[[#This Row],[GroupByKey]])*OutputTable[RecordedValue]))</f>
        <v>0</v>
      </c>
    </row>
    <row r="157" spans="1:16" x14ac:dyDescent="0.25">
      <c r="A157" t="s">
        <v>67</v>
      </c>
      <c r="B157" t="s">
        <v>70</v>
      </c>
      <c r="C157">
        <v>6</v>
      </c>
      <c r="D157" t="s">
        <v>135</v>
      </c>
      <c r="E157" t="s">
        <v>116</v>
      </c>
      <c r="F157" t="s">
        <v>73</v>
      </c>
      <c r="G157">
        <v>0</v>
      </c>
      <c r="H157">
        <v>0</v>
      </c>
      <c r="I157" s="5" t="str">
        <f>OutputTable[[#This Row],[ProjectName]]&amp;OutputTable[[#This Row],[Name]]&amp;OutputTable[[#This Row],[Type]]&amp;OutputTable[[#This Row],[Source]]</f>
        <v>Unnamed Projectsandblastoperator.ScheduledUtilizationScheduled UtilizationResource</v>
      </c>
      <c r="J157" s="5">
        <f t="array" ref="J157">MAX(IF((ProjectInfoTable[ProjectName]=OutputTable[[#This Row],[ProjectName]]),(ProjectInfoTable[ProjectName]=OutputTable[[#This Row],[ProjectName]])*ProjectInfoTable[NumberOfReplications]))</f>
        <v>15</v>
      </c>
      <c r="K157" s="5">
        <f t="array" ref="K157">IFERROR(AVERAGE(IF((OutputTable[GroupByKey]=OutputTable[[#This Row],[GroupByKey]]),(OutputTable[GroupByKey]=OutputTable[[#This Row],[GroupByKey]])*OutputTable[RecordedValue])),0)</f>
        <v>0</v>
      </c>
      <c r="L157" s="5">
        <f t="array" ref="L157">IFERROR(_xlfn.STDEV.S(IF((OutputTable[GroupByKey]=OutputTable[[#This Row],[GroupByKey]]),(OutputTable[GroupByKey]=OutputTable[[#This Row],[GroupByKey]])*OutputTable[RecordedValue])),0)</f>
        <v>0</v>
      </c>
      <c r="M157" s="5">
        <f t="array" ref="M157">MAX(IF((ProjectInfoTable[ProjectName]=OutputTable[[#This Row],[ProjectName]]),(ProjectInfoTable[ProjectName]=OutputTable[[#This Row],[ProjectName]])*ProjectInfoTable[ConfidenceInterval]))</f>
        <v>0.95</v>
      </c>
      <c r="N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7" s="5">
        <f t="array" ref="O157">MIN(IF((OutputTable[GroupByKey]=OutputTable[[#This Row],[GroupByKey]]),(OutputTable[GroupByKey]=OutputTable[[#This Row],[GroupByKey]])*OutputTable[RecordedValue]))</f>
        <v>0</v>
      </c>
      <c r="P157" s="5">
        <f t="array" ref="P157">MAX(IF((OutputTable[GroupByKey]=OutputTable[[#This Row],[GroupByKey]]),(OutputTable[GroupByKey]=OutputTable[[#This Row],[GroupByKey]])*OutputTable[RecordedValue]))</f>
        <v>0</v>
      </c>
    </row>
    <row r="158" spans="1:16" x14ac:dyDescent="0.25">
      <c r="A158" t="s">
        <v>67</v>
      </c>
      <c r="B158" t="s">
        <v>70</v>
      </c>
      <c r="C158">
        <v>6</v>
      </c>
      <c r="D158" t="s">
        <v>136</v>
      </c>
      <c r="E158" t="s">
        <v>120</v>
      </c>
      <c r="F158" t="s">
        <v>79</v>
      </c>
      <c r="G158">
        <v>0</v>
      </c>
      <c r="H158">
        <v>0</v>
      </c>
      <c r="I158" s="5" t="str">
        <f>OutputTable[[#This Row],[ProjectName]]&amp;OutputTable[[#This Row],[Name]]&amp;OutputTable[[#This Row],[Type]]&amp;OutputTable[[#This Row],[Source]]</f>
        <v>Unnamed Projectsteelsheet.NumberInNumber InEntity</v>
      </c>
      <c r="J158" s="5">
        <f t="array" ref="J158">MAX(IF((ProjectInfoTable[ProjectName]=OutputTable[[#This Row],[ProjectName]]),(ProjectInfoTable[ProjectName]=OutputTable[[#This Row],[ProjectName]])*ProjectInfoTable[NumberOfReplications]))</f>
        <v>15</v>
      </c>
      <c r="K158" s="5">
        <f t="array" ref="K158">IFERROR(AVERAGE(IF((OutputTable[GroupByKey]=OutputTable[[#This Row],[GroupByKey]]),(OutputTable[GroupByKey]=OutputTable[[#This Row],[GroupByKey]])*OutputTable[RecordedValue])),0)</f>
        <v>0</v>
      </c>
      <c r="L158" s="5">
        <f t="array" ref="L158">IFERROR(_xlfn.STDEV.S(IF((OutputTable[GroupByKey]=OutputTable[[#This Row],[GroupByKey]]),(OutputTable[GroupByKey]=OutputTable[[#This Row],[GroupByKey]])*OutputTable[RecordedValue])),0)</f>
        <v>0</v>
      </c>
      <c r="M158" s="5">
        <f t="array" ref="M158">MAX(IF((ProjectInfoTable[ProjectName]=OutputTable[[#This Row],[ProjectName]]),(ProjectInfoTable[ProjectName]=OutputTable[[#This Row],[ProjectName]])*ProjectInfoTable[ConfidenceInterval]))</f>
        <v>0.95</v>
      </c>
      <c r="N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8" s="5">
        <f t="array" ref="O158">MIN(IF((OutputTable[GroupByKey]=OutputTable[[#This Row],[GroupByKey]]),(OutputTable[GroupByKey]=OutputTable[[#This Row],[GroupByKey]])*OutputTable[RecordedValue]))</f>
        <v>0</v>
      </c>
      <c r="P158" s="5">
        <f t="array" ref="P158">MAX(IF((OutputTable[GroupByKey]=OutputTable[[#This Row],[GroupByKey]]),(OutputTable[GroupByKey]=OutputTable[[#This Row],[GroupByKey]])*OutputTable[RecordedValue]))</f>
        <v>0</v>
      </c>
    </row>
    <row r="159" spans="1:16" x14ac:dyDescent="0.25">
      <c r="A159" t="s">
        <v>67</v>
      </c>
      <c r="B159" t="s">
        <v>70</v>
      </c>
      <c r="C159">
        <v>6</v>
      </c>
      <c r="D159" t="s">
        <v>137</v>
      </c>
      <c r="E159" t="s">
        <v>111</v>
      </c>
      <c r="F159" t="s">
        <v>79</v>
      </c>
      <c r="G159">
        <v>0</v>
      </c>
      <c r="H159">
        <v>0</v>
      </c>
      <c r="I159" s="5" t="str">
        <f>OutputTable[[#This Row],[ProjectName]]&amp;OutputTable[[#This Row],[Name]]&amp;OutputTable[[#This Row],[Type]]&amp;OutputTable[[#This Row],[Source]]</f>
        <v>Unnamed Projectsteelsheet.NumberOutNumber OutEntity</v>
      </c>
      <c r="J159" s="5">
        <f t="array" ref="J159">MAX(IF((ProjectInfoTable[ProjectName]=OutputTable[[#This Row],[ProjectName]]),(ProjectInfoTable[ProjectName]=OutputTable[[#This Row],[ProjectName]])*ProjectInfoTable[NumberOfReplications]))</f>
        <v>15</v>
      </c>
      <c r="K159" s="5">
        <f t="array" ref="K159">IFERROR(AVERAGE(IF((OutputTable[GroupByKey]=OutputTable[[#This Row],[GroupByKey]]),(OutputTable[GroupByKey]=OutputTable[[#This Row],[GroupByKey]])*OutputTable[RecordedValue])),0)</f>
        <v>0</v>
      </c>
      <c r="L159" s="5">
        <f t="array" ref="L159">IFERROR(_xlfn.STDEV.S(IF((OutputTable[GroupByKey]=OutputTable[[#This Row],[GroupByKey]]),(OutputTable[GroupByKey]=OutputTable[[#This Row],[GroupByKey]])*OutputTable[RecordedValue])),0)</f>
        <v>0</v>
      </c>
      <c r="M159" s="5">
        <f t="array" ref="M159">MAX(IF((ProjectInfoTable[ProjectName]=OutputTable[[#This Row],[ProjectName]]),(ProjectInfoTable[ProjectName]=OutputTable[[#This Row],[ProjectName]])*ProjectInfoTable[ConfidenceInterval]))</f>
        <v>0.95</v>
      </c>
      <c r="N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9" s="5">
        <f t="array" ref="O159">MIN(IF((OutputTable[GroupByKey]=OutputTable[[#This Row],[GroupByKey]]),(OutputTable[GroupByKey]=OutputTable[[#This Row],[GroupByKey]])*OutputTable[RecordedValue]))</f>
        <v>0</v>
      </c>
      <c r="P159" s="5">
        <f t="array" ref="P159">MAX(IF((OutputTable[GroupByKey]=OutputTable[[#This Row],[GroupByKey]]),(OutputTable[GroupByKey]=OutputTable[[#This Row],[GroupByKey]])*OutputTable[RecordedValue]))</f>
        <v>0</v>
      </c>
    </row>
    <row r="160" spans="1:16" x14ac:dyDescent="0.25">
      <c r="A160" t="s">
        <v>67</v>
      </c>
      <c r="B160" t="s">
        <v>70</v>
      </c>
      <c r="C160">
        <v>6</v>
      </c>
      <c r="D160" t="s">
        <v>138</v>
      </c>
      <c r="E160" t="s">
        <v>114</v>
      </c>
      <c r="F160" t="s">
        <v>73</v>
      </c>
      <c r="G160">
        <v>0</v>
      </c>
      <c r="H160">
        <v>0</v>
      </c>
      <c r="I160" s="5" t="str">
        <f>OutputTable[[#This Row],[ProjectName]]&amp;OutputTable[[#This Row],[Name]]&amp;OutputTable[[#This Row],[Type]]&amp;OutputTable[[#This Row],[Source]]</f>
        <v>Unnamed Projectwelder.NumberSeizedTotal Number SeizedResource</v>
      </c>
      <c r="J160" s="5">
        <f t="array" ref="J160">MAX(IF((ProjectInfoTable[ProjectName]=OutputTable[[#This Row],[ProjectName]]),(ProjectInfoTable[ProjectName]=OutputTable[[#This Row],[ProjectName]])*ProjectInfoTable[NumberOfReplications]))</f>
        <v>15</v>
      </c>
      <c r="K160" s="5">
        <f t="array" ref="K160">IFERROR(AVERAGE(IF((OutputTable[GroupByKey]=OutputTable[[#This Row],[GroupByKey]]),(OutputTable[GroupByKey]=OutputTable[[#This Row],[GroupByKey]])*OutputTable[RecordedValue])),0)</f>
        <v>0</v>
      </c>
      <c r="L160" s="5">
        <f t="array" ref="L160">IFERROR(_xlfn.STDEV.S(IF((OutputTable[GroupByKey]=OutputTable[[#This Row],[GroupByKey]]),(OutputTable[GroupByKey]=OutputTable[[#This Row],[GroupByKey]])*OutputTable[RecordedValue])),0)</f>
        <v>0</v>
      </c>
      <c r="M160" s="5">
        <f t="array" ref="M160">MAX(IF((ProjectInfoTable[ProjectName]=OutputTable[[#This Row],[ProjectName]]),(ProjectInfoTable[ProjectName]=OutputTable[[#This Row],[ProjectName]])*ProjectInfoTable[ConfidenceInterval]))</f>
        <v>0.95</v>
      </c>
      <c r="N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0" s="5">
        <f t="array" ref="O160">MIN(IF((OutputTable[GroupByKey]=OutputTable[[#This Row],[GroupByKey]]),(OutputTable[GroupByKey]=OutputTable[[#This Row],[GroupByKey]])*OutputTable[RecordedValue]))</f>
        <v>0</v>
      </c>
      <c r="P160" s="5">
        <f t="array" ref="P160">MAX(IF((OutputTable[GroupByKey]=OutputTable[[#This Row],[GroupByKey]]),(OutputTable[GroupByKey]=OutputTable[[#This Row],[GroupByKey]])*OutputTable[RecordedValue]))</f>
        <v>0</v>
      </c>
    </row>
    <row r="161" spans="1:16" x14ac:dyDescent="0.25">
      <c r="A161" t="s">
        <v>67</v>
      </c>
      <c r="B161" t="s">
        <v>70</v>
      </c>
      <c r="C161">
        <v>6</v>
      </c>
      <c r="D161" t="s">
        <v>139</v>
      </c>
      <c r="E161" t="s">
        <v>116</v>
      </c>
      <c r="F161" t="s">
        <v>73</v>
      </c>
      <c r="G161">
        <v>0</v>
      </c>
      <c r="H161">
        <v>0</v>
      </c>
      <c r="I161" s="5" t="str">
        <f>OutputTable[[#This Row],[ProjectName]]&amp;OutputTable[[#This Row],[Name]]&amp;OutputTable[[#This Row],[Type]]&amp;OutputTable[[#This Row],[Source]]</f>
        <v>Unnamed Projectwelder.ScheduledUtilizationScheduled UtilizationResource</v>
      </c>
      <c r="J161" s="5">
        <f t="array" ref="J161">MAX(IF((ProjectInfoTable[ProjectName]=OutputTable[[#This Row],[ProjectName]]),(ProjectInfoTable[ProjectName]=OutputTable[[#This Row],[ProjectName]])*ProjectInfoTable[NumberOfReplications]))</f>
        <v>15</v>
      </c>
      <c r="K161" s="5">
        <f t="array" ref="K161">IFERROR(AVERAGE(IF((OutputTable[GroupByKey]=OutputTable[[#This Row],[GroupByKey]]),(OutputTable[GroupByKey]=OutputTable[[#This Row],[GroupByKey]])*OutputTable[RecordedValue])),0)</f>
        <v>0</v>
      </c>
      <c r="L161" s="5">
        <f t="array" ref="L161">IFERROR(_xlfn.STDEV.S(IF((OutputTable[GroupByKey]=OutputTable[[#This Row],[GroupByKey]]),(OutputTable[GroupByKey]=OutputTable[[#This Row],[GroupByKey]])*OutputTable[RecordedValue])),0)</f>
        <v>0</v>
      </c>
      <c r="M161" s="5">
        <f t="array" ref="M161">MAX(IF((ProjectInfoTable[ProjectName]=OutputTable[[#This Row],[ProjectName]]),(ProjectInfoTable[ProjectName]=OutputTable[[#This Row],[ProjectName]])*ProjectInfoTable[ConfidenceInterval]))</f>
        <v>0.95</v>
      </c>
      <c r="N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1" s="5">
        <f t="array" ref="O161">MIN(IF((OutputTable[GroupByKey]=OutputTable[[#This Row],[GroupByKey]]),(OutputTable[GroupByKey]=OutputTable[[#This Row],[GroupByKey]])*OutputTable[RecordedValue]))</f>
        <v>0</v>
      </c>
      <c r="P161" s="5">
        <f t="array" ref="P161">MAX(IF((OutputTable[GroupByKey]=OutputTable[[#This Row],[GroupByKey]]),(OutputTable[GroupByKey]=OutputTable[[#This Row],[GroupByKey]])*OutputTable[RecordedValue]))</f>
        <v>0</v>
      </c>
    </row>
    <row r="162" spans="1:16" x14ac:dyDescent="0.25">
      <c r="A162" t="s">
        <v>67</v>
      </c>
      <c r="B162" t="s">
        <v>70</v>
      </c>
      <c r="C162">
        <v>6</v>
      </c>
      <c r="D162" t="s">
        <v>140</v>
      </c>
      <c r="E162" t="s">
        <v>114</v>
      </c>
      <c r="F162" t="s">
        <v>73</v>
      </c>
      <c r="G162">
        <v>0</v>
      </c>
      <c r="H162">
        <v>0</v>
      </c>
      <c r="I162" s="5" t="str">
        <f>OutputTable[[#This Row],[ProjectName]]&amp;OutputTable[[#This Row],[Name]]&amp;OutputTable[[#This Row],[Type]]&amp;OutputTable[[#This Row],[Source]]</f>
        <v>Unnamed Projectweldingqcworker.NumberSeizedTotal Number SeizedResource</v>
      </c>
      <c r="J162" s="5">
        <f t="array" ref="J162">MAX(IF((ProjectInfoTable[ProjectName]=OutputTable[[#This Row],[ProjectName]]),(ProjectInfoTable[ProjectName]=OutputTable[[#This Row],[ProjectName]])*ProjectInfoTable[NumberOfReplications]))</f>
        <v>15</v>
      </c>
      <c r="K162" s="5">
        <f t="array" ref="K162">IFERROR(AVERAGE(IF((OutputTable[GroupByKey]=OutputTable[[#This Row],[GroupByKey]]),(OutputTable[GroupByKey]=OutputTable[[#This Row],[GroupByKey]])*OutputTable[RecordedValue])),0)</f>
        <v>0</v>
      </c>
      <c r="L162" s="5">
        <f t="array" ref="L162">IFERROR(_xlfn.STDEV.S(IF((OutputTable[GroupByKey]=OutputTable[[#This Row],[GroupByKey]]),(OutputTable[GroupByKey]=OutputTable[[#This Row],[GroupByKey]])*OutputTable[RecordedValue])),0)</f>
        <v>0</v>
      </c>
      <c r="M162" s="5">
        <f t="array" ref="M162">MAX(IF((ProjectInfoTable[ProjectName]=OutputTable[[#This Row],[ProjectName]]),(ProjectInfoTable[ProjectName]=OutputTable[[#This Row],[ProjectName]])*ProjectInfoTable[ConfidenceInterval]))</f>
        <v>0.95</v>
      </c>
      <c r="N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2" s="5">
        <f t="array" ref="O162">MIN(IF((OutputTable[GroupByKey]=OutputTable[[#This Row],[GroupByKey]]),(OutputTable[GroupByKey]=OutputTable[[#This Row],[GroupByKey]])*OutputTable[RecordedValue]))</f>
        <v>0</v>
      </c>
      <c r="P162" s="5">
        <f t="array" ref="P162">MAX(IF((OutputTable[GroupByKey]=OutputTable[[#This Row],[GroupByKey]]),(OutputTable[GroupByKey]=OutputTable[[#This Row],[GroupByKey]])*OutputTable[RecordedValue]))</f>
        <v>0</v>
      </c>
    </row>
    <row r="163" spans="1:16" x14ac:dyDescent="0.25">
      <c r="A163" t="s">
        <v>67</v>
      </c>
      <c r="B163" t="s">
        <v>70</v>
      </c>
      <c r="C163">
        <v>6</v>
      </c>
      <c r="D163" t="s">
        <v>141</v>
      </c>
      <c r="E163" t="s">
        <v>116</v>
      </c>
      <c r="F163" t="s">
        <v>73</v>
      </c>
      <c r="G163">
        <v>0</v>
      </c>
      <c r="H163">
        <v>0</v>
      </c>
      <c r="I163" s="5" t="str">
        <f>OutputTable[[#This Row],[ProjectName]]&amp;OutputTable[[#This Row],[Name]]&amp;OutputTable[[#This Row],[Type]]&amp;OutputTable[[#This Row],[Source]]</f>
        <v>Unnamed Projectweldingqcworker.ScheduledUtilizationScheduled UtilizationResource</v>
      </c>
      <c r="J163" s="5">
        <f t="array" ref="J163">MAX(IF((ProjectInfoTable[ProjectName]=OutputTable[[#This Row],[ProjectName]]),(ProjectInfoTable[ProjectName]=OutputTable[[#This Row],[ProjectName]])*ProjectInfoTable[NumberOfReplications]))</f>
        <v>15</v>
      </c>
      <c r="K163" s="5">
        <f t="array" ref="K163">IFERROR(AVERAGE(IF((OutputTable[GroupByKey]=OutputTable[[#This Row],[GroupByKey]]),(OutputTable[GroupByKey]=OutputTable[[#This Row],[GroupByKey]])*OutputTable[RecordedValue])),0)</f>
        <v>0</v>
      </c>
      <c r="L163" s="5">
        <f t="array" ref="L163">IFERROR(_xlfn.STDEV.S(IF((OutputTable[GroupByKey]=OutputTable[[#This Row],[GroupByKey]]),(OutputTable[GroupByKey]=OutputTable[[#This Row],[GroupByKey]])*OutputTable[RecordedValue])),0)</f>
        <v>0</v>
      </c>
      <c r="M163" s="5">
        <f t="array" ref="M163">MAX(IF((ProjectInfoTable[ProjectName]=OutputTable[[#This Row],[ProjectName]]),(ProjectInfoTable[ProjectName]=OutputTable[[#This Row],[ProjectName]])*ProjectInfoTable[ConfidenceInterval]))</f>
        <v>0.95</v>
      </c>
      <c r="N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3" s="5">
        <f t="array" ref="O163">MIN(IF((OutputTable[GroupByKey]=OutputTable[[#This Row],[GroupByKey]]),(OutputTable[GroupByKey]=OutputTable[[#This Row],[GroupByKey]])*OutputTable[RecordedValue]))</f>
        <v>0</v>
      </c>
      <c r="P163" s="5">
        <f t="array" ref="P163">MAX(IF((OutputTable[GroupByKey]=OutputTable[[#This Row],[GroupByKey]]),(OutputTable[GroupByKey]=OutputTable[[#This Row],[GroupByKey]])*OutputTable[RecordedValue]))</f>
        <v>0</v>
      </c>
    </row>
    <row r="164" spans="1:16" x14ac:dyDescent="0.25">
      <c r="A164" t="s">
        <v>67</v>
      </c>
      <c r="B164" t="s">
        <v>70</v>
      </c>
      <c r="C164">
        <v>7</v>
      </c>
      <c r="D164" t="s">
        <v>110</v>
      </c>
      <c r="E164" t="s">
        <v>111</v>
      </c>
      <c r="F164" t="s">
        <v>112</v>
      </c>
      <c r="G164">
        <v>0</v>
      </c>
      <c r="H164">
        <v>0</v>
      </c>
      <c r="I164" s="5" t="str">
        <f>OutputTable[[#This Row],[ProjectName]]&amp;OutputTable[[#This Row],[Name]]&amp;OutputTable[[#This Row],[Type]]&amp;OutputTable[[#This Row],[Source]]</f>
        <v>Unnamed ProjectSystem.NumberOutNumber OutSystem</v>
      </c>
      <c r="J164" s="5">
        <f t="array" ref="J164">MAX(IF((ProjectInfoTable[ProjectName]=OutputTable[[#This Row],[ProjectName]]),(ProjectInfoTable[ProjectName]=OutputTable[[#This Row],[ProjectName]])*ProjectInfoTable[NumberOfReplications]))</f>
        <v>15</v>
      </c>
      <c r="K164" s="5">
        <f t="array" ref="K164">IFERROR(AVERAGE(IF((OutputTable[GroupByKey]=OutputTable[[#This Row],[GroupByKey]]),(OutputTable[GroupByKey]=OutputTable[[#This Row],[GroupByKey]])*OutputTable[RecordedValue])),0)</f>
        <v>0</v>
      </c>
      <c r="L164" s="5">
        <f t="array" ref="L164">IFERROR(_xlfn.STDEV.S(IF((OutputTable[GroupByKey]=OutputTable[[#This Row],[GroupByKey]]),(OutputTable[GroupByKey]=OutputTable[[#This Row],[GroupByKey]])*OutputTable[RecordedValue])),0)</f>
        <v>0</v>
      </c>
      <c r="M164" s="5">
        <f t="array" ref="M164">MAX(IF((ProjectInfoTable[ProjectName]=OutputTable[[#This Row],[ProjectName]]),(ProjectInfoTable[ProjectName]=OutputTable[[#This Row],[ProjectName]])*ProjectInfoTable[ConfidenceInterval]))</f>
        <v>0.95</v>
      </c>
      <c r="N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4" s="5">
        <f t="array" ref="O164">MIN(IF((OutputTable[GroupByKey]=OutputTable[[#This Row],[GroupByKey]]),(OutputTable[GroupByKey]=OutputTable[[#This Row],[GroupByKey]])*OutputTable[RecordedValue]))</f>
        <v>0</v>
      </c>
      <c r="P164" s="5">
        <f t="array" ref="P164">MAX(IF((OutputTable[GroupByKey]=OutputTable[[#This Row],[GroupByKey]]),(OutputTable[GroupByKey]=OutputTable[[#This Row],[GroupByKey]])*OutputTable[RecordedValue]))</f>
        <v>0</v>
      </c>
    </row>
    <row r="165" spans="1:16" x14ac:dyDescent="0.25">
      <c r="A165" t="s">
        <v>67</v>
      </c>
      <c r="B165" t="s">
        <v>70</v>
      </c>
      <c r="C165">
        <v>7</v>
      </c>
      <c r="D165" t="s">
        <v>113</v>
      </c>
      <c r="E165" t="s">
        <v>114</v>
      </c>
      <c r="F165" t="s">
        <v>73</v>
      </c>
      <c r="G165">
        <v>0</v>
      </c>
      <c r="H165">
        <v>0</v>
      </c>
      <c r="I165" s="5" t="str">
        <f>OutputTable[[#This Row],[ProjectName]]&amp;OutputTable[[#This Row],[Name]]&amp;OutputTable[[#This Row],[Type]]&amp;OutputTable[[#This Row],[Source]]</f>
        <v>Unnamed Projectassembler.NumberSeizedTotal Number SeizedResource</v>
      </c>
      <c r="J165" s="5">
        <f t="array" ref="J165">MAX(IF((ProjectInfoTable[ProjectName]=OutputTable[[#This Row],[ProjectName]]),(ProjectInfoTable[ProjectName]=OutputTable[[#This Row],[ProjectName]])*ProjectInfoTable[NumberOfReplications]))</f>
        <v>15</v>
      </c>
      <c r="K165" s="5">
        <f t="array" ref="K165">IFERROR(AVERAGE(IF((OutputTable[GroupByKey]=OutputTable[[#This Row],[GroupByKey]]),(OutputTable[GroupByKey]=OutputTable[[#This Row],[GroupByKey]])*OutputTable[RecordedValue])),0)</f>
        <v>0</v>
      </c>
      <c r="L165" s="5">
        <f t="array" ref="L165">IFERROR(_xlfn.STDEV.S(IF((OutputTable[GroupByKey]=OutputTable[[#This Row],[GroupByKey]]),(OutputTable[GroupByKey]=OutputTable[[#This Row],[GroupByKey]])*OutputTable[RecordedValue])),0)</f>
        <v>0</v>
      </c>
      <c r="M165" s="5">
        <f t="array" ref="M165">MAX(IF((ProjectInfoTable[ProjectName]=OutputTable[[#This Row],[ProjectName]]),(ProjectInfoTable[ProjectName]=OutputTable[[#This Row],[ProjectName]])*ProjectInfoTable[ConfidenceInterval]))</f>
        <v>0.95</v>
      </c>
      <c r="N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5" s="5">
        <f t="array" ref="O165">MIN(IF((OutputTable[GroupByKey]=OutputTable[[#This Row],[GroupByKey]]),(OutputTable[GroupByKey]=OutputTable[[#This Row],[GroupByKey]])*OutputTable[RecordedValue]))</f>
        <v>0</v>
      </c>
      <c r="P165" s="5">
        <f t="array" ref="P165">MAX(IF((OutputTable[GroupByKey]=OutputTable[[#This Row],[GroupByKey]]),(OutputTable[GroupByKey]=OutputTable[[#This Row],[GroupByKey]])*OutputTable[RecordedValue]))</f>
        <v>0</v>
      </c>
    </row>
    <row r="166" spans="1:16" x14ac:dyDescent="0.25">
      <c r="A166" t="s">
        <v>67</v>
      </c>
      <c r="B166" t="s">
        <v>70</v>
      </c>
      <c r="C166">
        <v>7</v>
      </c>
      <c r="D166" t="s">
        <v>115</v>
      </c>
      <c r="E166" t="s">
        <v>116</v>
      </c>
      <c r="F166" t="s">
        <v>73</v>
      </c>
      <c r="G166">
        <v>0</v>
      </c>
      <c r="H166">
        <v>0</v>
      </c>
      <c r="I166" s="5" t="str">
        <f>OutputTable[[#This Row],[ProjectName]]&amp;OutputTable[[#This Row],[Name]]&amp;OutputTable[[#This Row],[Type]]&amp;OutputTable[[#This Row],[Source]]</f>
        <v>Unnamed Projectassembler.ScheduledUtilizationScheduled UtilizationResource</v>
      </c>
      <c r="J166" s="5">
        <f t="array" ref="J166">MAX(IF((ProjectInfoTable[ProjectName]=OutputTable[[#This Row],[ProjectName]]),(ProjectInfoTable[ProjectName]=OutputTable[[#This Row],[ProjectName]])*ProjectInfoTable[NumberOfReplications]))</f>
        <v>15</v>
      </c>
      <c r="K166" s="5">
        <f t="array" ref="K166">IFERROR(AVERAGE(IF((OutputTable[GroupByKey]=OutputTable[[#This Row],[GroupByKey]]),(OutputTable[GroupByKey]=OutputTable[[#This Row],[GroupByKey]])*OutputTable[RecordedValue])),0)</f>
        <v>0</v>
      </c>
      <c r="L166" s="5">
        <f t="array" ref="L166">IFERROR(_xlfn.STDEV.S(IF((OutputTable[GroupByKey]=OutputTable[[#This Row],[GroupByKey]]),(OutputTable[GroupByKey]=OutputTable[[#This Row],[GroupByKey]])*OutputTable[RecordedValue])),0)</f>
        <v>0</v>
      </c>
      <c r="M166" s="5">
        <f t="array" ref="M166">MAX(IF((ProjectInfoTable[ProjectName]=OutputTable[[#This Row],[ProjectName]]),(ProjectInfoTable[ProjectName]=OutputTable[[#This Row],[ProjectName]])*ProjectInfoTable[ConfidenceInterval]))</f>
        <v>0.95</v>
      </c>
      <c r="N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6" s="5">
        <f t="array" ref="O166">MIN(IF((OutputTable[GroupByKey]=OutputTable[[#This Row],[GroupByKey]]),(OutputTable[GroupByKey]=OutputTable[[#This Row],[GroupByKey]])*OutputTable[RecordedValue]))</f>
        <v>0</v>
      </c>
      <c r="P166" s="5">
        <f t="array" ref="P166">MAX(IF((OutputTable[GroupByKey]=OutputTable[[#This Row],[GroupByKey]]),(OutputTable[GroupByKey]=OutputTable[[#This Row],[GroupByKey]])*OutputTable[RecordedValue]))</f>
        <v>0</v>
      </c>
    </row>
    <row r="167" spans="1:16" x14ac:dyDescent="0.25">
      <c r="A167" t="s">
        <v>67</v>
      </c>
      <c r="B167" t="s">
        <v>70</v>
      </c>
      <c r="C167">
        <v>7</v>
      </c>
      <c r="D167" t="s">
        <v>117</v>
      </c>
      <c r="E167" t="s">
        <v>114</v>
      </c>
      <c r="F167" t="s">
        <v>73</v>
      </c>
      <c r="G167">
        <v>0</v>
      </c>
      <c r="H167">
        <v>0</v>
      </c>
      <c r="I167" s="5" t="str">
        <f>OutputTable[[#This Row],[ProjectName]]&amp;OutputTable[[#This Row],[Name]]&amp;OutputTable[[#This Row],[Type]]&amp;OutputTable[[#This Row],[Source]]</f>
        <v>Unnamed Projectassemblyqcworker.NumberSeizedTotal Number SeizedResource</v>
      </c>
      <c r="J167" s="5">
        <f t="array" ref="J167">MAX(IF((ProjectInfoTable[ProjectName]=OutputTable[[#This Row],[ProjectName]]),(ProjectInfoTable[ProjectName]=OutputTable[[#This Row],[ProjectName]])*ProjectInfoTable[NumberOfReplications]))</f>
        <v>15</v>
      </c>
      <c r="K167" s="5">
        <f t="array" ref="K167">IFERROR(AVERAGE(IF((OutputTable[GroupByKey]=OutputTable[[#This Row],[GroupByKey]]),(OutputTable[GroupByKey]=OutputTable[[#This Row],[GroupByKey]])*OutputTable[RecordedValue])),0)</f>
        <v>0</v>
      </c>
      <c r="L167" s="5">
        <f t="array" ref="L167">IFERROR(_xlfn.STDEV.S(IF((OutputTable[GroupByKey]=OutputTable[[#This Row],[GroupByKey]]),(OutputTable[GroupByKey]=OutputTable[[#This Row],[GroupByKey]])*OutputTable[RecordedValue])),0)</f>
        <v>0</v>
      </c>
      <c r="M167" s="5">
        <f t="array" ref="M167">MAX(IF((ProjectInfoTable[ProjectName]=OutputTable[[#This Row],[ProjectName]]),(ProjectInfoTable[ProjectName]=OutputTable[[#This Row],[ProjectName]])*ProjectInfoTable[ConfidenceInterval]))</f>
        <v>0.95</v>
      </c>
      <c r="N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7" s="5">
        <f t="array" ref="O167">MIN(IF((OutputTable[GroupByKey]=OutputTable[[#This Row],[GroupByKey]]),(OutputTable[GroupByKey]=OutputTable[[#This Row],[GroupByKey]])*OutputTable[RecordedValue]))</f>
        <v>0</v>
      </c>
      <c r="P167" s="5">
        <f t="array" ref="P167">MAX(IF((OutputTable[GroupByKey]=OutputTable[[#This Row],[GroupByKey]]),(OutputTable[GroupByKey]=OutputTable[[#This Row],[GroupByKey]])*OutputTable[RecordedValue]))</f>
        <v>0</v>
      </c>
    </row>
    <row r="168" spans="1:16" x14ac:dyDescent="0.25">
      <c r="A168" t="s">
        <v>67</v>
      </c>
      <c r="B168" t="s">
        <v>70</v>
      </c>
      <c r="C168">
        <v>7</v>
      </c>
      <c r="D168" t="s">
        <v>118</v>
      </c>
      <c r="E168" t="s">
        <v>116</v>
      </c>
      <c r="F168" t="s">
        <v>73</v>
      </c>
      <c r="G168">
        <v>0</v>
      </c>
      <c r="H168">
        <v>0</v>
      </c>
      <c r="I168" s="5" t="str">
        <f>OutputTable[[#This Row],[ProjectName]]&amp;OutputTable[[#This Row],[Name]]&amp;OutputTable[[#This Row],[Type]]&amp;OutputTable[[#This Row],[Source]]</f>
        <v>Unnamed Projectassemblyqcworker.ScheduledUtilizationScheduled UtilizationResource</v>
      </c>
      <c r="J168" s="5">
        <f t="array" ref="J168">MAX(IF((ProjectInfoTable[ProjectName]=OutputTable[[#This Row],[ProjectName]]),(ProjectInfoTable[ProjectName]=OutputTable[[#This Row],[ProjectName]])*ProjectInfoTable[NumberOfReplications]))</f>
        <v>15</v>
      </c>
      <c r="K168" s="5">
        <f t="array" ref="K168">IFERROR(AVERAGE(IF((OutputTable[GroupByKey]=OutputTable[[#This Row],[GroupByKey]]),(OutputTable[GroupByKey]=OutputTable[[#This Row],[GroupByKey]])*OutputTable[RecordedValue])),0)</f>
        <v>0</v>
      </c>
      <c r="L168" s="5">
        <f t="array" ref="L168">IFERROR(_xlfn.STDEV.S(IF((OutputTable[GroupByKey]=OutputTable[[#This Row],[GroupByKey]]),(OutputTable[GroupByKey]=OutputTable[[#This Row],[GroupByKey]])*OutputTable[RecordedValue])),0)</f>
        <v>0</v>
      </c>
      <c r="M168" s="5">
        <f t="array" ref="M168">MAX(IF((ProjectInfoTable[ProjectName]=OutputTable[[#This Row],[ProjectName]]),(ProjectInfoTable[ProjectName]=OutputTable[[#This Row],[ProjectName]])*ProjectInfoTable[ConfidenceInterval]))</f>
        <v>0.95</v>
      </c>
      <c r="N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8" s="5">
        <f t="array" ref="O168">MIN(IF((OutputTable[GroupByKey]=OutputTable[[#This Row],[GroupByKey]]),(OutputTable[GroupByKey]=OutputTable[[#This Row],[GroupByKey]])*OutputTable[RecordedValue]))</f>
        <v>0</v>
      </c>
      <c r="P168" s="5">
        <f t="array" ref="P168">MAX(IF((OutputTable[GroupByKey]=OutputTable[[#This Row],[GroupByKey]]),(OutputTable[GroupByKey]=OutputTable[[#This Row],[GroupByKey]])*OutputTable[RecordedValue]))</f>
        <v>0</v>
      </c>
    </row>
    <row r="169" spans="1:16" x14ac:dyDescent="0.25">
      <c r="A169" t="s">
        <v>67</v>
      </c>
      <c r="B169" t="s">
        <v>70</v>
      </c>
      <c r="C169">
        <v>7</v>
      </c>
      <c r="D169" t="s">
        <v>119</v>
      </c>
      <c r="E169" t="s">
        <v>120</v>
      </c>
      <c r="F169" t="s">
        <v>79</v>
      </c>
      <c r="G169">
        <v>0</v>
      </c>
      <c r="H169">
        <v>0</v>
      </c>
      <c r="I169" s="5" t="str">
        <f>OutputTable[[#This Row],[ProjectName]]&amp;OutputTable[[#This Row],[Name]]&amp;OutputTable[[#This Row],[Type]]&amp;OutputTable[[#This Row],[Source]]</f>
        <v>Unnamed Projectbatched_parts.NumberInNumber InEntity</v>
      </c>
      <c r="J169" s="5">
        <f t="array" ref="J169">MAX(IF((ProjectInfoTable[ProjectName]=OutputTable[[#This Row],[ProjectName]]),(ProjectInfoTable[ProjectName]=OutputTable[[#This Row],[ProjectName]])*ProjectInfoTable[NumberOfReplications]))</f>
        <v>15</v>
      </c>
      <c r="K169" s="5">
        <f t="array" ref="K169">IFERROR(AVERAGE(IF((OutputTable[GroupByKey]=OutputTable[[#This Row],[GroupByKey]]),(OutputTable[GroupByKey]=OutputTable[[#This Row],[GroupByKey]])*OutputTable[RecordedValue])),0)</f>
        <v>0</v>
      </c>
      <c r="L169" s="5">
        <f t="array" ref="L169">IFERROR(_xlfn.STDEV.S(IF((OutputTable[GroupByKey]=OutputTable[[#This Row],[GroupByKey]]),(OutputTable[GroupByKey]=OutputTable[[#This Row],[GroupByKey]])*OutputTable[RecordedValue])),0)</f>
        <v>0</v>
      </c>
      <c r="M169" s="5">
        <f t="array" ref="M169">MAX(IF((ProjectInfoTable[ProjectName]=OutputTable[[#This Row],[ProjectName]]),(ProjectInfoTable[ProjectName]=OutputTable[[#This Row],[ProjectName]])*ProjectInfoTable[ConfidenceInterval]))</f>
        <v>0.95</v>
      </c>
      <c r="N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69" s="5">
        <f t="array" ref="O169">MIN(IF((OutputTable[GroupByKey]=OutputTable[[#This Row],[GroupByKey]]),(OutputTable[GroupByKey]=OutputTable[[#This Row],[GroupByKey]])*OutputTable[RecordedValue]))</f>
        <v>0</v>
      </c>
      <c r="P169" s="5">
        <f t="array" ref="P169">MAX(IF((OutputTable[GroupByKey]=OutputTable[[#This Row],[GroupByKey]]),(OutputTable[GroupByKey]=OutputTable[[#This Row],[GroupByKey]])*OutputTable[RecordedValue]))</f>
        <v>0</v>
      </c>
    </row>
    <row r="170" spans="1:16" x14ac:dyDescent="0.25">
      <c r="A170" t="s">
        <v>67</v>
      </c>
      <c r="B170" t="s">
        <v>70</v>
      </c>
      <c r="C170">
        <v>7</v>
      </c>
      <c r="D170" t="s">
        <v>121</v>
      </c>
      <c r="E170" t="s">
        <v>111</v>
      </c>
      <c r="F170" t="s">
        <v>79</v>
      </c>
      <c r="G170">
        <v>0</v>
      </c>
      <c r="H170">
        <v>0</v>
      </c>
      <c r="I170" s="5" t="str">
        <f>OutputTable[[#This Row],[ProjectName]]&amp;OutputTable[[#This Row],[Name]]&amp;OutputTable[[#This Row],[Type]]&amp;OutputTable[[#This Row],[Source]]</f>
        <v>Unnamed Projectbatched_parts.NumberOutNumber OutEntity</v>
      </c>
      <c r="J170" s="5">
        <f t="array" ref="J170">MAX(IF((ProjectInfoTable[ProjectName]=OutputTable[[#This Row],[ProjectName]]),(ProjectInfoTable[ProjectName]=OutputTable[[#This Row],[ProjectName]])*ProjectInfoTable[NumberOfReplications]))</f>
        <v>15</v>
      </c>
      <c r="K170" s="5">
        <f t="array" ref="K170">IFERROR(AVERAGE(IF((OutputTable[GroupByKey]=OutputTable[[#This Row],[GroupByKey]]),(OutputTable[GroupByKey]=OutputTable[[#This Row],[GroupByKey]])*OutputTable[RecordedValue])),0)</f>
        <v>0</v>
      </c>
      <c r="L170" s="5">
        <f t="array" ref="L170">IFERROR(_xlfn.STDEV.S(IF((OutputTable[GroupByKey]=OutputTable[[#This Row],[GroupByKey]]),(OutputTable[GroupByKey]=OutputTable[[#This Row],[GroupByKey]])*OutputTable[RecordedValue])),0)</f>
        <v>0</v>
      </c>
      <c r="M170" s="5">
        <f t="array" ref="M170">MAX(IF((ProjectInfoTable[ProjectName]=OutputTable[[#This Row],[ProjectName]]),(ProjectInfoTable[ProjectName]=OutputTable[[#This Row],[ProjectName]])*ProjectInfoTable[ConfidenceInterval]))</f>
        <v>0.95</v>
      </c>
      <c r="N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0" s="5">
        <f t="array" ref="O170">MIN(IF((OutputTable[GroupByKey]=OutputTable[[#This Row],[GroupByKey]]),(OutputTable[GroupByKey]=OutputTable[[#This Row],[GroupByKey]])*OutputTable[RecordedValue]))</f>
        <v>0</v>
      </c>
      <c r="P170" s="5">
        <f t="array" ref="P170">MAX(IF((OutputTable[GroupByKey]=OutputTable[[#This Row],[GroupByKey]]),(OutputTable[GroupByKey]=OutputTable[[#This Row],[GroupByKey]])*OutputTable[RecordedValue]))</f>
        <v>0</v>
      </c>
    </row>
    <row r="171" spans="1:16" x14ac:dyDescent="0.25">
      <c r="A171" t="s">
        <v>67</v>
      </c>
      <c r="B171" t="s">
        <v>70</v>
      </c>
      <c r="C171">
        <v>7</v>
      </c>
      <c r="D171" t="s">
        <v>122</v>
      </c>
      <c r="E171" t="s">
        <v>114</v>
      </c>
      <c r="F171" t="s">
        <v>73</v>
      </c>
      <c r="G171">
        <v>0</v>
      </c>
      <c r="H171">
        <v>0</v>
      </c>
      <c r="I171" s="5" t="str">
        <f>OutputTable[[#This Row],[ProjectName]]&amp;OutputTable[[#This Row],[Name]]&amp;OutputTable[[#This Row],[Type]]&amp;OutputTable[[#This Row],[Source]]</f>
        <v>Unnamed Projectcleaner.NumberSeizedTotal Number SeizedResource</v>
      </c>
      <c r="J171" s="5">
        <f t="array" ref="J171">MAX(IF((ProjectInfoTable[ProjectName]=OutputTable[[#This Row],[ProjectName]]),(ProjectInfoTable[ProjectName]=OutputTable[[#This Row],[ProjectName]])*ProjectInfoTable[NumberOfReplications]))</f>
        <v>15</v>
      </c>
      <c r="K171" s="5">
        <f t="array" ref="K171">IFERROR(AVERAGE(IF((OutputTable[GroupByKey]=OutputTable[[#This Row],[GroupByKey]]),(OutputTable[GroupByKey]=OutputTable[[#This Row],[GroupByKey]])*OutputTable[RecordedValue])),0)</f>
        <v>0</v>
      </c>
      <c r="L171" s="5">
        <f t="array" ref="L171">IFERROR(_xlfn.STDEV.S(IF((OutputTable[GroupByKey]=OutputTable[[#This Row],[GroupByKey]]),(OutputTable[GroupByKey]=OutputTable[[#This Row],[GroupByKey]])*OutputTable[RecordedValue])),0)</f>
        <v>0</v>
      </c>
      <c r="M171" s="5">
        <f t="array" ref="M171">MAX(IF((ProjectInfoTable[ProjectName]=OutputTable[[#This Row],[ProjectName]]),(ProjectInfoTable[ProjectName]=OutputTable[[#This Row],[ProjectName]])*ProjectInfoTable[ConfidenceInterval]))</f>
        <v>0.95</v>
      </c>
      <c r="N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1" s="5">
        <f t="array" ref="O171">MIN(IF((OutputTable[GroupByKey]=OutputTable[[#This Row],[GroupByKey]]),(OutputTable[GroupByKey]=OutputTable[[#This Row],[GroupByKey]])*OutputTable[RecordedValue]))</f>
        <v>0</v>
      </c>
      <c r="P171" s="5">
        <f t="array" ref="P171">MAX(IF((OutputTable[GroupByKey]=OutputTable[[#This Row],[GroupByKey]]),(OutputTable[GroupByKey]=OutputTable[[#This Row],[GroupByKey]])*OutputTable[RecordedValue]))</f>
        <v>0</v>
      </c>
    </row>
    <row r="172" spans="1:16" x14ac:dyDescent="0.25">
      <c r="A172" t="s">
        <v>67</v>
      </c>
      <c r="B172" t="s">
        <v>70</v>
      </c>
      <c r="C172">
        <v>7</v>
      </c>
      <c r="D172" t="s">
        <v>123</v>
      </c>
      <c r="E172" t="s">
        <v>116</v>
      </c>
      <c r="F172" t="s">
        <v>73</v>
      </c>
      <c r="G172">
        <v>0</v>
      </c>
      <c r="H172">
        <v>0</v>
      </c>
      <c r="I172" s="5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172" s="5">
        <f t="array" ref="J172">MAX(IF((ProjectInfoTable[ProjectName]=OutputTable[[#This Row],[ProjectName]]),(ProjectInfoTable[ProjectName]=OutputTable[[#This Row],[ProjectName]])*ProjectInfoTable[NumberOfReplications]))</f>
        <v>15</v>
      </c>
      <c r="K172" s="5">
        <f t="array" ref="K172">IFERROR(AVERAGE(IF((OutputTable[GroupByKey]=OutputTable[[#This Row],[GroupByKey]]),(OutputTable[GroupByKey]=OutputTable[[#This Row],[GroupByKey]])*OutputTable[RecordedValue])),0)</f>
        <v>0</v>
      </c>
      <c r="L172" s="5">
        <f t="array" ref="L172">IFERROR(_xlfn.STDEV.S(IF((OutputTable[GroupByKey]=OutputTable[[#This Row],[GroupByKey]]),(OutputTable[GroupByKey]=OutputTable[[#This Row],[GroupByKey]])*OutputTable[RecordedValue])),0)</f>
        <v>0</v>
      </c>
      <c r="M172" s="5">
        <f t="array" ref="M172">MAX(IF((ProjectInfoTable[ProjectName]=OutputTable[[#This Row],[ProjectName]]),(ProjectInfoTable[ProjectName]=OutputTable[[#This Row],[ProjectName]])*ProjectInfoTable[ConfidenceInterval]))</f>
        <v>0.95</v>
      </c>
      <c r="N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2" s="5">
        <f t="array" ref="O172">MIN(IF((OutputTable[GroupByKey]=OutputTable[[#This Row],[GroupByKey]]),(OutputTable[GroupByKey]=OutputTable[[#This Row],[GroupByKey]])*OutputTable[RecordedValue]))</f>
        <v>0</v>
      </c>
      <c r="P172" s="5">
        <f t="array" ref="P172">MAX(IF((OutputTable[GroupByKey]=OutputTable[[#This Row],[GroupByKey]]),(OutputTable[GroupByKey]=OutputTable[[#This Row],[GroupByKey]])*OutputTable[RecordedValue]))</f>
        <v>0</v>
      </c>
    </row>
    <row r="173" spans="1:16" x14ac:dyDescent="0.25">
      <c r="A173" t="s">
        <v>67</v>
      </c>
      <c r="B173" t="s">
        <v>70</v>
      </c>
      <c r="C173">
        <v>7</v>
      </c>
      <c r="D173" t="s">
        <v>124</v>
      </c>
      <c r="E173" t="s">
        <v>114</v>
      </c>
      <c r="F173" t="s">
        <v>73</v>
      </c>
      <c r="G173">
        <v>0</v>
      </c>
      <c r="H173">
        <v>0</v>
      </c>
      <c r="I173" s="5" t="str">
        <f>OutputTable[[#This Row],[ProjectName]]&amp;OutputTable[[#This Row],[Name]]&amp;OutputTable[[#This Row],[Type]]&amp;OutputTable[[#This Row],[Source]]</f>
        <v>Unnamed Projectcutter.NumberSeizedTotal Number SeizedResource</v>
      </c>
      <c r="J173" s="5">
        <f t="array" ref="J173">MAX(IF((ProjectInfoTable[ProjectName]=OutputTable[[#This Row],[ProjectName]]),(ProjectInfoTable[ProjectName]=OutputTable[[#This Row],[ProjectName]])*ProjectInfoTable[NumberOfReplications]))</f>
        <v>15</v>
      </c>
      <c r="K173" s="5">
        <f t="array" ref="K173">IFERROR(AVERAGE(IF((OutputTable[GroupByKey]=OutputTable[[#This Row],[GroupByKey]]),(OutputTable[GroupByKey]=OutputTable[[#This Row],[GroupByKey]])*OutputTable[RecordedValue])),0)</f>
        <v>0</v>
      </c>
      <c r="L173" s="5">
        <f t="array" ref="L173">IFERROR(_xlfn.STDEV.S(IF((OutputTable[GroupByKey]=OutputTable[[#This Row],[GroupByKey]]),(OutputTable[GroupByKey]=OutputTable[[#This Row],[GroupByKey]])*OutputTable[RecordedValue])),0)</f>
        <v>0</v>
      </c>
      <c r="M173" s="5">
        <f t="array" ref="M173">MAX(IF((ProjectInfoTable[ProjectName]=OutputTable[[#This Row],[ProjectName]]),(ProjectInfoTable[ProjectName]=OutputTable[[#This Row],[ProjectName]])*ProjectInfoTable[ConfidenceInterval]))</f>
        <v>0.95</v>
      </c>
      <c r="N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3" s="5">
        <f t="array" ref="O173">MIN(IF((OutputTable[GroupByKey]=OutputTable[[#This Row],[GroupByKey]]),(OutputTable[GroupByKey]=OutputTable[[#This Row],[GroupByKey]])*OutputTable[RecordedValue]))</f>
        <v>0</v>
      </c>
      <c r="P173" s="5">
        <f t="array" ref="P173">MAX(IF((OutputTable[GroupByKey]=OutputTable[[#This Row],[GroupByKey]]),(OutputTable[GroupByKey]=OutputTable[[#This Row],[GroupByKey]])*OutputTable[RecordedValue]))</f>
        <v>0</v>
      </c>
    </row>
    <row r="174" spans="1:16" x14ac:dyDescent="0.25">
      <c r="A174" t="s">
        <v>67</v>
      </c>
      <c r="B174" t="s">
        <v>70</v>
      </c>
      <c r="C174">
        <v>7</v>
      </c>
      <c r="D174" t="s">
        <v>125</v>
      </c>
      <c r="E174" t="s">
        <v>116</v>
      </c>
      <c r="F174" t="s">
        <v>73</v>
      </c>
      <c r="G174">
        <v>0</v>
      </c>
      <c r="H174">
        <v>0</v>
      </c>
      <c r="I174" s="5" t="str">
        <f>OutputTable[[#This Row],[ProjectName]]&amp;OutputTable[[#This Row],[Name]]&amp;OutputTable[[#This Row],[Type]]&amp;OutputTable[[#This Row],[Source]]</f>
        <v>Unnamed Projectcutter.ScheduledUtilizationScheduled UtilizationResource</v>
      </c>
      <c r="J174" s="5">
        <f t="array" ref="J174">MAX(IF((ProjectInfoTable[ProjectName]=OutputTable[[#This Row],[ProjectName]]),(ProjectInfoTable[ProjectName]=OutputTable[[#This Row],[ProjectName]])*ProjectInfoTable[NumberOfReplications]))</f>
        <v>15</v>
      </c>
      <c r="K174" s="5">
        <f t="array" ref="K174">IFERROR(AVERAGE(IF((OutputTable[GroupByKey]=OutputTable[[#This Row],[GroupByKey]]),(OutputTable[GroupByKey]=OutputTable[[#This Row],[GroupByKey]])*OutputTable[RecordedValue])),0)</f>
        <v>0</v>
      </c>
      <c r="L174" s="5">
        <f t="array" ref="L174">IFERROR(_xlfn.STDEV.S(IF((OutputTable[GroupByKey]=OutputTable[[#This Row],[GroupByKey]]),(OutputTable[GroupByKey]=OutputTable[[#This Row],[GroupByKey]])*OutputTable[RecordedValue])),0)</f>
        <v>0</v>
      </c>
      <c r="M174" s="5">
        <f t="array" ref="M174">MAX(IF((ProjectInfoTable[ProjectName]=OutputTable[[#This Row],[ProjectName]]),(ProjectInfoTable[ProjectName]=OutputTable[[#This Row],[ProjectName]])*ProjectInfoTable[ConfidenceInterval]))</f>
        <v>0.95</v>
      </c>
      <c r="N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4" s="5">
        <f t="array" ref="O174">MIN(IF((OutputTable[GroupByKey]=OutputTable[[#This Row],[GroupByKey]]),(OutputTable[GroupByKey]=OutputTable[[#This Row],[GroupByKey]])*OutputTable[RecordedValue]))</f>
        <v>0</v>
      </c>
      <c r="P174" s="5">
        <f t="array" ref="P174">MAX(IF((OutputTable[GroupByKey]=OutputTable[[#This Row],[GroupByKey]]),(OutputTable[GroupByKey]=OutputTable[[#This Row],[GroupByKey]])*OutputTable[RecordedValue]))</f>
        <v>0</v>
      </c>
    </row>
    <row r="175" spans="1:16" x14ac:dyDescent="0.25">
      <c r="A175" t="s">
        <v>67</v>
      </c>
      <c r="B175" t="s">
        <v>70</v>
      </c>
      <c r="C175">
        <v>7</v>
      </c>
      <c r="D175" t="s">
        <v>126</v>
      </c>
      <c r="E175" t="s">
        <v>114</v>
      </c>
      <c r="F175" t="s">
        <v>73</v>
      </c>
      <c r="G175">
        <v>0</v>
      </c>
      <c r="H175">
        <v>0</v>
      </c>
      <c r="I175" s="5" t="str">
        <f>OutputTable[[#This Row],[ProjectName]]&amp;OutputTable[[#This Row],[Name]]&amp;OutputTable[[#This Row],[Type]]&amp;OutputTable[[#This Row],[Source]]</f>
        <v>Unnamed Projectfinalqcman.NumberSeizedTotal Number SeizedResource</v>
      </c>
      <c r="J175" s="5">
        <f t="array" ref="J175">MAX(IF((ProjectInfoTable[ProjectName]=OutputTable[[#This Row],[ProjectName]]),(ProjectInfoTable[ProjectName]=OutputTable[[#This Row],[ProjectName]])*ProjectInfoTable[NumberOfReplications]))</f>
        <v>15</v>
      </c>
      <c r="K175" s="5">
        <f t="array" ref="K175">IFERROR(AVERAGE(IF((OutputTable[GroupByKey]=OutputTable[[#This Row],[GroupByKey]]),(OutputTable[GroupByKey]=OutputTable[[#This Row],[GroupByKey]])*OutputTable[RecordedValue])),0)</f>
        <v>0</v>
      </c>
      <c r="L175" s="5">
        <f t="array" ref="L175">IFERROR(_xlfn.STDEV.S(IF((OutputTable[GroupByKey]=OutputTable[[#This Row],[GroupByKey]]),(OutputTable[GroupByKey]=OutputTable[[#This Row],[GroupByKey]])*OutputTable[RecordedValue])),0)</f>
        <v>0</v>
      </c>
      <c r="M175" s="5">
        <f t="array" ref="M175">MAX(IF((ProjectInfoTable[ProjectName]=OutputTable[[#This Row],[ProjectName]]),(ProjectInfoTable[ProjectName]=OutputTable[[#This Row],[ProjectName]])*ProjectInfoTable[ConfidenceInterval]))</f>
        <v>0.95</v>
      </c>
      <c r="N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5" s="5">
        <f t="array" ref="O175">MIN(IF((OutputTable[GroupByKey]=OutputTable[[#This Row],[GroupByKey]]),(OutputTable[GroupByKey]=OutputTable[[#This Row],[GroupByKey]])*OutputTable[RecordedValue]))</f>
        <v>0</v>
      </c>
      <c r="P175" s="5">
        <f t="array" ref="P175">MAX(IF((OutputTable[GroupByKey]=OutputTable[[#This Row],[GroupByKey]]),(OutputTable[GroupByKey]=OutputTable[[#This Row],[GroupByKey]])*OutputTable[RecordedValue]))</f>
        <v>0</v>
      </c>
    </row>
    <row r="176" spans="1:16" x14ac:dyDescent="0.25">
      <c r="A176" t="s">
        <v>67</v>
      </c>
      <c r="B176" t="s">
        <v>70</v>
      </c>
      <c r="C176">
        <v>7</v>
      </c>
      <c r="D176" t="s">
        <v>127</v>
      </c>
      <c r="E176" t="s">
        <v>116</v>
      </c>
      <c r="F176" t="s">
        <v>73</v>
      </c>
      <c r="G176">
        <v>0</v>
      </c>
      <c r="H176">
        <v>0</v>
      </c>
      <c r="I176" s="5" t="str">
        <f>OutputTable[[#This Row],[ProjectName]]&amp;OutputTable[[#This Row],[Name]]&amp;OutputTable[[#This Row],[Type]]&amp;OutputTable[[#This Row],[Source]]</f>
        <v>Unnamed Projectfinalqcman.ScheduledUtilizationScheduled UtilizationResource</v>
      </c>
      <c r="J176" s="5">
        <f t="array" ref="J176">MAX(IF((ProjectInfoTable[ProjectName]=OutputTable[[#This Row],[ProjectName]]),(ProjectInfoTable[ProjectName]=OutputTable[[#This Row],[ProjectName]])*ProjectInfoTable[NumberOfReplications]))</f>
        <v>15</v>
      </c>
      <c r="K176" s="5">
        <f t="array" ref="K176">IFERROR(AVERAGE(IF((OutputTable[GroupByKey]=OutputTable[[#This Row],[GroupByKey]]),(OutputTable[GroupByKey]=OutputTable[[#This Row],[GroupByKey]])*OutputTable[RecordedValue])),0)</f>
        <v>0</v>
      </c>
      <c r="L176" s="5">
        <f t="array" ref="L176">IFERROR(_xlfn.STDEV.S(IF((OutputTable[GroupByKey]=OutputTable[[#This Row],[GroupByKey]]),(OutputTable[GroupByKey]=OutputTable[[#This Row],[GroupByKey]])*OutputTable[RecordedValue])),0)</f>
        <v>0</v>
      </c>
      <c r="M176" s="5">
        <f t="array" ref="M176">MAX(IF((ProjectInfoTable[ProjectName]=OutputTable[[#This Row],[ProjectName]]),(ProjectInfoTable[ProjectName]=OutputTable[[#This Row],[ProjectName]])*ProjectInfoTable[ConfidenceInterval]))</f>
        <v>0.95</v>
      </c>
      <c r="N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6" s="5">
        <f t="array" ref="O176">MIN(IF((OutputTable[GroupByKey]=OutputTable[[#This Row],[GroupByKey]]),(OutputTable[GroupByKey]=OutputTable[[#This Row],[GroupByKey]])*OutputTable[RecordedValue]))</f>
        <v>0</v>
      </c>
      <c r="P176" s="5">
        <f t="array" ref="P176">MAX(IF((OutputTable[GroupByKey]=OutputTable[[#This Row],[GroupByKey]]),(OutputTable[GroupByKey]=OutputTable[[#This Row],[GroupByKey]])*OutputTable[RecordedValue]))</f>
        <v>0</v>
      </c>
    </row>
    <row r="177" spans="1:16" x14ac:dyDescent="0.25">
      <c r="A177" t="s">
        <v>67</v>
      </c>
      <c r="B177" t="s">
        <v>70</v>
      </c>
      <c r="C177">
        <v>7</v>
      </c>
      <c r="D177" t="s">
        <v>128</v>
      </c>
      <c r="E177" t="s">
        <v>114</v>
      </c>
      <c r="F177" t="s">
        <v>73</v>
      </c>
      <c r="G177">
        <v>0</v>
      </c>
      <c r="H177">
        <v>0</v>
      </c>
      <c r="I177" s="5" t="str">
        <f>OutputTable[[#This Row],[ProjectName]]&amp;OutputTable[[#This Row],[Name]]&amp;OutputTable[[#This Row],[Type]]&amp;OutputTable[[#This Row],[Source]]</f>
        <v>Unnamed Projectpaintingmachine.NumberSeizedTotal Number SeizedResource</v>
      </c>
      <c r="J177" s="5">
        <f t="array" ref="J177">MAX(IF((ProjectInfoTable[ProjectName]=OutputTable[[#This Row],[ProjectName]]),(ProjectInfoTable[ProjectName]=OutputTable[[#This Row],[ProjectName]])*ProjectInfoTable[NumberOfReplications]))</f>
        <v>15</v>
      </c>
      <c r="K177" s="5">
        <f t="array" ref="K177">IFERROR(AVERAGE(IF((OutputTable[GroupByKey]=OutputTable[[#This Row],[GroupByKey]]),(OutputTable[GroupByKey]=OutputTable[[#This Row],[GroupByKey]])*OutputTable[RecordedValue])),0)</f>
        <v>0</v>
      </c>
      <c r="L177" s="5">
        <f t="array" ref="L177">IFERROR(_xlfn.STDEV.S(IF((OutputTable[GroupByKey]=OutputTable[[#This Row],[GroupByKey]]),(OutputTable[GroupByKey]=OutputTable[[#This Row],[GroupByKey]])*OutputTable[RecordedValue])),0)</f>
        <v>0</v>
      </c>
      <c r="M177" s="5">
        <f t="array" ref="M177">MAX(IF((ProjectInfoTable[ProjectName]=OutputTable[[#This Row],[ProjectName]]),(ProjectInfoTable[ProjectName]=OutputTable[[#This Row],[ProjectName]])*ProjectInfoTable[ConfidenceInterval]))</f>
        <v>0.95</v>
      </c>
      <c r="N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7" s="5">
        <f t="array" ref="O177">MIN(IF((OutputTable[GroupByKey]=OutputTable[[#This Row],[GroupByKey]]),(OutputTable[GroupByKey]=OutputTable[[#This Row],[GroupByKey]])*OutputTable[RecordedValue]))</f>
        <v>0</v>
      </c>
      <c r="P177" s="5">
        <f t="array" ref="P177">MAX(IF((OutputTable[GroupByKey]=OutputTable[[#This Row],[GroupByKey]]),(OutputTable[GroupByKey]=OutputTable[[#This Row],[GroupByKey]])*OutputTable[RecordedValue]))</f>
        <v>0</v>
      </c>
    </row>
    <row r="178" spans="1:16" x14ac:dyDescent="0.25">
      <c r="A178" t="s">
        <v>67</v>
      </c>
      <c r="B178" t="s">
        <v>70</v>
      </c>
      <c r="C178">
        <v>7</v>
      </c>
      <c r="D178" t="s">
        <v>129</v>
      </c>
      <c r="E178" t="s">
        <v>116</v>
      </c>
      <c r="F178" t="s">
        <v>73</v>
      </c>
      <c r="G178">
        <v>0</v>
      </c>
      <c r="H178">
        <v>0</v>
      </c>
      <c r="I178" s="5" t="str">
        <f>OutputTable[[#This Row],[ProjectName]]&amp;OutputTable[[#This Row],[Name]]&amp;OutputTable[[#This Row],[Type]]&amp;OutputTable[[#This Row],[Source]]</f>
        <v>Unnamed Projectpaintingmachine.ScheduledUtilizationScheduled UtilizationResource</v>
      </c>
      <c r="J178" s="5">
        <f t="array" ref="J178">MAX(IF((ProjectInfoTable[ProjectName]=OutputTable[[#This Row],[ProjectName]]),(ProjectInfoTable[ProjectName]=OutputTable[[#This Row],[ProjectName]])*ProjectInfoTable[NumberOfReplications]))</f>
        <v>15</v>
      </c>
      <c r="K178" s="5">
        <f t="array" ref="K178">IFERROR(AVERAGE(IF((OutputTable[GroupByKey]=OutputTable[[#This Row],[GroupByKey]]),(OutputTable[GroupByKey]=OutputTable[[#This Row],[GroupByKey]])*OutputTable[RecordedValue])),0)</f>
        <v>0</v>
      </c>
      <c r="L178" s="5">
        <f t="array" ref="L178">IFERROR(_xlfn.STDEV.S(IF((OutputTable[GroupByKey]=OutputTable[[#This Row],[GroupByKey]]),(OutputTable[GroupByKey]=OutputTable[[#This Row],[GroupByKey]])*OutputTable[RecordedValue])),0)</f>
        <v>0</v>
      </c>
      <c r="M178" s="5">
        <f t="array" ref="M178">MAX(IF((ProjectInfoTable[ProjectName]=OutputTable[[#This Row],[ProjectName]]),(ProjectInfoTable[ProjectName]=OutputTable[[#This Row],[ProjectName]])*ProjectInfoTable[ConfidenceInterval]))</f>
        <v>0.95</v>
      </c>
      <c r="N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8" s="5">
        <f t="array" ref="O178">MIN(IF((OutputTable[GroupByKey]=OutputTable[[#This Row],[GroupByKey]]),(OutputTable[GroupByKey]=OutputTable[[#This Row],[GroupByKey]])*OutputTable[RecordedValue]))</f>
        <v>0</v>
      </c>
      <c r="P178" s="5">
        <f t="array" ref="P178">MAX(IF((OutputTable[GroupByKey]=OutputTable[[#This Row],[GroupByKey]]),(OutputTable[GroupByKey]=OutputTable[[#This Row],[GroupByKey]])*OutputTable[RecordedValue]))</f>
        <v>0</v>
      </c>
    </row>
    <row r="179" spans="1:16" x14ac:dyDescent="0.25">
      <c r="A179" t="s">
        <v>67</v>
      </c>
      <c r="B179" t="s">
        <v>70</v>
      </c>
      <c r="C179">
        <v>7</v>
      </c>
      <c r="D179" t="s">
        <v>130</v>
      </c>
      <c r="E179" t="s">
        <v>114</v>
      </c>
      <c r="F179" t="s">
        <v>73</v>
      </c>
      <c r="G179">
        <v>0</v>
      </c>
      <c r="H179">
        <v>0</v>
      </c>
      <c r="I179" s="5" t="str">
        <f>OutputTable[[#This Row],[ProjectName]]&amp;OutputTable[[#This Row],[Name]]&amp;OutputTable[[#This Row],[Type]]&amp;OutputTable[[#This Row],[Source]]</f>
        <v>Unnamed Projectpaintingoperator.NumberSeizedTotal Number SeizedResource</v>
      </c>
      <c r="J179" s="5">
        <f t="array" ref="J179">MAX(IF((ProjectInfoTable[ProjectName]=OutputTable[[#This Row],[ProjectName]]),(ProjectInfoTable[ProjectName]=OutputTable[[#This Row],[ProjectName]])*ProjectInfoTable[NumberOfReplications]))</f>
        <v>15</v>
      </c>
      <c r="K179" s="5">
        <f t="array" ref="K179">IFERROR(AVERAGE(IF((OutputTable[GroupByKey]=OutputTable[[#This Row],[GroupByKey]]),(OutputTable[GroupByKey]=OutputTable[[#This Row],[GroupByKey]])*OutputTable[RecordedValue])),0)</f>
        <v>0</v>
      </c>
      <c r="L179" s="5">
        <f t="array" ref="L179">IFERROR(_xlfn.STDEV.S(IF((OutputTable[GroupByKey]=OutputTable[[#This Row],[GroupByKey]]),(OutputTable[GroupByKey]=OutputTable[[#This Row],[GroupByKey]])*OutputTable[RecordedValue])),0)</f>
        <v>0</v>
      </c>
      <c r="M179" s="5">
        <f t="array" ref="M179">MAX(IF((ProjectInfoTable[ProjectName]=OutputTable[[#This Row],[ProjectName]]),(ProjectInfoTable[ProjectName]=OutputTable[[#This Row],[ProjectName]])*ProjectInfoTable[ConfidenceInterval]))</f>
        <v>0.95</v>
      </c>
      <c r="N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79" s="5">
        <f t="array" ref="O179">MIN(IF((OutputTable[GroupByKey]=OutputTable[[#This Row],[GroupByKey]]),(OutputTable[GroupByKey]=OutputTable[[#This Row],[GroupByKey]])*OutputTable[RecordedValue]))</f>
        <v>0</v>
      </c>
      <c r="P179" s="5">
        <f t="array" ref="P179">MAX(IF((OutputTable[GroupByKey]=OutputTable[[#This Row],[GroupByKey]]),(OutputTable[GroupByKey]=OutputTable[[#This Row],[GroupByKey]])*OutputTable[RecordedValue]))</f>
        <v>0</v>
      </c>
    </row>
    <row r="180" spans="1:16" x14ac:dyDescent="0.25">
      <c r="A180" t="s">
        <v>67</v>
      </c>
      <c r="B180" t="s">
        <v>70</v>
      </c>
      <c r="C180">
        <v>7</v>
      </c>
      <c r="D180" t="s">
        <v>131</v>
      </c>
      <c r="E180" t="s">
        <v>116</v>
      </c>
      <c r="F180" t="s">
        <v>73</v>
      </c>
      <c r="G180">
        <v>0</v>
      </c>
      <c r="H180">
        <v>0</v>
      </c>
      <c r="I180" s="5" t="str">
        <f>OutputTable[[#This Row],[ProjectName]]&amp;OutputTable[[#This Row],[Name]]&amp;OutputTable[[#This Row],[Type]]&amp;OutputTable[[#This Row],[Source]]</f>
        <v>Unnamed Projectpaintingoperator.ScheduledUtilizationScheduled UtilizationResource</v>
      </c>
      <c r="J180" s="5">
        <f t="array" ref="J180">MAX(IF((ProjectInfoTable[ProjectName]=OutputTable[[#This Row],[ProjectName]]),(ProjectInfoTable[ProjectName]=OutputTable[[#This Row],[ProjectName]])*ProjectInfoTable[NumberOfReplications]))</f>
        <v>15</v>
      </c>
      <c r="K180" s="5">
        <f t="array" ref="K180">IFERROR(AVERAGE(IF((OutputTable[GroupByKey]=OutputTable[[#This Row],[GroupByKey]]),(OutputTable[GroupByKey]=OutputTable[[#This Row],[GroupByKey]])*OutputTable[RecordedValue])),0)</f>
        <v>0</v>
      </c>
      <c r="L180" s="5">
        <f t="array" ref="L180">IFERROR(_xlfn.STDEV.S(IF((OutputTable[GroupByKey]=OutputTable[[#This Row],[GroupByKey]]),(OutputTable[GroupByKey]=OutputTable[[#This Row],[GroupByKey]])*OutputTable[RecordedValue])),0)</f>
        <v>0</v>
      </c>
      <c r="M180" s="5">
        <f t="array" ref="M180">MAX(IF((ProjectInfoTable[ProjectName]=OutputTable[[#This Row],[ProjectName]]),(ProjectInfoTable[ProjectName]=OutputTable[[#This Row],[ProjectName]])*ProjectInfoTable[ConfidenceInterval]))</f>
        <v>0.95</v>
      </c>
      <c r="N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0" s="5">
        <f t="array" ref="O180">MIN(IF((OutputTable[GroupByKey]=OutputTable[[#This Row],[GroupByKey]]),(OutputTable[GroupByKey]=OutputTable[[#This Row],[GroupByKey]])*OutputTable[RecordedValue]))</f>
        <v>0</v>
      </c>
      <c r="P180" s="5">
        <f t="array" ref="P180">MAX(IF((OutputTable[GroupByKey]=OutputTable[[#This Row],[GroupByKey]]),(OutputTable[GroupByKey]=OutputTable[[#This Row],[GroupByKey]])*OutputTable[RecordedValue]))</f>
        <v>0</v>
      </c>
    </row>
    <row r="181" spans="1:16" x14ac:dyDescent="0.25">
      <c r="A181" t="s">
        <v>67</v>
      </c>
      <c r="B181" t="s">
        <v>70</v>
      </c>
      <c r="C181">
        <v>7</v>
      </c>
      <c r="D181" t="s">
        <v>132</v>
      </c>
      <c r="E181" t="s">
        <v>114</v>
      </c>
      <c r="F181" t="s">
        <v>73</v>
      </c>
      <c r="G181">
        <v>0</v>
      </c>
      <c r="H181">
        <v>0</v>
      </c>
      <c r="I181" s="5" t="str">
        <f>OutputTable[[#This Row],[ProjectName]]&amp;OutputTable[[#This Row],[Name]]&amp;OutputTable[[#This Row],[Type]]&amp;OutputTable[[#This Row],[Source]]</f>
        <v>Unnamed Projectsandblastmachine.NumberSeizedTotal Number SeizedResource</v>
      </c>
      <c r="J181" s="5">
        <f t="array" ref="J181">MAX(IF((ProjectInfoTable[ProjectName]=OutputTable[[#This Row],[ProjectName]]),(ProjectInfoTable[ProjectName]=OutputTable[[#This Row],[ProjectName]])*ProjectInfoTable[NumberOfReplications]))</f>
        <v>15</v>
      </c>
      <c r="K181" s="5">
        <f t="array" ref="K181">IFERROR(AVERAGE(IF((OutputTable[GroupByKey]=OutputTable[[#This Row],[GroupByKey]]),(OutputTable[GroupByKey]=OutputTable[[#This Row],[GroupByKey]])*OutputTable[RecordedValue])),0)</f>
        <v>0</v>
      </c>
      <c r="L181" s="5">
        <f t="array" ref="L181">IFERROR(_xlfn.STDEV.S(IF((OutputTable[GroupByKey]=OutputTable[[#This Row],[GroupByKey]]),(OutputTable[GroupByKey]=OutputTable[[#This Row],[GroupByKey]])*OutputTable[RecordedValue])),0)</f>
        <v>0</v>
      </c>
      <c r="M181" s="5">
        <f t="array" ref="M181">MAX(IF((ProjectInfoTable[ProjectName]=OutputTable[[#This Row],[ProjectName]]),(ProjectInfoTable[ProjectName]=OutputTable[[#This Row],[ProjectName]])*ProjectInfoTable[ConfidenceInterval]))</f>
        <v>0.95</v>
      </c>
      <c r="N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" s="5">
        <f t="array" ref="O181">MIN(IF((OutputTable[GroupByKey]=OutputTable[[#This Row],[GroupByKey]]),(OutputTable[GroupByKey]=OutputTable[[#This Row],[GroupByKey]])*OutputTable[RecordedValue]))</f>
        <v>0</v>
      </c>
      <c r="P181" s="5">
        <f t="array" ref="P181">MAX(IF((OutputTable[GroupByKey]=OutputTable[[#This Row],[GroupByKey]]),(OutputTable[GroupByKey]=OutputTable[[#This Row],[GroupByKey]])*OutputTable[RecordedValue]))</f>
        <v>0</v>
      </c>
    </row>
    <row r="182" spans="1:16" x14ac:dyDescent="0.25">
      <c r="A182" t="s">
        <v>67</v>
      </c>
      <c r="B182" t="s">
        <v>70</v>
      </c>
      <c r="C182">
        <v>7</v>
      </c>
      <c r="D182" t="s">
        <v>133</v>
      </c>
      <c r="E182" t="s">
        <v>116</v>
      </c>
      <c r="F182" t="s">
        <v>73</v>
      </c>
      <c r="G182">
        <v>0</v>
      </c>
      <c r="H182">
        <v>0</v>
      </c>
      <c r="I182" s="5" t="str">
        <f>OutputTable[[#This Row],[ProjectName]]&amp;OutputTable[[#This Row],[Name]]&amp;OutputTable[[#This Row],[Type]]&amp;OutputTable[[#This Row],[Source]]</f>
        <v>Unnamed Projectsandblastmachine.ScheduledUtilizationScheduled UtilizationResource</v>
      </c>
      <c r="J182" s="5">
        <f t="array" ref="J182">MAX(IF((ProjectInfoTable[ProjectName]=OutputTable[[#This Row],[ProjectName]]),(ProjectInfoTable[ProjectName]=OutputTable[[#This Row],[ProjectName]])*ProjectInfoTable[NumberOfReplications]))</f>
        <v>15</v>
      </c>
      <c r="K182" s="5">
        <f t="array" ref="K182">IFERROR(AVERAGE(IF((OutputTable[GroupByKey]=OutputTable[[#This Row],[GroupByKey]]),(OutputTable[GroupByKey]=OutputTable[[#This Row],[GroupByKey]])*OutputTable[RecordedValue])),0)</f>
        <v>0</v>
      </c>
      <c r="L182" s="5">
        <f t="array" ref="L182">IFERROR(_xlfn.STDEV.S(IF((OutputTable[GroupByKey]=OutputTable[[#This Row],[GroupByKey]]),(OutputTable[GroupByKey]=OutputTable[[#This Row],[GroupByKey]])*OutputTable[RecordedValue])),0)</f>
        <v>0</v>
      </c>
      <c r="M182" s="5">
        <f t="array" ref="M182">MAX(IF((ProjectInfoTable[ProjectName]=OutputTable[[#This Row],[ProjectName]]),(ProjectInfoTable[ProjectName]=OutputTable[[#This Row],[ProjectName]])*ProjectInfoTable[ConfidenceInterval]))</f>
        <v>0.95</v>
      </c>
      <c r="N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2" s="5">
        <f t="array" ref="O182">MIN(IF((OutputTable[GroupByKey]=OutputTable[[#This Row],[GroupByKey]]),(OutputTable[GroupByKey]=OutputTable[[#This Row],[GroupByKey]])*OutputTable[RecordedValue]))</f>
        <v>0</v>
      </c>
      <c r="P182" s="5">
        <f t="array" ref="P182">MAX(IF((OutputTable[GroupByKey]=OutputTable[[#This Row],[GroupByKey]]),(OutputTable[GroupByKey]=OutputTable[[#This Row],[GroupByKey]])*OutputTable[RecordedValue]))</f>
        <v>0</v>
      </c>
    </row>
    <row r="183" spans="1:16" x14ac:dyDescent="0.25">
      <c r="A183" t="s">
        <v>67</v>
      </c>
      <c r="B183" t="s">
        <v>70</v>
      </c>
      <c r="C183">
        <v>7</v>
      </c>
      <c r="D183" t="s">
        <v>134</v>
      </c>
      <c r="E183" t="s">
        <v>114</v>
      </c>
      <c r="F183" t="s">
        <v>73</v>
      </c>
      <c r="G183">
        <v>0</v>
      </c>
      <c r="H183">
        <v>0</v>
      </c>
      <c r="I183" s="5" t="str">
        <f>OutputTable[[#This Row],[ProjectName]]&amp;OutputTable[[#This Row],[Name]]&amp;OutputTable[[#This Row],[Type]]&amp;OutputTable[[#This Row],[Source]]</f>
        <v>Unnamed Projectsandblastoperator.NumberSeizedTotal Number SeizedResource</v>
      </c>
      <c r="J183" s="5">
        <f t="array" ref="J183">MAX(IF((ProjectInfoTable[ProjectName]=OutputTable[[#This Row],[ProjectName]]),(ProjectInfoTable[ProjectName]=OutputTable[[#This Row],[ProjectName]])*ProjectInfoTable[NumberOfReplications]))</f>
        <v>15</v>
      </c>
      <c r="K183" s="5">
        <f t="array" ref="K183">IFERROR(AVERAGE(IF((OutputTable[GroupByKey]=OutputTable[[#This Row],[GroupByKey]]),(OutputTable[GroupByKey]=OutputTable[[#This Row],[GroupByKey]])*OutputTable[RecordedValue])),0)</f>
        <v>0</v>
      </c>
      <c r="L183" s="5">
        <f t="array" ref="L183">IFERROR(_xlfn.STDEV.S(IF((OutputTable[GroupByKey]=OutputTable[[#This Row],[GroupByKey]]),(OutputTable[GroupByKey]=OutputTable[[#This Row],[GroupByKey]])*OutputTable[RecordedValue])),0)</f>
        <v>0</v>
      </c>
      <c r="M183" s="5">
        <f t="array" ref="M183">MAX(IF((ProjectInfoTable[ProjectName]=OutputTable[[#This Row],[ProjectName]]),(ProjectInfoTable[ProjectName]=OutputTable[[#This Row],[ProjectName]])*ProjectInfoTable[ConfidenceInterval]))</f>
        <v>0.95</v>
      </c>
      <c r="N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3" s="5">
        <f t="array" ref="O183">MIN(IF((OutputTable[GroupByKey]=OutputTable[[#This Row],[GroupByKey]]),(OutputTable[GroupByKey]=OutputTable[[#This Row],[GroupByKey]])*OutputTable[RecordedValue]))</f>
        <v>0</v>
      </c>
      <c r="P183" s="5">
        <f t="array" ref="P183">MAX(IF((OutputTable[GroupByKey]=OutputTable[[#This Row],[GroupByKey]]),(OutputTable[GroupByKey]=OutputTable[[#This Row],[GroupByKey]])*OutputTable[RecordedValue]))</f>
        <v>0</v>
      </c>
    </row>
    <row r="184" spans="1:16" x14ac:dyDescent="0.25">
      <c r="A184" t="s">
        <v>67</v>
      </c>
      <c r="B184" t="s">
        <v>70</v>
      </c>
      <c r="C184">
        <v>7</v>
      </c>
      <c r="D184" t="s">
        <v>135</v>
      </c>
      <c r="E184" t="s">
        <v>116</v>
      </c>
      <c r="F184" t="s">
        <v>73</v>
      </c>
      <c r="G184">
        <v>0</v>
      </c>
      <c r="H184">
        <v>0</v>
      </c>
      <c r="I184" s="5" t="str">
        <f>OutputTable[[#This Row],[ProjectName]]&amp;OutputTable[[#This Row],[Name]]&amp;OutputTable[[#This Row],[Type]]&amp;OutputTable[[#This Row],[Source]]</f>
        <v>Unnamed Projectsandblastoperator.ScheduledUtilizationScheduled UtilizationResource</v>
      </c>
      <c r="J184" s="5">
        <f t="array" ref="J184">MAX(IF((ProjectInfoTable[ProjectName]=OutputTable[[#This Row],[ProjectName]]),(ProjectInfoTable[ProjectName]=OutputTable[[#This Row],[ProjectName]])*ProjectInfoTable[NumberOfReplications]))</f>
        <v>15</v>
      </c>
      <c r="K184" s="5">
        <f t="array" ref="K184">IFERROR(AVERAGE(IF((OutputTable[GroupByKey]=OutputTable[[#This Row],[GroupByKey]]),(OutputTable[GroupByKey]=OutputTable[[#This Row],[GroupByKey]])*OutputTable[RecordedValue])),0)</f>
        <v>0</v>
      </c>
      <c r="L184" s="5">
        <f t="array" ref="L184">IFERROR(_xlfn.STDEV.S(IF((OutputTable[GroupByKey]=OutputTable[[#This Row],[GroupByKey]]),(OutputTable[GroupByKey]=OutputTable[[#This Row],[GroupByKey]])*OutputTable[RecordedValue])),0)</f>
        <v>0</v>
      </c>
      <c r="M184" s="5">
        <f t="array" ref="M184">MAX(IF((ProjectInfoTable[ProjectName]=OutputTable[[#This Row],[ProjectName]]),(ProjectInfoTable[ProjectName]=OutputTable[[#This Row],[ProjectName]])*ProjectInfoTable[ConfidenceInterval]))</f>
        <v>0.95</v>
      </c>
      <c r="N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4" s="5">
        <f t="array" ref="O184">MIN(IF((OutputTable[GroupByKey]=OutputTable[[#This Row],[GroupByKey]]),(OutputTable[GroupByKey]=OutputTable[[#This Row],[GroupByKey]])*OutputTable[RecordedValue]))</f>
        <v>0</v>
      </c>
      <c r="P184" s="5">
        <f t="array" ref="P184">MAX(IF((OutputTable[GroupByKey]=OutputTable[[#This Row],[GroupByKey]]),(OutputTable[GroupByKey]=OutputTable[[#This Row],[GroupByKey]])*OutputTable[RecordedValue]))</f>
        <v>0</v>
      </c>
    </row>
    <row r="185" spans="1:16" x14ac:dyDescent="0.25">
      <c r="A185" t="s">
        <v>67</v>
      </c>
      <c r="B185" t="s">
        <v>70</v>
      </c>
      <c r="C185">
        <v>7</v>
      </c>
      <c r="D185" t="s">
        <v>136</v>
      </c>
      <c r="E185" t="s">
        <v>120</v>
      </c>
      <c r="F185" t="s">
        <v>79</v>
      </c>
      <c r="G185">
        <v>0</v>
      </c>
      <c r="H185">
        <v>0</v>
      </c>
      <c r="I185" s="5" t="str">
        <f>OutputTable[[#This Row],[ProjectName]]&amp;OutputTable[[#This Row],[Name]]&amp;OutputTable[[#This Row],[Type]]&amp;OutputTable[[#This Row],[Source]]</f>
        <v>Unnamed Projectsteelsheet.NumberInNumber InEntity</v>
      </c>
      <c r="J185" s="5">
        <f t="array" ref="J185">MAX(IF((ProjectInfoTable[ProjectName]=OutputTable[[#This Row],[ProjectName]]),(ProjectInfoTable[ProjectName]=OutputTable[[#This Row],[ProjectName]])*ProjectInfoTable[NumberOfReplications]))</f>
        <v>15</v>
      </c>
      <c r="K185" s="5">
        <f t="array" ref="K185">IFERROR(AVERAGE(IF((OutputTable[GroupByKey]=OutputTable[[#This Row],[GroupByKey]]),(OutputTable[GroupByKey]=OutputTable[[#This Row],[GroupByKey]])*OutputTable[RecordedValue])),0)</f>
        <v>0</v>
      </c>
      <c r="L185" s="5">
        <f t="array" ref="L185">IFERROR(_xlfn.STDEV.S(IF((OutputTable[GroupByKey]=OutputTable[[#This Row],[GroupByKey]]),(OutputTable[GroupByKey]=OutputTable[[#This Row],[GroupByKey]])*OutputTable[RecordedValue])),0)</f>
        <v>0</v>
      </c>
      <c r="M185" s="5">
        <f t="array" ref="M185">MAX(IF((ProjectInfoTable[ProjectName]=OutputTable[[#This Row],[ProjectName]]),(ProjectInfoTable[ProjectName]=OutputTable[[#This Row],[ProjectName]])*ProjectInfoTable[ConfidenceInterval]))</f>
        <v>0.95</v>
      </c>
      <c r="N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5" s="5">
        <f t="array" ref="O185">MIN(IF((OutputTable[GroupByKey]=OutputTable[[#This Row],[GroupByKey]]),(OutputTable[GroupByKey]=OutputTable[[#This Row],[GroupByKey]])*OutputTable[RecordedValue]))</f>
        <v>0</v>
      </c>
      <c r="P185" s="5">
        <f t="array" ref="P185">MAX(IF((OutputTable[GroupByKey]=OutputTable[[#This Row],[GroupByKey]]),(OutputTable[GroupByKey]=OutputTable[[#This Row],[GroupByKey]])*OutputTable[RecordedValue]))</f>
        <v>0</v>
      </c>
    </row>
    <row r="186" spans="1:16" x14ac:dyDescent="0.25">
      <c r="A186" t="s">
        <v>67</v>
      </c>
      <c r="B186" t="s">
        <v>70</v>
      </c>
      <c r="C186">
        <v>7</v>
      </c>
      <c r="D186" t="s">
        <v>137</v>
      </c>
      <c r="E186" t="s">
        <v>111</v>
      </c>
      <c r="F186" t="s">
        <v>79</v>
      </c>
      <c r="G186">
        <v>0</v>
      </c>
      <c r="H186">
        <v>0</v>
      </c>
      <c r="I186" s="5" t="str">
        <f>OutputTable[[#This Row],[ProjectName]]&amp;OutputTable[[#This Row],[Name]]&amp;OutputTable[[#This Row],[Type]]&amp;OutputTable[[#This Row],[Source]]</f>
        <v>Unnamed Projectsteelsheet.NumberOutNumber OutEntity</v>
      </c>
      <c r="J186" s="5">
        <f t="array" ref="J186">MAX(IF((ProjectInfoTable[ProjectName]=OutputTable[[#This Row],[ProjectName]]),(ProjectInfoTable[ProjectName]=OutputTable[[#This Row],[ProjectName]])*ProjectInfoTable[NumberOfReplications]))</f>
        <v>15</v>
      </c>
      <c r="K186" s="5">
        <f t="array" ref="K186">IFERROR(AVERAGE(IF((OutputTable[GroupByKey]=OutputTable[[#This Row],[GroupByKey]]),(OutputTable[GroupByKey]=OutputTable[[#This Row],[GroupByKey]])*OutputTable[RecordedValue])),0)</f>
        <v>0</v>
      </c>
      <c r="L186" s="5">
        <f t="array" ref="L186">IFERROR(_xlfn.STDEV.S(IF((OutputTable[GroupByKey]=OutputTable[[#This Row],[GroupByKey]]),(OutputTable[GroupByKey]=OutputTable[[#This Row],[GroupByKey]])*OutputTable[RecordedValue])),0)</f>
        <v>0</v>
      </c>
      <c r="M186" s="5">
        <f t="array" ref="M186">MAX(IF((ProjectInfoTable[ProjectName]=OutputTable[[#This Row],[ProjectName]]),(ProjectInfoTable[ProjectName]=OutputTable[[#This Row],[ProjectName]])*ProjectInfoTable[ConfidenceInterval]))</f>
        <v>0.95</v>
      </c>
      <c r="N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6" s="5">
        <f t="array" ref="O186">MIN(IF((OutputTable[GroupByKey]=OutputTable[[#This Row],[GroupByKey]]),(OutputTable[GroupByKey]=OutputTable[[#This Row],[GroupByKey]])*OutputTable[RecordedValue]))</f>
        <v>0</v>
      </c>
      <c r="P186" s="5">
        <f t="array" ref="P186">MAX(IF((OutputTable[GroupByKey]=OutputTable[[#This Row],[GroupByKey]]),(OutputTable[GroupByKey]=OutputTable[[#This Row],[GroupByKey]])*OutputTable[RecordedValue]))</f>
        <v>0</v>
      </c>
    </row>
    <row r="187" spans="1:16" x14ac:dyDescent="0.25">
      <c r="A187" t="s">
        <v>67</v>
      </c>
      <c r="B187" t="s">
        <v>70</v>
      </c>
      <c r="C187">
        <v>7</v>
      </c>
      <c r="D187" t="s">
        <v>138</v>
      </c>
      <c r="E187" t="s">
        <v>114</v>
      </c>
      <c r="F187" t="s">
        <v>73</v>
      </c>
      <c r="G187">
        <v>0</v>
      </c>
      <c r="H187">
        <v>0</v>
      </c>
      <c r="I187" s="5" t="str">
        <f>OutputTable[[#This Row],[ProjectName]]&amp;OutputTable[[#This Row],[Name]]&amp;OutputTable[[#This Row],[Type]]&amp;OutputTable[[#This Row],[Source]]</f>
        <v>Unnamed Projectwelder.NumberSeizedTotal Number SeizedResource</v>
      </c>
      <c r="J187" s="5">
        <f t="array" ref="J187">MAX(IF((ProjectInfoTable[ProjectName]=OutputTable[[#This Row],[ProjectName]]),(ProjectInfoTable[ProjectName]=OutputTable[[#This Row],[ProjectName]])*ProjectInfoTable[NumberOfReplications]))</f>
        <v>15</v>
      </c>
      <c r="K187" s="5">
        <f t="array" ref="K187">IFERROR(AVERAGE(IF((OutputTable[GroupByKey]=OutputTable[[#This Row],[GroupByKey]]),(OutputTable[GroupByKey]=OutputTable[[#This Row],[GroupByKey]])*OutputTable[RecordedValue])),0)</f>
        <v>0</v>
      </c>
      <c r="L187" s="5">
        <f t="array" ref="L187">IFERROR(_xlfn.STDEV.S(IF((OutputTable[GroupByKey]=OutputTable[[#This Row],[GroupByKey]]),(OutputTable[GroupByKey]=OutputTable[[#This Row],[GroupByKey]])*OutputTable[RecordedValue])),0)</f>
        <v>0</v>
      </c>
      <c r="M187" s="5">
        <f t="array" ref="M187">MAX(IF((ProjectInfoTable[ProjectName]=OutputTable[[#This Row],[ProjectName]]),(ProjectInfoTable[ProjectName]=OutputTable[[#This Row],[ProjectName]])*ProjectInfoTable[ConfidenceInterval]))</f>
        <v>0.95</v>
      </c>
      <c r="N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7" s="5">
        <f t="array" ref="O187">MIN(IF((OutputTable[GroupByKey]=OutputTable[[#This Row],[GroupByKey]]),(OutputTable[GroupByKey]=OutputTable[[#This Row],[GroupByKey]])*OutputTable[RecordedValue]))</f>
        <v>0</v>
      </c>
      <c r="P187" s="5">
        <f t="array" ref="P187">MAX(IF((OutputTable[GroupByKey]=OutputTable[[#This Row],[GroupByKey]]),(OutputTable[GroupByKey]=OutputTable[[#This Row],[GroupByKey]])*OutputTable[RecordedValue]))</f>
        <v>0</v>
      </c>
    </row>
    <row r="188" spans="1:16" x14ac:dyDescent="0.25">
      <c r="A188" t="s">
        <v>67</v>
      </c>
      <c r="B188" t="s">
        <v>70</v>
      </c>
      <c r="C188">
        <v>7</v>
      </c>
      <c r="D188" t="s">
        <v>139</v>
      </c>
      <c r="E188" t="s">
        <v>116</v>
      </c>
      <c r="F188" t="s">
        <v>73</v>
      </c>
      <c r="G188">
        <v>0</v>
      </c>
      <c r="H188">
        <v>0</v>
      </c>
      <c r="I188" s="5" t="str">
        <f>OutputTable[[#This Row],[ProjectName]]&amp;OutputTable[[#This Row],[Name]]&amp;OutputTable[[#This Row],[Type]]&amp;OutputTable[[#This Row],[Source]]</f>
        <v>Unnamed Projectwelder.ScheduledUtilizationScheduled UtilizationResource</v>
      </c>
      <c r="J188" s="5">
        <f t="array" ref="J188">MAX(IF((ProjectInfoTable[ProjectName]=OutputTable[[#This Row],[ProjectName]]),(ProjectInfoTable[ProjectName]=OutputTable[[#This Row],[ProjectName]])*ProjectInfoTable[NumberOfReplications]))</f>
        <v>15</v>
      </c>
      <c r="K188" s="5">
        <f t="array" ref="K188">IFERROR(AVERAGE(IF((OutputTable[GroupByKey]=OutputTable[[#This Row],[GroupByKey]]),(OutputTable[GroupByKey]=OutputTable[[#This Row],[GroupByKey]])*OutputTable[RecordedValue])),0)</f>
        <v>0</v>
      </c>
      <c r="L188" s="5">
        <f t="array" ref="L188">IFERROR(_xlfn.STDEV.S(IF((OutputTable[GroupByKey]=OutputTable[[#This Row],[GroupByKey]]),(OutputTable[GroupByKey]=OutputTable[[#This Row],[GroupByKey]])*OutputTable[RecordedValue])),0)</f>
        <v>0</v>
      </c>
      <c r="M188" s="5">
        <f t="array" ref="M188">MAX(IF((ProjectInfoTable[ProjectName]=OutputTable[[#This Row],[ProjectName]]),(ProjectInfoTable[ProjectName]=OutputTable[[#This Row],[ProjectName]])*ProjectInfoTable[ConfidenceInterval]))</f>
        <v>0.95</v>
      </c>
      <c r="N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8" s="5">
        <f t="array" ref="O188">MIN(IF((OutputTable[GroupByKey]=OutputTable[[#This Row],[GroupByKey]]),(OutputTable[GroupByKey]=OutputTable[[#This Row],[GroupByKey]])*OutputTable[RecordedValue]))</f>
        <v>0</v>
      </c>
      <c r="P188" s="5">
        <f t="array" ref="P188">MAX(IF((OutputTable[GroupByKey]=OutputTable[[#This Row],[GroupByKey]]),(OutputTable[GroupByKey]=OutputTable[[#This Row],[GroupByKey]])*OutputTable[RecordedValue]))</f>
        <v>0</v>
      </c>
    </row>
    <row r="189" spans="1:16" x14ac:dyDescent="0.25">
      <c r="A189" t="s">
        <v>67</v>
      </c>
      <c r="B189" t="s">
        <v>70</v>
      </c>
      <c r="C189">
        <v>7</v>
      </c>
      <c r="D189" t="s">
        <v>140</v>
      </c>
      <c r="E189" t="s">
        <v>114</v>
      </c>
      <c r="F189" t="s">
        <v>73</v>
      </c>
      <c r="G189">
        <v>0</v>
      </c>
      <c r="H189">
        <v>0</v>
      </c>
      <c r="I189" s="5" t="str">
        <f>OutputTable[[#This Row],[ProjectName]]&amp;OutputTable[[#This Row],[Name]]&amp;OutputTable[[#This Row],[Type]]&amp;OutputTable[[#This Row],[Source]]</f>
        <v>Unnamed Projectweldingqcworker.NumberSeizedTotal Number SeizedResource</v>
      </c>
      <c r="J189" s="5">
        <f t="array" ref="J189">MAX(IF((ProjectInfoTable[ProjectName]=OutputTable[[#This Row],[ProjectName]]),(ProjectInfoTable[ProjectName]=OutputTable[[#This Row],[ProjectName]])*ProjectInfoTable[NumberOfReplications]))</f>
        <v>15</v>
      </c>
      <c r="K189" s="5">
        <f t="array" ref="K189">IFERROR(AVERAGE(IF((OutputTable[GroupByKey]=OutputTable[[#This Row],[GroupByKey]]),(OutputTable[GroupByKey]=OutputTable[[#This Row],[GroupByKey]])*OutputTable[RecordedValue])),0)</f>
        <v>0</v>
      </c>
      <c r="L189" s="5">
        <f t="array" ref="L189">IFERROR(_xlfn.STDEV.S(IF((OutputTable[GroupByKey]=OutputTable[[#This Row],[GroupByKey]]),(OutputTable[GroupByKey]=OutputTable[[#This Row],[GroupByKey]])*OutputTable[RecordedValue])),0)</f>
        <v>0</v>
      </c>
      <c r="M189" s="5">
        <f t="array" ref="M189">MAX(IF((ProjectInfoTable[ProjectName]=OutputTable[[#This Row],[ProjectName]]),(ProjectInfoTable[ProjectName]=OutputTable[[#This Row],[ProjectName]])*ProjectInfoTable[ConfidenceInterval]))</f>
        <v>0.95</v>
      </c>
      <c r="N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9" s="5">
        <f t="array" ref="O189">MIN(IF((OutputTable[GroupByKey]=OutputTable[[#This Row],[GroupByKey]]),(OutputTable[GroupByKey]=OutputTable[[#This Row],[GroupByKey]])*OutputTable[RecordedValue]))</f>
        <v>0</v>
      </c>
      <c r="P189" s="5">
        <f t="array" ref="P189">MAX(IF((OutputTable[GroupByKey]=OutputTable[[#This Row],[GroupByKey]]),(OutputTable[GroupByKey]=OutputTable[[#This Row],[GroupByKey]])*OutputTable[RecordedValue]))</f>
        <v>0</v>
      </c>
    </row>
    <row r="190" spans="1:16" x14ac:dyDescent="0.25">
      <c r="A190" t="s">
        <v>67</v>
      </c>
      <c r="B190" t="s">
        <v>70</v>
      </c>
      <c r="C190">
        <v>7</v>
      </c>
      <c r="D190" t="s">
        <v>141</v>
      </c>
      <c r="E190" t="s">
        <v>116</v>
      </c>
      <c r="F190" t="s">
        <v>73</v>
      </c>
      <c r="G190">
        <v>0</v>
      </c>
      <c r="H190">
        <v>0</v>
      </c>
      <c r="I190" s="5" t="str">
        <f>OutputTable[[#This Row],[ProjectName]]&amp;OutputTable[[#This Row],[Name]]&amp;OutputTable[[#This Row],[Type]]&amp;OutputTable[[#This Row],[Source]]</f>
        <v>Unnamed Projectweldingqcworker.ScheduledUtilizationScheduled UtilizationResource</v>
      </c>
      <c r="J190" s="5">
        <f t="array" ref="J190">MAX(IF((ProjectInfoTable[ProjectName]=OutputTable[[#This Row],[ProjectName]]),(ProjectInfoTable[ProjectName]=OutputTable[[#This Row],[ProjectName]])*ProjectInfoTable[NumberOfReplications]))</f>
        <v>15</v>
      </c>
      <c r="K190" s="5">
        <f t="array" ref="K190">IFERROR(AVERAGE(IF((OutputTable[GroupByKey]=OutputTable[[#This Row],[GroupByKey]]),(OutputTable[GroupByKey]=OutputTable[[#This Row],[GroupByKey]])*OutputTable[RecordedValue])),0)</f>
        <v>0</v>
      </c>
      <c r="L190" s="5">
        <f t="array" ref="L190">IFERROR(_xlfn.STDEV.S(IF((OutputTable[GroupByKey]=OutputTable[[#This Row],[GroupByKey]]),(OutputTable[GroupByKey]=OutputTable[[#This Row],[GroupByKey]])*OutputTable[RecordedValue])),0)</f>
        <v>0</v>
      </c>
      <c r="M190" s="5">
        <f t="array" ref="M190">MAX(IF((ProjectInfoTable[ProjectName]=OutputTable[[#This Row],[ProjectName]]),(ProjectInfoTable[ProjectName]=OutputTable[[#This Row],[ProjectName]])*ProjectInfoTable[ConfidenceInterval]))</f>
        <v>0.95</v>
      </c>
      <c r="N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0" s="5">
        <f t="array" ref="O190">MIN(IF((OutputTable[GroupByKey]=OutputTable[[#This Row],[GroupByKey]]),(OutputTable[GroupByKey]=OutputTable[[#This Row],[GroupByKey]])*OutputTable[RecordedValue]))</f>
        <v>0</v>
      </c>
      <c r="P190" s="5">
        <f t="array" ref="P190">MAX(IF((OutputTable[GroupByKey]=OutputTable[[#This Row],[GroupByKey]]),(OutputTable[GroupByKey]=OutputTable[[#This Row],[GroupByKey]])*OutputTable[RecordedValue]))</f>
        <v>0</v>
      </c>
    </row>
    <row r="191" spans="1:16" x14ac:dyDescent="0.25">
      <c r="A191" t="s">
        <v>67</v>
      </c>
      <c r="B191" t="s">
        <v>70</v>
      </c>
      <c r="C191">
        <v>8</v>
      </c>
      <c r="D191" t="s">
        <v>110</v>
      </c>
      <c r="E191" t="s">
        <v>111</v>
      </c>
      <c r="F191" t="s">
        <v>112</v>
      </c>
      <c r="G191">
        <v>0</v>
      </c>
      <c r="H191">
        <v>0</v>
      </c>
      <c r="I191" s="5" t="str">
        <f>OutputTable[[#This Row],[ProjectName]]&amp;OutputTable[[#This Row],[Name]]&amp;OutputTable[[#This Row],[Type]]&amp;OutputTable[[#This Row],[Source]]</f>
        <v>Unnamed ProjectSystem.NumberOutNumber OutSystem</v>
      </c>
      <c r="J191" s="5">
        <f t="array" ref="J191">MAX(IF((ProjectInfoTable[ProjectName]=OutputTable[[#This Row],[ProjectName]]),(ProjectInfoTable[ProjectName]=OutputTable[[#This Row],[ProjectName]])*ProjectInfoTable[NumberOfReplications]))</f>
        <v>15</v>
      </c>
      <c r="K191" s="5">
        <f t="array" ref="K191">IFERROR(AVERAGE(IF((OutputTable[GroupByKey]=OutputTable[[#This Row],[GroupByKey]]),(OutputTable[GroupByKey]=OutputTable[[#This Row],[GroupByKey]])*OutputTable[RecordedValue])),0)</f>
        <v>0</v>
      </c>
      <c r="L191" s="5">
        <f t="array" ref="L191">IFERROR(_xlfn.STDEV.S(IF((OutputTable[GroupByKey]=OutputTable[[#This Row],[GroupByKey]]),(OutputTable[GroupByKey]=OutputTable[[#This Row],[GroupByKey]])*OutputTable[RecordedValue])),0)</f>
        <v>0</v>
      </c>
      <c r="M191" s="5">
        <f t="array" ref="M191">MAX(IF((ProjectInfoTable[ProjectName]=OutputTable[[#This Row],[ProjectName]]),(ProjectInfoTable[ProjectName]=OutputTable[[#This Row],[ProjectName]])*ProjectInfoTable[ConfidenceInterval]))</f>
        <v>0.95</v>
      </c>
      <c r="N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1" s="5">
        <f t="array" ref="O191">MIN(IF((OutputTable[GroupByKey]=OutputTable[[#This Row],[GroupByKey]]),(OutputTable[GroupByKey]=OutputTable[[#This Row],[GroupByKey]])*OutputTable[RecordedValue]))</f>
        <v>0</v>
      </c>
      <c r="P191" s="5">
        <f t="array" ref="P191">MAX(IF((OutputTable[GroupByKey]=OutputTable[[#This Row],[GroupByKey]]),(OutputTable[GroupByKey]=OutputTable[[#This Row],[GroupByKey]])*OutputTable[RecordedValue]))</f>
        <v>0</v>
      </c>
    </row>
    <row r="192" spans="1:16" x14ac:dyDescent="0.25">
      <c r="A192" t="s">
        <v>67</v>
      </c>
      <c r="B192" t="s">
        <v>70</v>
      </c>
      <c r="C192">
        <v>8</v>
      </c>
      <c r="D192" t="s">
        <v>113</v>
      </c>
      <c r="E192" t="s">
        <v>114</v>
      </c>
      <c r="F192" t="s">
        <v>73</v>
      </c>
      <c r="G192">
        <v>0</v>
      </c>
      <c r="H192">
        <v>0</v>
      </c>
      <c r="I192" s="5" t="str">
        <f>OutputTable[[#This Row],[ProjectName]]&amp;OutputTable[[#This Row],[Name]]&amp;OutputTable[[#This Row],[Type]]&amp;OutputTable[[#This Row],[Source]]</f>
        <v>Unnamed Projectassembler.NumberSeizedTotal Number SeizedResource</v>
      </c>
      <c r="J192" s="5">
        <f t="array" ref="J192">MAX(IF((ProjectInfoTable[ProjectName]=OutputTable[[#This Row],[ProjectName]]),(ProjectInfoTable[ProjectName]=OutputTable[[#This Row],[ProjectName]])*ProjectInfoTable[NumberOfReplications]))</f>
        <v>15</v>
      </c>
      <c r="K192" s="5">
        <f t="array" ref="K192">IFERROR(AVERAGE(IF((OutputTable[GroupByKey]=OutputTable[[#This Row],[GroupByKey]]),(OutputTable[GroupByKey]=OutputTable[[#This Row],[GroupByKey]])*OutputTable[RecordedValue])),0)</f>
        <v>0</v>
      </c>
      <c r="L192" s="5">
        <f t="array" ref="L192">IFERROR(_xlfn.STDEV.S(IF((OutputTable[GroupByKey]=OutputTable[[#This Row],[GroupByKey]]),(OutputTable[GroupByKey]=OutputTable[[#This Row],[GroupByKey]])*OutputTable[RecordedValue])),0)</f>
        <v>0</v>
      </c>
      <c r="M192" s="5">
        <f t="array" ref="M192">MAX(IF((ProjectInfoTable[ProjectName]=OutputTable[[#This Row],[ProjectName]]),(ProjectInfoTable[ProjectName]=OutputTable[[#This Row],[ProjectName]])*ProjectInfoTable[ConfidenceInterval]))</f>
        <v>0.95</v>
      </c>
      <c r="N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2" s="5">
        <f t="array" ref="O192">MIN(IF((OutputTable[GroupByKey]=OutputTable[[#This Row],[GroupByKey]]),(OutputTable[GroupByKey]=OutputTable[[#This Row],[GroupByKey]])*OutputTable[RecordedValue]))</f>
        <v>0</v>
      </c>
      <c r="P192" s="5">
        <f t="array" ref="P192">MAX(IF((OutputTable[GroupByKey]=OutputTable[[#This Row],[GroupByKey]]),(OutputTable[GroupByKey]=OutputTable[[#This Row],[GroupByKey]])*OutputTable[RecordedValue]))</f>
        <v>0</v>
      </c>
    </row>
    <row r="193" spans="1:16" x14ac:dyDescent="0.25">
      <c r="A193" t="s">
        <v>67</v>
      </c>
      <c r="B193" t="s">
        <v>70</v>
      </c>
      <c r="C193">
        <v>8</v>
      </c>
      <c r="D193" t="s">
        <v>115</v>
      </c>
      <c r="E193" t="s">
        <v>116</v>
      </c>
      <c r="F193" t="s">
        <v>73</v>
      </c>
      <c r="G193">
        <v>0</v>
      </c>
      <c r="H193">
        <v>0</v>
      </c>
      <c r="I193" s="5" t="str">
        <f>OutputTable[[#This Row],[ProjectName]]&amp;OutputTable[[#This Row],[Name]]&amp;OutputTable[[#This Row],[Type]]&amp;OutputTable[[#This Row],[Source]]</f>
        <v>Unnamed Projectassembler.ScheduledUtilizationScheduled UtilizationResource</v>
      </c>
      <c r="J193" s="5">
        <f t="array" ref="J193">MAX(IF((ProjectInfoTable[ProjectName]=OutputTable[[#This Row],[ProjectName]]),(ProjectInfoTable[ProjectName]=OutputTable[[#This Row],[ProjectName]])*ProjectInfoTable[NumberOfReplications]))</f>
        <v>15</v>
      </c>
      <c r="K193" s="5">
        <f t="array" ref="K193">IFERROR(AVERAGE(IF((OutputTable[GroupByKey]=OutputTable[[#This Row],[GroupByKey]]),(OutputTable[GroupByKey]=OutputTable[[#This Row],[GroupByKey]])*OutputTable[RecordedValue])),0)</f>
        <v>0</v>
      </c>
      <c r="L193" s="5">
        <f t="array" ref="L193">IFERROR(_xlfn.STDEV.S(IF((OutputTable[GroupByKey]=OutputTable[[#This Row],[GroupByKey]]),(OutputTable[GroupByKey]=OutputTable[[#This Row],[GroupByKey]])*OutputTable[RecordedValue])),0)</f>
        <v>0</v>
      </c>
      <c r="M193" s="5">
        <f t="array" ref="M193">MAX(IF((ProjectInfoTable[ProjectName]=OutputTable[[#This Row],[ProjectName]]),(ProjectInfoTable[ProjectName]=OutputTable[[#This Row],[ProjectName]])*ProjectInfoTable[ConfidenceInterval]))</f>
        <v>0.95</v>
      </c>
      <c r="N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3" s="5">
        <f t="array" ref="O193">MIN(IF((OutputTable[GroupByKey]=OutputTable[[#This Row],[GroupByKey]]),(OutputTable[GroupByKey]=OutputTable[[#This Row],[GroupByKey]])*OutputTable[RecordedValue]))</f>
        <v>0</v>
      </c>
      <c r="P193" s="5">
        <f t="array" ref="P193">MAX(IF((OutputTable[GroupByKey]=OutputTable[[#This Row],[GroupByKey]]),(OutputTable[GroupByKey]=OutputTable[[#This Row],[GroupByKey]])*OutputTable[RecordedValue]))</f>
        <v>0</v>
      </c>
    </row>
    <row r="194" spans="1:16" x14ac:dyDescent="0.25">
      <c r="A194" t="s">
        <v>67</v>
      </c>
      <c r="B194" t="s">
        <v>70</v>
      </c>
      <c r="C194">
        <v>8</v>
      </c>
      <c r="D194" t="s">
        <v>117</v>
      </c>
      <c r="E194" t="s">
        <v>114</v>
      </c>
      <c r="F194" t="s">
        <v>73</v>
      </c>
      <c r="G194">
        <v>0</v>
      </c>
      <c r="H194">
        <v>0</v>
      </c>
      <c r="I194" s="5" t="str">
        <f>OutputTable[[#This Row],[ProjectName]]&amp;OutputTable[[#This Row],[Name]]&amp;OutputTable[[#This Row],[Type]]&amp;OutputTable[[#This Row],[Source]]</f>
        <v>Unnamed Projectassemblyqcworker.NumberSeizedTotal Number SeizedResource</v>
      </c>
      <c r="J194" s="5">
        <f t="array" ref="J194">MAX(IF((ProjectInfoTable[ProjectName]=OutputTable[[#This Row],[ProjectName]]),(ProjectInfoTable[ProjectName]=OutputTable[[#This Row],[ProjectName]])*ProjectInfoTable[NumberOfReplications]))</f>
        <v>15</v>
      </c>
      <c r="K194" s="5">
        <f t="array" ref="K194">IFERROR(AVERAGE(IF((OutputTable[GroupByKey]=OutputTable[[#This Row],[GroupByKey]]),(OutputTable[GroupByKey]=OutputTable[[#This Row],[GroupByKey]])*OutputTable[RecordedValue])),0)</f>
        <v>0</v>
      </c>
      <c r="L194" s="5">
        <f t="array" ref="L194">IFERROR(_xlfn.STDEV.S(IF((OutputTable[GroupByKey]=OutputTable[[#This Row],[GroupByKey]]),(OutputTable[GroupByKey]=OutputTable[[#This Row],[GroupByKey]])*OutputTable[RecordedValue])),0)</f>
        <v>0</v>
      </c>
      <c r="M194" s="5">
        <f t="array" ref="M194">MAX(IF((ProjectInfoTable[ProjectName]=OutputTable[[#This Row],[ProjectName]]),(ProjectInfoTable[ProjectName]=OutputTable[[#This Row],[ProjectName]])*ProjectInfoTable[ConfidenceInterval]))</f>
        <v>0.95</v>
      </c>
      <c r="N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4" s="5">
        <f t="array" ref="O194">MIN(IF((OutputTable[GroupByKey]=OutputTable[[#This Row],[GroupByKey]]),(OutputTable[GroupByKey]=OutputTable[[#This Row],[GroupByKey]])*OutputTable[RecordedValue]))</f>
        <v>0</v>
      </c>
      <c r="P194" s="5">
        <f t="array" ref="P194">MAX(IF((OutputTable[GroupByKey]=OutputTable[[#This Row],[GroupByKey]]),(OutputTable[GroupByKey]=OutputTable[[#This Row],[GroupByKey]])*OutputTable[RecordedValue]))</f>
        <v>0</v>
      </c>
    </row>
    <row r="195" spans="1:16" x14ac:dyDescent="0.25">
      <c r="A195" t="s">
        <v>67</v>
      </c>
      <c r="B195" t="s">
        <v>70</v>
      </c>
      <c r="C195">
        <v>8</v>
      </c>
      <c r="D195" t="s">
        <v>118</v>
      </c>
      <c r="E195" t="s">
        <v>116</v>
      </c>
      <c r="F195" t="s">
        <v>73</v>
      </c>
      <c r="G195">
        <v>0</v>
      </c>
      <c r="H195">
        <v>0</v>
      </c>
      <c r="I195" s="5" t="str">
        <f>OutputTable[[#This Row],[ProjectName]]&amp;OutputTable[[#This Row],[Name]]&amp;OutputTable[[#This Row],[Type]]&amp;OutputTable[[#This Row],[Source]]</f>
        <v>Unnamed Projectassemblyqcworker.ScheduledUtilizationScheduled UtilizationResource</v>
      </c>
      <c r="J195" s="5">
        <f t="array" ref="J195">MAX(IF((ProjectInfoTable[ProjectName]=OutputTable[[#This Row],[ProjectName]]),(ProjectInfoTable[ProjectName]=OutputTable[[#This Row],[ProjectName]])*ProjectInfoTable[NumberOfReplications]))</f>
        <v>15</v>
      </c>
      <c r="K195" s="5">
        <f t="array" ref="K195">IFERROR(AVERAGE(IF((OutputTable[GroupByKey]=OutputTable[[#This Row],[GroupByKey]]),(OutputTable[GroupByKey]=OutputTable[[#This Row],[GroupByKey]])*OutputTable[RecordedValue])),0)</f>
        <v>0</v>
      </c>
      <c r="L195" s="5">
        <f t="array" ref="L195">IFERROR(_xlfn.STDEV.S(IF((OutputTable[GroupByKey]=OutputTable[[#This Row],[GroupByKey]]),(OutputTable[GroupByKey]=OutputTable[[#This Row],[GroupByKey]])*OutputTable[RecordedValue])),0)</f>
        <v>0</v>
      </c>
      <c r="M195" s="5">
        <f t="array" ref="M195">MAX(IF((ProjectInfoTable[ProjectName]=OutputTable[[#This Row],[ProjectName]]),(ProjectInfoTable[ProjectName]=OutputTable[[#This Row],[ProjectName]])*ProjectInfoTable[ConfidenceInterval]))</f>
        <v>0.95</v>
      </c>
      <c r="N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5" s="5">
        <f t="array" ref="O195">MIN(IF((OutputTable[GroupByKey]=OutputTable[[#This Row],[GroupByKey]]),(OutputTable[GroupByKey]=OutputTable[[#This Row],[GroupByKey]])*OutputTable[RecordedValue]))</f>
        <v>0</v>
      </c>
      <c r="P195" s="5">
        <f t="array" ref="P195">MAX(IF((OutputTable[GroupByKey]=OutputTable[[#This Row],[GroupByKey]]),(OutputTable[GroupByKey]=OutputTable[[#This Row],[GroupByKey]])*OutputTable[RecordedValue]))</f>
        <v>0</v>
      </c>
    </row>
    <row r="196" spans="1:16" x14ac:dyDescent="0.25">
      <c r="A196" t="s">
        <v>67</v>
      </c>
      <c r="B196" t="s">
        <v>70</v>
      </c>
      <c r="C196">
        <v>8</v>
      </c>
      <c r="D196" t="s">
        <v>119</v>
      </c>
      <c r="E196" t="s">
        <v>120</v>
      </c>
      <c r="F196" t="s">
        <v>79</v>
      </c>
      <c r="G196">
        <v>0</v>
      </c>
      <c r="H196">
        <v>0</v>
      </c>
      <c r="I196" s="5" t="str">
        <f>OutputTable[[#This Row],[ProjectName]]&amp;OutputTable[[#This Row],[Name]]&amp;OutputTable[[#This Row],[Type]]&amp;OutputTable[[#This Row],[Source]]</f>
        <v>Unnamed Projectbatched_parts.NumberInNumber InEntity</v>
      </c>
      <c r="J196" s="5">
        <f t="array" ref="J196">MAX(IF((ProjectInfoTable[ProjectName]=OutputTable[[#This Row],[ProjectName]]),(ProjectInfoTable[ProjectName]=OutputTable[[#This Row],[ProjectName]])*ProjectInfoTable[NumberOfReplications]))</f>
        <v>15</v>
      </c>
      <c r="K196" s="5">
        <f t="array" ref="K196">IFERROR(AVERAGE(IF((OutputTable[GroupByKey]=OutputTable[[#This Row],[GroupByKey]]),(OutputTable[GroupByKey]=OutputTable[[#This Row],[GroupByKey]])*OutputTable[RecordedValue])),0)</f>
        <v>0</v>
      </c>
      <c r="L196" s="5">
        <f t="array" ref="L196">IFERROR(_xlfn.STDEV.S(IF((OutputTable[GroupByKey]=OutputTable[[#This Row],[GroupByKey]]),(OutputTable[GroupByKey]=OutputTable[[#This Row],[GroupByKey]])*OutputTable[RecordedValue])),0)</f>
        <v>0</v>
      </c>
      <c r="M196" s="5">
        <f t="array" ref="M196">MAX(IF((ProjectInfoTable[ProjectName]=OutputTable[[#This Row],[ProjectName]]),(ProjectInfoTable[ProjectName]=OutputTable[[#This Row],[ProjectName]])*ProjectInfoTable[ConfidenceInterval]))</f>
        <v>0.95</v>
      </c>
      <c r="N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6" s="5">
        <f t="array" ref="O196">MIN(IF((OutputTable[GroupByKey]=OutputTable[[#This Row],[GroupByKey]]),(OutputTable[GroupByKey]=OutputTable[[#This Row],[GroupByKey]])*OutputTable[RecordedValue]))</f>
        <v>0</v>
      </c>
      <c r="P196" s="5">
        <f t="array" ref="P196">MAX(IF((OutputTable[GroupByKey]=OutputTable[[#This Row],[GroupByKey]]),(OutputTable[GroupByKey]=OutputTable[[#This Row],[GroupByKey]])*OutputTable[RecordedValue]))</f>
        <v>0</v>
      </c>
    </row>
    <row r="197" spans="1:16" x14ac:dyDescent="0.25">
      <c r="A197" t="s">
        <v>67</v>
      </c>
      <c r="B197" t="s">
        <v>70</v>
      </c>
      <c r="C197">
        <v>8</v>
      </c>
      <c r="D197" t="s">
        <v>121</v>
      </c>
      <c r="E197" t="s">
        <v>111</v>
      </c>
      <c r="F197" t="s">
        <v>79</v>
      </c>
      <c r="G197">
        <v>0</v>
      </c>
      <c r="H197">
        <v>0</v>
      </c>
      <c r="I197" s="5" t="str">
        <f>OutputTable[[#This Row],[ProjectName]]&amp;OutputTable[[#This Row],[Name]]&amp;OutputTable[[#This Row],[Type]]&amp;OutputTable[[#This Row],[Source]]</f>
        <v>Unnamed Projectbatched_parts.NumberOutNumber OutEntity</v>
      </c>
      <c r="J197" s="5">
        <f t="array" ref="J197">MAX(IF((ProjectInfoTable[ProjectName]=OutputTable[[#This Row],[ProjectName]]),(ProjectInfoTable[ProjectName]=OutputTable[[#This Row],[ProjectName]])*ProjectInfoTable[NumberOfReplications]))</f>
        <v>15</v>
      </c>
      <c r="K197" s="5">
        <f t="array" ref="K197">IFERROR(AVERAGE(IF((OutputTable[GroupByKey]=OutputTable[[#This Row],[GroupByKey]]),(OutputTable[GroupByKey]=OutputTable[[#This Row],[GroupByKey]])*OutputTable[RecordedValue])),0)</f>
        <v>0</v>
      </c>
      <c r="L197" s="5">
        <f t="array" ref="L197">IFERROR(_xlfn.STDEV.S(IF((OutputTable[GroupByKey]=OutputTable[[#This Row],[GroupByKey]]),(OutputTable[GroupByKey]=OutputTable[[#This Row],[GroupByKey]])*OutputTable[RecordedValue])),0)</f>
        <v>0</v>
      </c>
      <c r="M197" s="5">
        <f t="array" ref="M197">MAX(IF((ProjectInfoTable[ProjectName]=OutputTable[[#This Row],[ProjectName]]),(ProjectInfoTable[ProjectName]=OutputTable[[#This Row],[ProjectName]])*ProjectInfoTable[ConfidenceInterval]))</f>
        <v>0.95</v>
      </c>
      <c r="N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7" s="5">
        <f t="array" ref="O197">MIN(IF((OutputTable[GroupByKey]=OutputTable[[#This Row],[GroupByKey]]),(OutputTable[GroupByKey]=OutputTable[[#This Row],[GroupByKey]])*OutputTable[RecordedValue]))</f>
        <v>0</v>
      </c>
      <c r="P197" s="5">
        <f t="array" ref="P197">MAX(IF((OutputTable[GroupByKey]=OutputTable[[#This Row],[GroupByKey]]),(OutputTable[GroupByKey]=OutputTable[[#This Row],[GroupByKey]])*OutputTable[RecordedValue]))</f>
        <v>0</v>
      </c>
    </row>
    <row r="198" spans="1:16" x14ac:dyDescent="0.25">
      <c r="A198" t="s">
        <v>67</v>
      </c>
      <c r="B198" t="s">
        <v>70</v>
      </c>
      <c r="C198">
        <v>8</v>
      </c>
      <c r="D198" t="s">
        <v>122</v>
      </c>
      <c r="E198" t="s">
        <v>114</v>
      </c>
      <c r="F198" t="s">
        <v>73</v>
      </c>
      <c r="G198">
        <v>0</v>
      </c>
      <c r="H198">
        <v>0</v>
      </c>
      <c r="I198" s="5" t="str">
        <f>OutputTable[[#This Row],[ProjectName]]&amp;OutputTable[[#This Row],[Name]]&amp;OutputTable[[#This Row],[Type]]&amp;OutputTable[[#This Row],[Source]]</f>
        <v>Unnamed Projectcleaner.NumberSeizedTotal Number SeizedResource</v>
      </c>
      <c r="J198" s="5">
        <f t="array" ref="J198">MAX(IF((ProjectInfoTable[ProjectName]=OutputTable[[#This Row],[ProjectName]]),(ProjectInfoTable[ProjectName]=OutputTable[[#This Row],[ProjectName]])*ProjectInfoTable[NumberOfReplications]))</f>
        <v>15</v>
      </c>
      <c r="K198" s="5">
        <f t="array" ref="K198">IFERROR(AVERAGE(IF((OutputTable[GroupByKey]=OutputTable[[#This Row],[GroupByKey]]),(OutputTable[GroupByKey]=OutputTable[[#This Row],[GroupByKey]])*OutputTable[RecordedValue])),0)</f>
        <v>0</v>
      </c>
      <c r="L198" s="5">
        <f t="array" ref="L198">IFERROR(_xlfn.STDEV.S(IF((OutputTable[GroupByKey]=OutputTable[[#This Row],[GroupByKey]]),(OutputTable[GroupByKey]=OutputTable[[#This Row],[GroupByKey]])*OutputTable[RecordedValue])),0)</f>
        <v>0</v>
      </c>
      <c r="M198" s="5">
        <f t="array" ref="M198">MAX(IF((ProjectInfoTable[ProjectName]=OutputTable[[#This Row],[ProjectName]]),(ProjectInfoTable[ProjectName]=OutputTable[[#This Row],[ProjectName]])*ProjectInfoTable[ConfidenceInterval]))</f>
        <v>0.95</v>
      </c>
      <c r="N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8" s="5">
        <f t="array" ref="O198">MIN(IF((OutputTable[GroupByKey]=OutputTable[[#This Row],[GroupByKey]]),(OutputTable[GroupByKey]=OutputTable[[#This Row],[GroupByKey]])*OutputTable[RecordedValue]))</f>
        <v>0</v>
      </c>
      <c r="P198" s="5">
        <f t="array" ref="P198">MAX(IF((OutputTable[GroupByKey]=OutputTable[[#This Row],[GroupByKey]]),(OutputTable[GroupByKey]=OutputTable[[#This Row],[GroupByKey]])*OutputTable[RecordedValue]))</f>
        <v>0</v>
      </c>
    </row>
    <row r="199" spans="1:16" x14ac:dyDescent="0.25">
      <c r="A199" t="s">
        <v>67</v>
      </c>
      <c r="B199" t="s">
        <v>70</v>
      </c>
      <c r="C199">
        <v>8</v>
      </c>
      <c r="D199" t="s">
        <v>123</v>
      </c>
      <c r="E199" t="s">
        <v>116</v>
      </c>
      <c r="F199" t="s">
        <v>73</v>
      </c>
      <c r="G199">
        <v>0</v>
      </c>
      <c r="H199">
        <v>0</v>
      </c>
      <c r="I199" s="5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199" s="5">
        <f t="array" ref="J199">MAX(IF((ProjectInfoTable[ProjectName]=OutputTable[[#This Row],[ProjectName]]),(ProjectInfoTable[ProjectName]=OutputTable[[#This Row],[ProjectName]])*ProjectInfoTable[NumberOfReplications]))</f>
        <v>15</v>
      </c>
      <c r="K199" s="5">
        <f t="array" ref="K199">IFERROR(AVERAGE(IF((OutputTable[GroupByKey]=OutputTable[[#This Row],[GroupByKey]]),(OutputTable[GroupByKey]=OutputTable[[#This Row],[GroupByKey]])*OutputTable[RecordedValue])),0)</f>
        <v>0</v>
      </c>
      <c r="L199" s="5">
        <f t="array" ref="L199">IFERROR(_xlfn.STDEV.S(IF((OutputTable[GroupByKey]=OutputTable[[#This Row],[GroupByKey]]),(OutputTable[GroupByKey]=OutputTable[[#This Row],[GroupByKey]])*OutputTable[RecordedValue])),0)</f>
        <v>0</v>
      </c>
      <c r="M199" s="5">
        <f t="array" ref="M199">MAX(IF((ProjectInfoTable[ProjectName]=OutputTable[[#This Row],[ProjectName]]),(ProjectInfoTable[ProjectName]=OutputTable[[#This Row],[ProjectName]])*ProjectInfoTable[ConfidenceInterval]))</f>
        <v>0.95</v>
      </c>
      <c r="N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9" s="5">
        <f t="array" ref="O199">MIN(IF((OutputTable[GroupByKey]=OutputTable[[#This Row],[GroupByKey]]),(OutputTable[GroupByKey]=OutputTable[[#This Row],[GroupByKey]])*OutputTable[RecordedValue]))</f>
        <v>0</v>
      </c>
      <c r="P199" s="5">
        <f t="array" ref="P199">MAX(IF((OutputTable[GroupByKey]=OutputTable[[#This Row],[GroupByKey]]),(OutputTable[GroupByKey]=OutputTable[[#This Row],[GroupByKey]])*OutputTable[RecordedValue]))</f>
        <v>0</v>
      </c>
    </row>
    <row r="200" spans="1:16" x14ac:dyDescent="0.25">
      <c r="A200" t="s">
        <v>67</v>
      </c>
      <c r="B200" t="s">
        <v>70</v>
      </c>
      <c r="C200">
        <v>8</v>
      </c>
      <c r="D200" t="s">
        <v>124</v>
      </c>
      <c r="E200" t="s">
        <v>114</v>
      </c>
      <c r="F200" t="s">
        <v>73</v>
      </c>
      <c r="G200">
        <v>0</v>
      </c>
      <c r="H200">
        <v>0</v>
      </c>
      <c r="I200" s="5" t="str">
        <f>OutputTable[[#This Row],[ProjectName]]&amp;OutputTable[[#This Row],[Name]]&amp;OutputTable[[#This Row],[Type]]&amp;OutputTable[[#This Row],[Source]]</f>
        <v>Unnamed Projectcutter.NumberSeizedTotal Number SeizedResource</v>
      </c>
      <c r="J200" s="5">
        <f t="array" ref="J200">MAX(IF((ProjectInfoTable[ProjectName]=OutputTable[[#This Row],[ProjectName]]),(ProjectInfoTable[ProjectName]=OutputTable[[#This Row],[ProjectName]])*ProjectInfoTable[NumberOfReplications]))</f>
        <v>15</v>
      </c>
      <c r="K200" s="5">
        <f t="array" ref="K200">IFERROR(AVERAGE(IF((OutputTable[GroupByKey]=OutputTable[[#This Row],[GroupByKey]]),(OutputTable[GroupByKey]=OutputTable[[#This Row],[GroupByKey]])*OutputTable[RecordedValue])),0)</f>
        <v>0</v>
      </c>
      <c r="L200" s="5">
        <f t="array" ref="L200">IFERROR(_xlfn.STDEV.S(IF((OutputTable[GroupByKey]=OutputTable[[#This Row],[GroupByKey]]),(OutputTable[GroupByKey]=OutputTable[[#This Row],[GroupByKey]])*OutputTable[RecordedValue])),0)</f>
        <v>0</v>
      </c>
      <c r="M200" s="5">
        <f t="array" ref="M200">MAX(IF((ProjectInfoTable[ProjectName]=OutputTable[[#This Row],[ProjectName]]),(ProjectInfoTable[ProjectName]=OutputTable[[#This Row],[ProjectName]])*ProjectInfoTable[ConfidenceInterval]))</f>
        <v>0.95</v>
      </c>
      <c r="N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0" s="5">
        <f t="array" ref="O200">MIN(IF((OutputTable[GroupByKey]=OutputTable[[#This Row],[GroupByKey]]),(OutputTable[GroupByKey]=OutputTable[[#This Row],[GroupByKey]])*OutputTable[RecordedValue]))</f>
        <v>0</v>
      </c>
      <c r="P200" s="5">
        <f t="array" ref="P200">MAX(IF((OutputTable[GroupByKey]=OutputTable[[#This Row],[GroupByKey]]),(OutputTable[GroupByKey]=OutputTable[[#This Row],[GroupByKey]])*OutputTable[RecordedValue]))</f>
        <v>0</v>
      </c>
    </row>
    <row r="201" spans="1:16" x14ac:dyDescent="0.25">
      <c r="A201" t="s">
        <v>67</v>
      </c>
      <c r="B201" t="s">
        <v>70</v>
      </c>
      <c r="C201">
        <v>8</v>
      </c>
      <c r="D201" t="s">
        <v>125</v>
      </c>
      <c r="E201" t="s">
        <v>116</v>
      </c>
      <c r="F201" t="s">
        <v>73</v>
      </c>
      <c r="G201">
        <v>0</v>
      </c>
      <c r="H201">
        <v>0</v>
      </c>
      <c r="I201" s="5" t="str">
        <f>OutputTable[[#This Row],[ProjectName]]&amp;OutputTable[[#This Row],[Name]]&amp;OutputTable[[#This Row],[Type]]&amp;OutputTable[[#This Row],[Source]]</f>
        <v>Unnamed Projectcutter.ScheduledUtilizationScheduled UtilizationResource</v>
      </c>
      <c r="J201" s="5">
        <f t="array" ref="J201">MAX(IF((ProjectInfoTable[ProjectName]=OutputTable[[#This Row],[ProjectName]]),(ProjectInfoTable[ProjectName]=OutputTable[[#This Row],[ProjectName]])*ProjectInfoTable[NumberOfReplications]))</f>
        <v>15</v>
      </c>
      <c r="K201" s="5">
        <f t="array" ref="K201">IFERROR(AVERAGE(IF((OutputTable[GroupByKey]=OutputTable[[#This Row],[GroupByKey]]),(OutputTable[GroupByKey]=OutputTable[[#This Row],[GroupByKey]])*OutputTable[RecordedValue])),0)</f>
        <v>0</v>
      </c>
      <c r="L201" s="5">
        <f t="array" ref="L201">IFERROR(_xlfn.STDEV.S(IF((OutputTable[GroupByKey]=OutputTable[[#This Row],[GroupByKey]]),(OutputTable[GroupByKey]=OutputTable[[#This Row],[GroupByKey]])*OutputTable[RecordedValue])),0)</f>
        <v>0</v>
      </c>
      <c r="M201" s="5">
        <f t="array" ref="M201">MAX(IF((ProjectInfoTable[ProjectName]=OutputTable[[#This Row],[ProjectName]]),(ProjectInfoTable[ProjectName]=OutputTable[[#This Row],[ProjectName]])*ProjectInfoTable[ConfidenceInterval]))</f>
        <v>0.95</v>
      </c>
      <c r="N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1" s="5">
        <f t="array" ref="O201">MIN(IF((OutputTable[GroupByKey]=OutputTable[[#This Row],[GroupByKey]]),(OutputTable[GroupByKey]=OutputTable[[#This Row],[GroupByKey]])*OutputTable[RecordedValue]))</f>
        <v>0</v>
      </c>
      <c r="P201" s="5">
        <f t="array" ref="P201">MAX(IF((OutputTable[GroupByKey]=OutputTable[[#This Row],[GroupByKey]]),(OutputTable[GroupByKey]=OutputTable[[#This Row],[GroupByKey]])*OutputTable[RecordedValue]))</f>
        <v>0</v>
      </c>
    </row>
    <row r="202" spans="1:16" x14ac:dyDescent="0.25">
      <c r="A202" t="s">
        <v>67</v>
      </c>
      <c r="B202" t="s">
        <v>70</v>
      </c>
      <c r="C202">
        <v>8</v>
      </c>
      <c r="D202" t="s">
        <v>126</v>
      </c>
      <c r="E202" t="s">
        <v>114</v>
      </c>
      <c r="F202" t="s">
        <v>73</v>
      </c>
      <c r="G202">
        <v>0</v>
      </c>
      <c r="H202">
        <v>0</v>
      </c>
      <c r="I202" s="5" t="str">
        <f>OutputTable[[#This Row],[ProjectName]]&amp;OutputTable[[#This Row],[Name]]&amp;OutputTable[[#This Row],[Type]]&amp;OutputTable[[#This Row],[Source]]</f>
        <v>Unnamed Projectfinalqcman.NumberSeizedTotal Number SeizedResource</v>
      </c>
      <c r="J202" s="5">
        <f t="array" ref="J202">MAX(IF((ProjectInfoTable[ProjectName]=OutputTable[[#This Row],[ProjectName]]),(ProjectInfoTable[ProjectName]=OutputTable[[#This Row],[ProjectName]])*ProjectInfoTable[NumberOfReplications]))</f>
        <v>15</v>
      </c>
      <c r="K202" s="5">
        <f t="array" ref="K202">IFERROR(AVERAGE(IF((OutputTable[GroupByKey]=OutputTable[[#This Row],[GroupByKey]]),(OutputTable[GroupByKey]=OutputTable[[#This Row],[GroupByKey]])*OutputTable[RecordedValue])),0)</f>
        <v>0</v>
      </c>
      <c r="L202" s="5">
        <f t="array" ref="L202">IFERROR(_xlfn.STDEV.S(IF((OutputTable[GroupByKey]=OutputTable[[#This Row],[GroupByKey]]),(OutputTable[GroupByKey]=OutputTable[[#This Row],[GroupByKey]])*OutputTable[RecordedValue])),0)</f>
        <v>0</v>
      </c>
      <c r="M202" s="5">
        <f t="array" ref="M202">MAX(IF((ProjectInfoTable[ProjectName]=OutputTable[[#This Row],[ProjectName]]),(ProjectInfoTable[ProjectName]=OutputTable[[#This Row],[ProjectName]])*ProjectInfoTable[ConfidenceInterval]))</f>
        <v>0.95</v>
      </c>
      <c r="N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2" s="5">
        <f t="array" ref="O202">MIN(IF((OutputTable[GroupByKey]=OutputTable[[#This Row],[GroupByKey]]),(OutputTable[GroupByKey]=OutputTable[[#This Row],[GroupByKey]])*OutputTable[RecordedValue]))</f>
        <v>0</v>
      </c>
      <c r="P202" s="5">
        <f t="array" ref="P202">MAX(IF((OutputTable[GroupByKey]=OutputTable[[#This Row],[GroupByKey]]),(OutputTable[GroupByKey]=OutputTable[[#This Row],[GroupByKey]])*OutputTable[RecordedValue]))</f>
        <v>0</v>
      </c>
    </row>
    <row r="203" spans="1:16" x14ac:dyDescent="0.25">
      <c r="A203" t="s">
        <v>67</v>
      </c>
      <c r="B203" t="s">
        <v>70</v>
      </c>
      <c r="C203">
        <v>8</v>
      </c>
      <c r="D203" t="s">
        <v>127</v>
      </c>
      <c r="E203" t="s">
        <v>116</v>
      </c>
      <c r="F203" t="s">
        <v>73</v>
      </c>
      <c r="G203">
        <v>0</v>
      </c>
      <c r="H203">
        <v>0</v>
      </c>
      <c r="I203" s="5" t="str">
        <f>OutputTable[[#This Row],[ProjectName]]&amp;OutputTable[[#This Row],[Name]]&amp;OutputTable[[#This Row],[Type]]&amp;OutputTable[[#This Row],[Source]]</f>
        <v>Unnamed Projectfinalqcman.ScheduledUtilizationScheduled UtilizationResource</v>
      </c>
      <c r="J203" s="5">
        <f t="array" ref="J203">MAX(IF((ProjectInfoTable[ProjectName]=OutputTable[[#This Row],[ProjectName]]),(ProjectInfoTable[ProjectName]=OutputTable[[#This Row],[ProjectName]])*ProjectInfoTable[NumberOfReplications]))</f>
        <v>15</v>
      </c>
      <c r="K203" s="5">
        <f t="array" ref="K203">IFERROR(AVERAGE(IF((OutputTable[GroupByKey]=OutputTable[[#This Row],[GroupByKey]]),(OutputTable[GroupByKey]=OutputTable[[#This Row],[GroupByKey]])*OutputTable[RecordedValue])),0)</f>
        <v>0</v>
      </c>
      <c r="L203" s="5">
        <f t="array" ref="L203">IFERROR(_xlfn.STDEV.S(IF((OutputTable[GroupByKey]=OutputTable[[#This Row],[GroupByKey]]),(OutputTable[GroupByKey]=OutputTable[[#This Row],[GroupByKey]])*OutputTable[RecordedValue])),0)</f>
        <v>0</v>
      </c>
      <c r="M203" s="5">
        <f t="array" ref="M203">MAX(IF((ProjectInfoTable[ProjectName]=OutputTable[[#This Row],[ProjectName]]),(ProjectInfoTable[ProjectName]=OutputTable[[#This Row],[ProjectName]])*ProjectInfoTable[ConfidenceInterval]))</f>
        <v>0.95</v>
      </c>
      <c r="N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" s="5">
        <f t="array" ref="O203">MIN(IF((OutputTable[GroupByKey]=OutputTable[[#This Row],[GroupByKey]]),(OutputTable[GroupByKey]=OutputTable[[#This Row],[GroupByKey]])*OutputTable[RecordedValue]))</f>
        <v>0</v>
      </c>
      <c r="P203" s="5">
        <f t="array" ref="P203">MAX(IF((OutputTable[GroupByKey]=OutputTable[[#This Row],[GroupByKey]]),(OutputTable[GroupByKey]=OutputTable[[#This Row],[GroupByKey]])*OutputTable[RecordedValue]))</f>
        <v>0</v>
      </c>
    </row>
    <row r="204" spans="1:16" x14ac:dyDescent="0.25">
      <c r="A204" t="s">
        <v>67</v>
      </c>
      <c r="B204" t="s">
        <v>70</v>
      </c>
      <c r="C204">
        <v>8</v>
      </c>
      <c r="D204" t="s">
        <v>128</v>
      </c>
      <c r="E204" t="s">
        <v>114</v>
      </c>
      <c r="F204" t="s">
        <v>73</v>
      </c>
      <c r="G204">
        <v>0</v>
      </c>
      <c r="H204">
        <v>0</v>
      </c>
      <c r="I204" s="5" t="str">
        <f>OutputTable[[#This Row],[ProjectName]]&amp;OutputTable[[#This Row],[Name]]&amp;OutputTable[[#This Row],[Type]]&amp;OutputTable[[#This Row],[Source]]</f>
        <v>Unnamed Projectpaintingmachine.NumberSeizedTotal Number SeizedResource</v>
      </c>
      <c r="J204" s="5">
        <f t="array" ref="J204">MAX(IF((ProjectInfoTable[ProjectName]=OutputTable[[#This Row],[ProjectName]]),(ProjectInfoTable[ProjectName]=OutputTable[[#This Row],[ProjectName]])*ProjectInfoTable[NumberOfReplications]))</f>
        <v>15</v>
      </c>
      <c r="K204" s="5">
        <f t="array" ref="K204">IFERROR(AVERAGE(IF((OutputTable[GroupByKey]=OutputTable[[#This Row],[GroupByKey]]),(OutputTable[GroupByKey]=OutputTable[[#This Row],[GroupByKey]])*OutputTable[RecordedValue])),0)</f>
        <v>0</v>
      </c>
      <c r="L204" s="5">
        <f t="array" ref="L204">IFERROR(_xlfn.STDEV.S(IF((OutputTable[GroupByKey]=OutputTable[[#This Row],[GroupByKey]]),(OutputTable[GroupByKey]=OutputTable[[#This Row],[GroupByKey]])*OutputTable[RecordedValue])),0)</f>
        <v>0</v>
      </c>
      <c r="M204" s="5">
        <f t="array" ref="M204">MAX(IF((ProjectInfoTable[ProjectName]=OutputTable[[#This Row],[ProjectName]]),(ProjectInfoTable[ProjectName]=OutputTable[[#This Row],[ProjectName]])*ProjectInfoTable[ConfidenceInterval]))</f>
        <v>0.95</v>
      </c>
      <c r="N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" s="5">
        <f t="array" ref="O204">MIN(IF((OutputTable[GroupByKey]=OutputTable[[#This Row],[GroupByKey]]),(OutputTable[GroupByKey]=OutputTable[[#This Row],[GroupByKey]])*OutputTable[RecordedValue]))</f>
        <v>0</v>
      </c>
      <c r="P204" s="5">
        <f t="array" ref="P204">MAX(IF((OutputTable[GroupByKey]=OutputTable[[#This Row],[GroupByKey]]),(OutputTable[GroupByKey]=OutputTable[[#This Row],[GroupByKey]])*OutputTable[RecordedValue]))</f>
        <v>0</v>
      </c>
    </row>
    <row r="205" spans="1:16" x14ac:dyDescent="0.25">
      <c r="A205" t="s">
        <v>67</v>
      </c>
      <c r="B205" t="s">
        <v>70</v>
      </c>
      <c r="C205">
        <v>8</v>
      </c>
      <c r="D205" t="s">
        <v>129</v>
      </c>
      <c r="E205" t="s">
        <v>116</v>
      </c>
      <c r="F205" t="s">
        <v>73</v>
      </c>
      <c r="G205">
        <v>0</v>
      </c>
      <c r="H205">
        <v>0</v>
      </c>
      <c r="I205" s="5" t="str">
        <f>OutputTable[[#This Row],[ProjectName]]&amp;OutputTable[[#This Row],[Name]]&amp;OutputTable[[#This Row],[Type]]&amp;OutputTable[[#This Row],[Source]]</f>
        <v>Unnamed Projectpaintingmachine.ScheduledUtilizationScheduled UtilizationResource</v>
      </c>
      <c r="J205" s="5">
        <f t="array" ref="J205">MAX(IF((ProjectInfoTable[ProjectName]=OutputTable[[#This Row],[ProjectName]]),(ProjectInfoTable[ProjectName]=OutputTable[[#This Row],[ProjectName]])*ProjectInfoTable[NumberOfReplications]))</f>
        <v>15</v>
      </c>
      <c r="K205" s="5">
        <f t="array" ref="K205">IFERROR(AVERAGE(IF((OutputTable[GroupByKey]=OutputTable[[#This Row],[GroupByKey]]),(OutputTable[GroupByKey]=OutputTable[[#This Row],[GroupByKey]])*OutputTable[RecordedValue])),0)</f>
        <v>0</v>
      </c>
      <c r="L205" s="5">
        <f t="array" ref="L205">IFERROR(_xlfn.STDEV.S(IF((OutputTable[GroupByKey]=OutputTable[[#This Row],[GroupByKey]]),(OutputTable[GroupByKey]=OutputTable[[#This Row],[GroupByKey]])*OutputTable[RecordedValue])),0)</f>
        <v>0</v>
      </c>
      <c r="M205" s="5">
        <f t="array" ref="M205">MAX(IF((ProjectInfoTable[ProjectName]=OutputTable[[#This Row],[ProjectName]]),(ProjectInfoTable[ProjectName]=OutputTable[[#This Row],[ProjectName]])*ProjectInfoTable[ConfidenceInterval]))</f>
        <v>0.95</v>
      </c>
      <c r="N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5" s="5">
        <f t="array" ref="O205">MIN(IF((OutputTable[GroupByKey]=OutputTable[[#This Row],[GroupByKey]]),(OutputTable[GroupByKey]=OutputTable[[#This Row],[GroupByKey]])*OutputTable[RecordedValue]))</f>
        <v>0</v>
      </c>
      <c r="P205" s="5">
        <f t="array" ref="P205">MAX(IF((OutputTable[GroupByKey]=OutputTable[[#This Row],[GroupByKey]]),(OutputTable[GroupByKey]=OutputTable[[#This Row],[GroupByKey]])*OutputTable[RecordedValue]))</f>
        <v>0</v>
      </c>
    </row>
    <row r="206" spans="1:16" x14ac:dyDescent="0.25">
      <c r="A206" t="s">
        <v>67</v>
      </c>
      <c r="B206" t="s">
        <v>70</v>
      </c>
      <c r="C206">
        <v>8</v>
      </c>
      <c r="D206" t="s">
        <v>130</v>
      </c>
      <c r="E206" t="s">
        <v>114</v>
      </c>
      <c r="F206" t="s">
        <v>73</v>
      </c>
      <c r="G206">
        <v>0</v>
      </c>
      <c r="H206">
        <v>0</v>
      </c>
      <c r="I206" s="5" t="str">
        <f>OutputTable[[#This Row],[ProjectName]]&amp;OutputTable[[#This Row],[Name]]&amp;OutputTable[[#This Row],[Type]]&amp;OutputTable[[#This Row],[Source]]</f>
        <v>Unnamed Projectpaintingoperator.NumberSeizedTotal Number SeizedResource</v>
      </c>
      <c r="J206" s="5">
        <f t="array" ref="J206">MAX(IF((ProjectInfoTable[ProjectName]=OutputTable[[#This Row],[ProjectName]]),(ProjectInfoTable[ProjectName]=OutputTable[[#This Row],[ProjectName]])*ProjectInfoTable[NumberOfReplications]))</f>
        <v>15</v>
      </c>
      <c r="K206" s="5">
        <f t="array" ref="K206">IFERROR(AVERAGE(IF((OutputTable[GroupByKey]=OutputTable[[#This Row],[GroupByKey]]),(OutputTable[GroupByKey]=OutputTable[[#This Row],[GroupByKey]])*OutputTable[RecordedValue])),0)</f>
        <v>0</v>
      </c>
      <c r="L206" s="5">
        <f t="array" ref="L206">IFERROR(_xlfn.STDEV.S(IF((OutputTable[GroupByKey]=OutputTable[[#This Row],[GroupByKey]]),(OutputTable[GroupByKey]=OutputTable[[#This Row],[GroupByKey]])*OutputTable[RecordedValue])),0)</f>
        <v>0</v>
      </c>
      <c r="M206" s="5">
        <f t="array" ref="M206">MAX(IF((ProjectInfoTable[ProjectName]=OutputTable[[#This Row],[ProjectName]]),(ProjectInfoTable[ProjectName]=OutputTable[[#This Row],[ProjectName]])*ProjectInfoTable[ConfidenceInterval]))</f>
        <v>0.95</v>
      </c>
      <c r="N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6" s="5">
        <f t="array" ref="O206">MIN(IF((OutputTable[GroupByKey]=OutputTable[[#This Row],[GroupByKey]]),(OutputTable[GroupByKey]=OutputTable[[#This Row],[GroupByKey]])*OutputTable[RecordedValue]))</f>
        <v>0</v>
      </c>
      <c r="P206" s="5">
        <f t="array" ref="P206">MAX(IF((OutputTable[GroupByKey]=OutputTable[[#This Row],[GroupByKey]]),(OutputTable[GroupByKey]=OutputTable[[#This Row],[GroupByKey]])*OutputTable[RecordedValue]))</f>
        <v>0</v>
      </c>
    </row>
    <row r="207" spans="1:16" x14ac:dyDescent="0.25">
      <c r="A207" t="s">
        <v>67</v>
      </c>
      <c r="B207" t="s">
        <v>70</v>
      </c>
      <c r="C207">
        <v>8</v>
      </c>
      <c r="D207" t="s">
        <v>131</v>
      </c>
      <c r="E207" t="s">
        <v>116</v>
      </c>
      <c r="F207" t="s">
        <v>73</v>
      </c>
      <c r="G207">
        <v>0</v>
      </c>
      <c r="H207">
        <v>0</v>
      </c>
      <c r="I207" s="5" t="str">
        <f>OutputTable[[#This Row],[ProjectName]]&amp;OutputTable[[#This Row],[Name]]&amp;OutputTable[[#This Row],[Type]]&amp;OutputTable[[#This Row],[Source]]</f>
        <v>Unnamed Projectpaintingoperator.ScheduledUtilizationScheduled UtilizationResource</v>
      </c>
      <c r="J207" s="5">
        <f t="array" ref="J207">MAX(IF((ProjectInfoTable[ProjectName]=OutputTable[[#This Row],[ProjectName]]),(ProjectInfoTable[ProjectName]=OutputTable[[#This Row],[ProjectName]])*ProjectInfoTable[NumberOfReplications]))</f>
        <v>15</v>
      </c>
      <c r="K207" s="5">
        <f t="array" ref="K207">IFERROR(AVERAGE(IF((OutputTable[GroupByKey]=OutputTable[[#This Row],[GroupByKey]]),(OutputTable[GroupByKey]=OutputTable[[#This Row],[GroupByKey]])*OutputTable[RecordedValue])),0)</f>
        <v>0</v>
      </c>
      <c r="L207" s="5">
        <f t="array" ref="L207">IFERROR(_xlfn.STDEV.S(IF((OutputTable[GroupByKey]=OutputTable[[#This Row],[GroupByKey]]),(OutputTable[GroupByKey]=OutputTable[[#This Row],[GroupByKey]])*OutputTable[RecordedValue])),0)</f>
        <v>0</v>
      </c>
      <c r="M207" s="5">
        <f t="array" ref="M207">MAX(IF((ProjectInfoTable[ProjectName]=OutputTable[[#This Row],[ProjectName]]),(ProjectInfoTable[ProjectName]=OutputTable[[#This Row],[ProjectName]])*ProjectInfoTable[ConfidenceInterval]))</f>
        <v>0.95</v>
      </c>
      <c r="N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7" s="5">
        <f t="array" ref="O207">MIN(IF((OutputTable[GroupByKey]=OutputTable[[#This Row],[GroupByKey]]),(OutputTable[GroupByKey]=OutputTable[[#This Row],[GroupByKey]])*OutputTable[RecordedValue]))</f>
        <v>0</v>
      </c>
      <c r="P207" s="5">
        <f t="array" ref="P207">MAX(IF((OutputTable[GroupByKey]=OutputTable[[#This Row],[GroupByKey]]),(OutputTable[GroupByKey]=OutputTable[[#This Row],[GroupByKey]])*OutputTable[RecordedValue]))</f>
        <v>0</v>
      </c>
    </row>
    <row r="208" spans="1:16" x14ac:dyDescent="0.25">
      <c r="A208" t="s">
        <v>67</v>
      </c>
      <c r="B208" t="s">
        <v>70</v>
      </c>
      <c r="C208">
        <v>8</v>
      </c>
      <c r="D208" t="s">
        <v>132</v>
      </c>
      <c r="E208" t="s">
        <v>114</v>
      </c>
      <c r="F208" t="s">
        <v>73</v>
      </c>
      <c r="G208">
        <v>0</v>
      </c>
      <c r="H208">
        <v>0</v>
      </c>
      <c r="I208" s="5" t="str">
        <f>OutputTable[[#This Row],[ProjectName]]&amp;OutputTable[[#This Row],[Name]]&amp;OutputTable[[#This Row],[Type]]&amp;OutputTable[[#This Row],[Source]]</f>
        <v>Unnamed Projectsandblastmachine.NumberSeizedTotal Number SeizedResource</v>
      </c>
      <c r="J208" s="5">
        <f t="array" ref="J208">MAX(IF((ProjectInfoTable[ProjectName]=OutputTable[[#This Row],[ProjectName]]),(ProjectInfoTable[ProjectName]=OutputTable[[#This Row],[ProjectName]])*ProjectInfoTable[NumberOfReplications]))</f>
        <v>15</v>
      </c>
      <c r="K208" s="5">
        <f t="array" ref="K208">IFERROR(AVERAGE(IF((OutputTable[GroupByKey]=OutputTable[[#This Row],[GroupByKey]]),(OutputTable[GroupByKey]=OutputTable[[#This Row],[GroupByKey]])*OutputTable[RecordedValue])),0)</f>
        <v>0</v>
      </c>
      <c r="L208" s="5">
        <f t="array" ref="L208">IFERROR(_xlfn.STDEV.S(IF((OutputTable[GroupByKey]=OutputTable[[#This Row],[GroupByKey]]),(OutputTable[GroupByKey]=OutputTable[[#This Row],[GroupByKey]])*OutputTable[RecordedValue])),0)</f>
        <v>0</v>
      </c>
      <c r="M208" s="5">
        <f t="array" ref="M208">MAX(IF((ProjectInfoTable[ProjectName]=OutputTable[[#This Row],[ProjectName]]),(ProjectInfoTable[ProjectName]=OutputTable[[#This Row],[ProjectName]])*ProjectInfoTable[ConfidenceInterval]))</f>
        <v>0.95</v>
      </c>
      <c r="N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8" s="5">
        <f t="array" ref="O208">MIN(IF((OutputTable[GroupByKey]=OutputTable[[#This Row],[GroupByKey]]),(OutputTable[GroupByKey]=OutputTable[[#This Row],[GroupByKey]])*OutputTable[RecordedValue]))</f>
        <v>0</v>
      </c>
      <c r="P208" s="5">
        <f t="array" ref="P208">MAX(IF((OutputTable[GroupByKey]=OutputTable[[#This Row],[GroupByKey]]),(OutputTable[GroupByKey]=OutputTable[[#This Row],[GroupByKey]])*OutputTable[RecordedValue]))</f>
        <v>0</v>
      </c>
    </row>
    <row r="209" spans="1:16" x14ac:dyDescent="0.25">
      <c r="A209" t="s">
        <v>67</v>
      </c>
      <c r="B209" t="s">
        <v>70</v>
      </c>
      <c r="C209">
        <v>8</v>
      </c>
      <c r="D209" t="s">
        <v>133</v>
      </c>
      <c r="E209" t="s">
        <v>116</v>
      </c>
      <c r="F209" t="s">
        <v>73</v>
      </c>
      <c r="G209">
        <v>0</v>
      </c>
      <c r="H209">
        <v>0</v>
      </c>
      <c r="I209" s="5" t="str">
        <f>OutputTable[[#This Row],[ProjectName]]&amp;OutputTable[[#This Row],[Name]]&amp;OutputTable[[#This Row],[Type]]&amp;OutputTable[[#This Row],[Source]]</f>
        <v>Unnamed Projectsandblastmachine.ScheduledUtilizationScheduled UtilizationResource</v>
      </c>
      <c r="J209" s="5">
        <f t="array" ref="J209">MAX(IF((ProjectInfoTable[ProjectName]=OutputTable[[#This Row],[ProjectName]]),(ProjectInfoTable[ProjectName]=OutputTable[[#This Row],[ProjectName]])*ProjectInfoTable[NumberOfReplications]))</f>
        <v>15</v>
      </c>
      <c r="K209" s="5">
        <f t="array" ref="K209">IFERROR(AVERAGE(IF((OutputTable[GroupByKey]=OutputTable[[#This Row],[GroupByKey]]),(OutputTable[GroupByKey]=OutputTable[[#This Row],[GroupByKey]])*OutputTable[RecordedValue])),0)</f>
        <v>0</v>
      </c>
      <c r="L209" s="5">
        <f t="array" ref="L209">IFERROR(_xlfn.STDEV.S(IF((OutputTable[GroupByKey]=OutputTable[[#This Row],[GroupByKey]]),(OutputTable[GroupByKey]=OutputTable[[#This Row],[GroupByKey]])*OutputTable[RecordedValue])),0)</f>
        <v>0</v>
      </c>
      <c r="M209" s="5">
        <f t="array" ref="M209">MAX(IF((ProjectInfoTable[ProjectName]=OutputTable[[#This Row],[ProjectName]]),(ProjectInfoTable[ProjectName]=OutputTable[[#This Row],[ProjectName]])*ProjectInfoTable[ConfidenceInterval]))</f>
        <v>0.95</v>
      </c>
      <c r="N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9" s="5">
        <f t="array" ref="O209">MIN(IF((OutputTable[GroupByKey]=OutputTable[[#This Row],[GroupByKey]]),(OutputTable[GroupByKey]=OutputTable[[#This Row],[GroupByKey]])*OutputTable[RecordedValue]))</f>
        <v>0</v>
      </c>
      <c r="P209" s="5">
        <f t="array" ref="P209">MAX(IF((OutputTable[GroupByKey]=OutputTable[[#This Row],[GroupByKey]]),(OutputTable[GroupByKey]=OutputTable[[#This Row],[GroupByKey]])*OutputTable[RecordedValue]))</f>
        <v>0</v>
      </c>
    </row>
    <row r="210" spans="1:16" x14ac:dyDescent="0.25">
      <c r="A210" t="s">
        <v>67</v>
      </c>
      <c r="B210" t="s">
        <v>70</v>
      </c>
      <c r="C210">
        <v>8</v>
      </c>
      <c r="D210" t="s">
        <v>134</v>
      </c>
      <c r="E210" t="s">
        <v>114</v>
      </c>
      <c r="F210" t="s">
        <v>73</v>
      </c>
      <c r="G210">
        <v>0</v>
      </c>
      <c r="H210">
        <v>0</v>
      </c>
      <c r="I210" s="5" t="str">
        <f>OutputTable[[#This Row],[ProjectName]]&amp;OutputTable[[#This Row],[Name]]&amp;OutputTable[[#This Row],[Type]]&amp;OutputTable[[#This Row],[Source]]</f>
        <v>Unnamed Projectsandblastoperator.NumberSeizedTotal Number SeizedResource</v>
      </c>
      <c r="J210" s="5">
        <f t="array" ref="J210">MAX(IF((ProjectInfoTable[ProjectName]=OutputTable[[#This Row],[ProjectName]]),(ProjectInfoTable[ProjectName]=OutputTable[[#This Row],[ProjectName]])*ProjectInfoTable[NumberOfReplications]))</f>
        <v>15</v>
      </c>
      <c r="K210" s="5">
        <f t="array" ref="K210">IFERROR(AVERAGE(IF((OutputTable[GroupByKey]=OutputTable[[#This Row],[GroupByKey]]),(OutputTable[GroupByKey]=OutputTable[[#This Row],[GroupByKey]])*OutputTable[RecordedValue])),0)</f>
        <v>0</v>
      </c>
      <c r="L210" s="5">
        <f t="array" ref="L210">IFERROR(_xlfn.STDEV.S(IF((OutputTable[GroupByKey]=OutputTable[[#This Row],[GroupByKey]]),(OutputTable[GroupByKey]=OutputTable[[#This Row],[GroupByKey]])*OutputTable[RecordedValue])),0)</f>
        <v>0</v>
      </c>
      <c r="M210" s="5">
        <f t="array" ref="M210">MAX(IF((ProjectInfoTable[ProjectName]=OutputTable[[#This Row],[ProjectName]]),(ProjectInfoTable[ProjectName]=OutputTable[[#This Row],[ProjectName]])*ProjectInfoTable[ConfidenceInterval]))</f>
        <v>0.95</v>
      </c>
      <c r="N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0" s="5">
        <f t="array" ref="O210">MIN(IF((OutputTable[GroupByKey]=OutputTable[[#This Row],[GroupByKey]]),(OutputTable[GroupByKey]=OutputTable[[#This Row],[GroupByKey]])*OutputTable[RecordedValue]))</f>
        <v>0</v>
      </c>
      <c r="P210" s="5">
        <f t="array" ref="P210">MAX(IF((OutputTable[GroupByKey]=OutputTable[[#This Row],[GroupByKey]]),(OutputTable[GroupByKey]=OutputTable[[#This Row],[GroupByKey]])*OutputTable[RecordedValue]))</f>
        <v>0</v>
      </c>
    </row>
    <row r="211" spans="1:16" x14ac:dyDescent="0.25">
      <c r="A211" t="s">
        <v>67</v>
      </c>
      <c r="B211" t="s">
        <v>70</v>
      </c>
      <c r="C211">
        <v>8</v>
      </c>
      <c r="D211" t="s">
        <v>135</v>
      </c>
      <c r="E211" t="s">
        <v>116</v>
      </c>
      <c r="F211" t="s">
        <v>73</v>
      </c>
      <c r="G211">
        <v>0</v>
      </c>
      <c r="H211">
        <v>0</v>
      </c>
      <c r="I211" s="5" t="str">
        <f>OutputTable[[#This Row],[ProjectName]]&amp;OutputTable[[#This Row],[Name]]&amp;OutputTable[[#This Row],[Type]]&amp;OutputTable[[#This Row],[Source]]</f>
        <v>Unnamed Projectsandblastoperator.ScheduledUtilizationScheduled UtilizationResource</v>
      </c>
      <c r="J211" s="5">
        <f t="array" ref="J211">MAX(IF((ProjectInfoTable[ProjectName]=OutputTable[[#This Row],[ProjectName]]),(ProjectInfoTable[ProjectName]=OutputTable[[#This Row],[ProjectName]])*ProjectInfoTable[NumberOfReplications]))</f>
        <v>15</v>
      </c>
      <c r="K211" s="5">
        <f t="array" ref="K211">IFERROR(AVERAGE(IF((OutputTable[GroupByKey]=OutputTable[[#This Row],[GroupByKey]]),(OutputTable[GroupByKey]=OutputTable[[#This Row],[GroupByKey]])*OutputTable[RecordedValue])),0)</f>
        <v>0</v>
      </c>
      <c r="L211" s="5">
        <f t="array" ref="L211">IFERROR(_xlfn.STDEV.S(IF((OutputTable[GroupByKey]=OutputTable[[#This Row],[GroupByKey]]),(OutputTable[GroupByKey]=OutputTable[[#This Row],[GroupByKey]])*OutputTable[RecordedValue])),0)</f>
        <v>0</v>
      </c>
      <c r="M211" s="5">
        <f t="array" ref="M211">MAX(IF((ProjectInfoTable[ProjectName]=OutputTable[[#This Row],[ProjectName]]),(ProjectInfoTable[ProjectName]=OutputTable[[#This Row],[ProjectName]])*ProjectInfoTable[ConfidenceInterval]))</f>
        <v>0.95</v>
      </c>
      <c r="N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1" s="5">
        <f t="array" ref="O211">MIN(IF((OutputTable[GroupByKey]=OutputTable[[#This Row],[GroupByKey]]),(OutputTable[GroupByKey]=OutputTable[[#This Row],[GroupByKey]])*OutputTable[RecordedValue]))</f>
        <v>0</v>
      </c>
      <c r="P211" s="5">
        <f t="array" ref="P211">MAX(IF((OutputTable[GroupByKey]=OutputTable[[#This Row],[GroupByKey]]),(OutputTable[GroupByKey]=OutputTable[[#This Row],[GroupByKey]])*OutputTable[RecordedValue]))</f>
        <v>0</v>
      </c>
    </row>
    <row r="212" spans="1:16" x14ac:dyDescent="0.25">
      <c r="A212" t="s">
        <v>67</v>
      </c>
      <c r="B212" t="s">
        <v>70</v>
      </c>
      <c r="C212">
        <v>8</v>
      </c>
      <c r="D212" t="s">
        <v>136</v>
      </c>
      <c r="E212" t="s">
        <v>120</v>
      </c>
      <c r="F212" t="s">
        <v>79</v>
      </c>
      <c r="G212">
        <v>0</v>
      </c>
      <c r="H212">
        <v>0</v>
      </c>
      <c r="I212" s="5" t="str">
        <f>OutputTable[[#This Row],[ProjectName]]&amp;OutputTable[[#This Row],[Name]]&amp;OutputTable[[#This Row],[Type]]&amp;OutputTable[[#This Row],[Source]]</f>
        <v>Unnamed Projectsteelsheet.NumberInNumber InEntity</v>
      </c>
      <c r="J212" s="5">
        <f t="array" ref="J212">MAX(IF((ProjectInfoTable[ProjectName]=OutputTable[[#This Row],[ProjectName]]),(ProjectInfoTable[ProjectName]=OutputTable[[#This Row],[ProjectName]])*ProjectInfoTable[NumberOfReplications]))</f>
        <v>15</v>
      </c>
      <c r="K212" s="5">
        <f t="array" ref="K212">IFERROR(AVERAGE(IF((OutputTable[GroupByKey]=OutputTable[[#This Row],[GroupByKey]]),(OutputTable[GroupByKey]=OutputTable[[#This Row],[GroupByKey]])*OutputTable[RecordedValue])),0)</f>
        <v>0</v>
      </c>
      <c r="L212" s="5">
        <f t="array" ref="L212">IFERROR(_xlfn.STDEV.S(IF((OutputTable[GroupByKey]=OutputTable[[#This Row],[GroupByKey]]),(OutputTable[GroupByKey]=OutputTable[[#This Row],[GroupByKey]])*OutputTable[RecordedValue])),0)</f>
        <v>0</v>
      </c>
      <c r="M212" s="5">
        <f t="array" ref="M212">MAX(IF((ProjectInfoTable[ProjectName]=OutputTable[[#This Row],[ProjectName]]),(ProjectInfoTable[ProjectName]=OutputTable[[#This Row],[ProjectName]])*ProjectInfoTable[ConfidenceInterval]))</f>
        <v>0.95</v>
      </c>
      <c r="N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2" s="5">
        <f t="array" ref="O212">MIN(IF((OutputTable[GroupByKey]=OutputTable[[#This Row],[GroupByKey]]),(OutputTable[GroupByKey]=OutputTable[[#This Row],[GroupByKey]])*OutputTable[RecordedValue]))</f>
        <v>0</v>
      </c>
      <c r="P212" s="5">
        <f t="array" ref="P212">MAX(IF((OutputTable[GroupByKey]=OutputTable[[#This Row],[GroupByKey]]),(OutputTable[GroupByKey]=OutputTable[[#This Row],[GroupByKey]])*OutputTable[RecordedValue]))</f>
        <v>0</v>
      </c>
    </row>
    <row r="213" spans="1:16" x14ac:dyDescent="0.25">
      <c r="A213" t="s">
        <v>67</v>
      </c>
      <c r="B213" t="s">
        <v>70</v>
      </c>
      <c r="C213">
        <v>8</v>
      </c>
      <c r="D213" t="s">
        <v>137</v>
      </c>
      <c r="E213" t="s">
        <v>111</v>
      </c>
      <c r="F213" t="s">
        <v>79</v>
      </c>
      <c r="G213">
        <v>0</v>
      </c>
      <c r="H213">
        <v>0</v>
      </c>
      <c r="I213" s="5" t="str">
        <f>OutputTable[[#This Row],[ProjectName]]&amp;OutputTable[[#This Row],[Name]]&amp;OutputTable[[#This Row],[Type]]&amp;OutputTable[[#This Row],[Source]]</f>
        <v>Unnamed Projectsteelsheet.NumberOutNumber OutEntity</v>
      </c>
      <c r="J213" s="5">
        <f t="array" ref="J213">MAX(IF((ProjectInfoTable[ProjectName]=OutputTable[[#This Row],[ProjectName]]),(ProjectInfoTable[ProjectName]=OutputTable[[#This Row],[ProjectName]])*ProjectInfoTable[NumberOfReplications]))</f>
        <v>15</v>
      </c>
      <c r="K213" s="5">
        <f t="array" ref="K213">IFERROR(AVERAGE(IF((OutputTable[GroupByKey]=OutputTable[[#This Row],[GroupByKey]]),(OutputTable[GroupByKey]=OutputTable[[#This Row],[GroupByKey]])*OutputTable[RecordedValue])),0)</f>
        <v>0</v>
      </c>
      <c r="L213" s="5">
        <f t="array" ref="L213">IFERROR(_xlfn.STDEV.S(IF((OutputTable[GroupByKey]=OutputTable[[#This Row],[GroupByKey]]),(OutputTable[GroupByKey]=OutputTable[[#This Row],[GroupByKey]])*OutputTable[RecordedValue])),0)</f>
        <v>0</v>
      </c>
      <c r="M213" s="5">
        <f t="array" ref="M213">MAX(IF((ProjectInfoTable[ProjectName]=OutputTable[[#This Row],[ProjectName]]),(ProjectInfoTable[ProjectName]=OutputTable[[#This Row],[ProjectName]])*ProjectInfoTable[ConfidenceInterval]))</f>
        <v>0.95</v>
      </c>
      <c r="N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3" s="5">
        <f t="array" ref="O213">MIN(IF((OutputTable[GroupByKey]=OutputTable[[#This Row],[GroupByKey]]),(OutputTable[GroupByKey]=OutputTable[[#This Row],[GroupByKey]])*OutputTable[RecordedValue]))</f>
        <v>0</v>
      </c>
      <c r="P213" s="5">
        <f t="array" ref="P213">MAX(IF((OutputTable[GroupByKey]=OutputTable[[#This Row],[GroupByKey]]),(OutputTable[GroupByKey]=OutputTable[[#This Row],[GroupByKey]])*OutputTable[RecordedValue]))</f>
        <v>0</v>
      </c>
    </row>
    <row r="214" spans="1:16" x14ac:dyDescent="0.25">
      <c r="A214" t="s">
        <v>67</v>
      </c>
      <c r="B214" t="s">
        <v>70</v>
      </c>
      <c r="C214">
        <v>8</v>
      </c>
      <c r="D214" t="s">
        <v>138</v>
      </c>
      <c r="E214" t="s">
        <v>114</v>
      </c>
      <c r="F214" t="s">
        <v>73</v>
      </c>
      <c r="G214">
        <v>0</v>
      </c>
      <c r="H214">
        <v>0</v>
      </c>
      <c r="I214" s="5" t="str">
        <f>OutputTable[[#This Row],[ProjectName]]&amp;OutputTable[[#This Row],[Name]]&amp;OutputTable[[#This Row],[Type]]&amp;OutputTable[[#This Row],[Source]]</f>
        <v>Unnamed Projectwelder.NumberSeizedTotal Number SeizedResource</v>
      </c>
      <c r="J214" s="5">
        <f t="array" ref="J214">MAX(IF((ProjectInfoTable[ProjectName]=OutputTable[[#This Row],[ProjectName]]),(ProjectInfoTable[ProjectName]=OutputTable[[#This Row],[ProjectName]])*ProjectInfoTable[NumberOfReplications]))</f>
        <v>15</v>
      </c>
      <c r="K214" s="5">
        <f t="array" ref="K214">IFERROR(AVERAGE(IF((OutputTable[GroupByKey]=OutputTable[[#This Row],[GroupByKey]]),(OutputTable[GroupByKey]=OutputTable[[#This Row],[GroupByKey]])*OutputTable[RecordedValue])),0)</f>
        <v>0</v>
      </c>
      <c r="L214" s="5">
        <f t="array" ref="L214">IFERROR(_xlfn.STDEV.S(IF((OutputTable[GroupByKey]=OutputTable[[#This Row],[GroupByKey]]),(OutputTable[GroupByKey]=OutputTable[[#This Row],[GroupByKey]])*OutputTable[RecordedValue])),0)</f>
        <v>0</v>
      </c>
      <c r="M214" s="5">
        <f t="array" ref="M214">MAX(IF((ProjectInfoTable[ProjectName]=OutputTable[[#This Row],[ProjectName]]),(ProjectInfoTable[ProjectName]=OutputTable[[#This Row],[ProjectName]])*ProjectInfoTable[ConfidenceInterval]))</f>
        <v>0.95</v>
      </c>
      <c r="N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4" s="5">
        <f t="array" ref="O214">MIN(IF((OutputTable[GroupByKey]=OutputTable[[#This Row],[GroupByKey]]),(OutputTable[GroupByKey]=OutputTable[[#This Row],[GroupByKey]])*OutputTable[RecordedValue]))</f>
        <v>0</v>
      </c>
      <c r="P214" s="5">
        <f t="array" ref="P214">MAX(IF((OutputTable[GroupByKey]=OutputTable[[#This Row],[GroupByKey]]),(OutputTable[GroupByKey]=OutputTable[[#This Row],[GroupByKey]])*OutputTable[RecordedValue]))</f>
        <v>0</v>
      </c>
    </row>
    <row r="215" spans="1:16" x14ac:dyDescent="0.25">
      <c r="A215" t="s">
        <v>67</v>
      </c>
      <c r="B215" t="s">
        <v>70</v>
      </c>
      <c r="C215">
        <v>8</v>
      </c>
      <c r="D215" t="s">
        <v>139</v>
      </c>
      <c r="E215" t="s">
        <v>116</v>
      </c>
      <c r="F215" t="s">
        <v>73</v>
      </c>
      <c r="G215">
        <v>0</v>
      </c>
      <c r="H215">
        <v>0</v>
      </c>
      <c r="I215" s="5" t="str">
        <f>OutputTable[[#This Row],[ProjectName]]&amp;OutputTable[[#This Row],[Name]]&amp;OutputTable[[#This Row],[Type]]&amp;OutputTable[[#This Row],[Source]]</f>
        <v>Unnamed Projectwelder.ScheduledUtilizationScheduled UtilizationResource</v>
      </c>
      <c r="J215" s="5">
        <f t="array" ref="J215">MAX(IF((ProjectInfoTable[ProjectName]=OutputTable[[#This Row],[ProjectName]]),(ProjectInfoTable[ProjectName]=OutputTable[[#This Row],[ProjectName]])*ProjectInfoTable[NumberOfReplications]))</f>
        <v>15</v>
      </c>
      <c r="K215" s="5">
        <f t="array" ref="K215">IFERROR(AVERAGE(IF((OutputTable[GroupByKey]=OutputTable[[#This Row],[GroupByKey]]),(OutputTable[GroupByKey]=OutputTable[[#This Row],[GroupByKey]])*OutputTable[RecordedValue])),0)</f>
        <v>0</v>
      </c>
      <c r="L215" s="5">
        <f t="array" ref="L215">IFERROR(_xlfn.STDEV.S(IF((OutputTable[GroupByKey]=OutputTable[[#This Row],[GroupByKey]]),(OutputTable[GroupByKey]=OutputTable[[#This Row],[GroupByKey]])*OutputTable[RecordedValue])),0)</f>
        <v>0</v>
      </c>
      <c r="M215" s="5">
        <f t="array" ref="M215">MAX(IF((ProjectInfoTable[ProjectName]=OutputTable[[#This Row],[ProjectName]]),(ProjectInfoTable[ProjectName]=OutputTable[[#This Row],[ProjectName]])*ProjectInfoTable[ConfidenceInterval]))</f>
        <v>0.95</v>
      </c>
      <c r="N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5" s="5">
        <f t="array" ref="O215">MIN(IF((OutputTable[GroupByKey]=OutputTable[[#This Row],[GroupByKey]]),(OutputTable[GroupByKey]=OutputTable[[#This Row],[GroupByKey]])*OutputTable[RecordedValue]))</f>
        <v>0</v>
      </c>
      <c r="P215" s="5">
        <f t="array" ref="P215">MAX(IF((OutputTable[GroupByKey]=OutputTable[[#This Row],[GroupByKey]]),(OutputTable[GroupByKey]=OutputTable[[#This Row],[GroupByKey]])*OutputTable[RecordedValue]))</f>
        <v>0</v>
      </c>
    </row>
    <row r="216" spans="1:16" x14ac:dyDescent="0.25">
      <c r="A216" t="s">
        <v>67</v>
      </c>
      <c r="B216" t="s">
        <v>70</v>
      </c>
      <c r="C216">
        <v>8</v>
      </c>
      <c r="D216" t="s">
        <v>140</v>
      </c>
      <c r="E216" t="s">
        <v>114</v>
      </c>
      <c r="F216" t="s">
        <v>73</v>
      </c>
      <c r="G216">
        <v>0</v>
      </c>
      <c r="H216">
        <v>0</v>
      </c>
      <c r="I216" s="5" t="str">
        <f>OutputTable[[#This Row],[ProjectName]]&amp;OutputTable[[#This Row],[Name]]&amp;OutputTable[[#This Row],[Type]]&amp;OutputTable[[#This Row],[Source]]</f>
        <v>Unnamed Projectweldingqcworker.NumberSeizedTotal Number SeizedResource</v>
      </c>
      <c r="J216" s="5">
        <f t="array" ref="J216">MAX(IF((ProjectInfoTable[ProjectName]=OutputTable[[#This Row],[ProjectName]]),(ProjectInfoTable[ProjectName]=OutputTable[[#This Row],[ProjectName]])*ProjectInfoTable[NumberOfReplications]))</f>
        <v>15</v>
      </c>
      <c r="K216" s="5">
        <f t="array" ref="K216">IFERROR(AVERAGE(IF((OutputTable[GroupByKey]=OutputTable[[#This Row],[GroupByKey]]),(OutputTable[GroupByKey]=OutputTable[[#This Row],[GroupByKey]])*OutputTable[RecordedValue])),0)</f>
        <v>0</v>
      </c>
      <c r="L216" s="5">
        <f t="array" ref="L216">IFERROR(_xlfn.STDEV.S(IF((OutputTable[GroupByKey]=OutputTable[[#This Row],[GroupByKey]]),(OutputTable[GroupByKey]=OutputTable[[#This Row],[GroupByKey]])*OutputTable[RecordedValue])),0)</f>
        <v>0</v>
      </c>
      <c r="M216" s="5">
        <f t="array" ref="M216">MAX(IF((ProjectInfoTable[ProjectName]=OutputTable[[#This Row],[ProjectName]]),(ProjectInfoTable[ProjectName]=OutputTable[[#This Row],[ProjectName]])*ProjectInfoTable[ConfidenceInterval]))</f>
        <v>0.95</v>
      </c>
      <c r="N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6" s="5">
        <f t="array" ref="O216">MIN(IF((OutputTable[GroupByKey]=OutputTable[[#This Row],[GroupByKey]]),(OutputTable[GroupByKey]=OutputTable[[#This Row],[GroupByKey]])*OutputTable[RecordedValue]))</f>
        <v>0</v>
      </c>
      <c r="P216" s="5">
        <f t="array" ref="P216">MAX(IF((OutputTable[GroupByKey]=OutputTable[[#This Row],[GroupByKey]]),(OutputTable[GroupByKey]=OutputTable[[#This Row],[GroupByKey]])*OutputTable[RecordedValue]))</f>
        <v>0</v>
      </c>
    </row>
    <row r="217" spans="1:16" x14ac:dyDescent="0.25">
      <c r="A217" t="s">
        <v>67</v>
      </c>
      <c r="B217" t="s">
        <v>70</v>
      </c>
      <c r="C217">
        <v>8</v>
      </c>
      <c r="D217" t="s">
        <v>141</v>
      </c>
      <c r="E217" t="s">
        <v>116</v>
      </c>
      <c r="F217" t="s">
        <v>73</v>
      </c>
      <c r="G217">
        <v>0</v>
      </c>
      <c r="H217">
        <v>0</v>
      </c>
      <c r="I217" s="5" t="str">
        <f>OutputTable[[#This Row],[ProjectName]]&amp;OutputTable[[#This Row],[Name]]&amp;OutputTable[[#This Row],[Type]]&amp;OutputTable[[#This Row],[Source]]</f>
        <v>Unnamed Projectweldingqcworker.ScheduledUtilizationScheduled UtilizationResource</v>
      </c>
      <c r="J217" s="5">
        <f t="array" ref="J217">MAX(IF((ProjectInfoTable[ProjectName]=OutputTable[[#This Row],[ProjectName]]),(ProjectInfoTable[ProjectName]=OutputTable[[#This Row],[ProjectName]])*ProjectInfoTable[NumberOfReplications]))</f>
        <v>15</v>
      </c>
      <c r="K217" s="5">
        <f t="array" ref="K217">IFERROR(AVERAGE(IF((OutputTable[GroupByKey]=OutputTable[[#This Row],[GroupByKey]]),(OutputTable[GroupByKey]=OutputTable[[#This Row],[GroupByKey]])*OutputTable[RecordedValue])),0)</f>
        <v>0</v>
      </c>
      <c r="L217" s="5">
        <f t="array" ref="L217">IFERROR(_xlfn.STDEV.S(IF((OutputTable[GroupByKey]=OutputTable[[#This Row],[GroupByKey]]),(OutputTable[GroupByKey]=OutputTable[[#This Row],[GroupByKey]])*OutputTable[RecordedValue])),0)</f>
        <v>0</v>
      </c>
      <c r="M217" s="5">
        <f t="array" ref="M217">MAX(IF((ProjectInfoTable[ProjectName]=OutputTable[[#This Row],[ProjectName]]),(ProjectInfoTable[ProjectName]=OutputTable[[#This Row],[ProjectName]])*ProjectInfoTable[ConfidenceInterval]))</f>
        <v>0.95</v>
      </c>
      <c r="N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7" s="5">
        <f t="array" ref="O217">MIN(IF((OutputTable[GroupByKey]=OutputTable[[#This Row],[GroupByKey]]),(OutputTable[GroupByKey]=OutputTable[[#This Row],[GroupByKey]])*OutputTable[RecordedValue]))</f>
        <v>0</v>
      </c>
      <c r="P217" s="5">
        <f t="array" ref="P217">MAX(IF((OutputTable[GroupByKey]=OutputTable[[#This Row],[GroupByKey]]),(OutputTable[GroupByKey]=OutputTable[[#This Row],[GroupByKey]])*OutputTable[RecordedValue]))</f>
        <v>0</v>
      </c>
    </row>
    <row r="218" spans="1:16" x14ac:dyDescent="0.25">
      <c r="A218" t="s">
        <v>67</v>
      </c>
      <c r="B218" t="s">
        <v>70</v>
      </c>
      <c r="C218">
        <v>9</v>
      </c>
      <c r="D218" t="s">
        <v>110</v>
      </c>
      <c r="E218" t="s">
        <v>111</v>
      </c>
      <c r="F218" t="s">
        <v>112</v>
      </c>
      <c r="G218">
        <v>0</v>
      </c>
      <c r="H218">
        <v>0</v>
      </c>
      <c r="I218" s="5" t="str">
        <f>OutputTable[[#This Row],[ProjectName]]&amp;OutputTable[[#This Row],[Name]]&amp;OutputTable[[#This Row],[Type]]&amp;OutputTable[[#This Row],[Source]]</f>
        <v>Unnamed ProjectSystem.NumberOutNumber OutSystem</v>
      </c>
      <c r="J218" s="5">
        <f t="array" ref="J218">MAX(IF((ProjectInfoTable[ProjectName]=OutputTable[[#This Row],[ProjectName]]),(ProjectInfoTable[ProjectName]=OutputTable[[#This Row],[ProjectName]])*ProjectInfoTable[NumberOfReplications]))</f>
        <v>15</v>
      </c>
      <c r="K218" s="5">
        <f t="array" ref="K218">IFERROR(AVERAGE(IF((OutputTable[GroupByKey]=OutputTable[[#This Row],[GroupByKey]]),(OutputTable[GroupByKey]=OutputTable[[#This Row],[GroupByKey]])*OutputTable[RecordedValue])),0)</f>
        <v>0</v>
      </c>
      <c r="L218" s="5">
        <f t="array" ref="L218">IFERROR(_xlfn.STDEV.S(IF((OutputTable[GroupByKey]=OutputTable[[#This Row],[GroupByKey]]),(OutputTable[GroupByKey]=OutputTable[[#This Row],[GroupByKey]])*OutputTable[RecordedValue])),0)</f>
        <v>0</v>
      </c>
      <c r="M218" s="5">
        <f t="array" ref="M218">MAX(IF((ProjectInfoTable[ProjectName]=OutputTable[[#This Row],[ProjectName]]),(ProjectInfoTable[ProjectName]=OutputTable[[#This Row],[ProjectName]])*ProjectInfoTable[ConfidenceInterval]))</f>
        <v>0.95</v>
      </c>
      <c r="N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8" s="5">
        <f t="array" ref="O218">MIN(IF((OutputTable[GroupByKey]=OutputTable[[#This Row],[GroupByKey]]),(OutputTable[GroupByKey]=OutputTable[[#This Row],[GroupByKey]])*OutputTable[RecordedValue]))</f>
        <v>0</v>
      </c>
      <c r="P218" s="5">
        <f t="array" ref="P218">MAX(IF((OutputTable[GroupByKey]=OutputTable[[#This Row],[GroupByKey]]),(OutputTable[GroupByKey]=OutputTable[[#This Row],[GroupByKey]])*OutputTable[RecordedValue]))</f>
        <v>0</v>
      </c>
    </row>
    <row r="219" spans="1:16" x14ac:dyDescent="0.25">
      <c r="A219" t="s">
        <v>67</v>
      </c>
      <c r="B219" t="s">
        <v>70</v>
      </c>
      <c r="C219">
        <v>9</v>
      </c>
      <c r="D219" t="s">
        <v>113</v>
      </c>
      <c r="E219" t="s">
        <v>114</v>
      </c>
      <c r="F219" t="s">
        <v>73</v>
      </c>
      <c r="G219">
        <v>0</v>
      </c>
      <c r="H219">
        <v>0</v>
      </c>
      <c r="I219" s="5" t="str">
        <f>OutputTable[[#This Row],[ProjectName]]&amp;OutputTable[[#This Row],[Name]]&amp;OutputTable[[#This Row],[Type]]&amp;OutputTable[[#This Row],[Source]]</f>
        <v>Unnamed Projectassembler.NumberSeizedTotal Number SeizedResource</v>
      </c>
      <c r="J219" s="5">
        <f t="array" ref="J219">MAX(IF((ProjectInfoTable[ProjectName]=OutputTable[[#This Row],[ProjectName]]),(ProjectInfoTable[ProjectName]=OutputTable[[#This Row],[ProjectName]])*ProjectInfoTable[NumberOfReplications]))</f>
        <v>15</v>
      </c>
      <c r="K219" s="5">
        <f t="array" ref="K219">IFERROR(AVERAGE(IF((OutputTable[GroupByKey]=OutputTable[[#This Row],[GroupByKey]]),(OutputTable[GroupByKey]=OutputTable[[#This Row],[GroupByKey]])*OutputTable[RecordedValue])),0)</f>
        <v>0</v>
      </c>
      <c r="L219" s="5">
        <f t="array" ref="L219">IFERROR(_xlfn.STDEV.S(IF((OutputTable[GroupByKey]=OutputTable[[#This Row],[GroupByKey]]),(OutputTable[GroupByKey]=OutputTable[[#This Row],[GroupByKey]])*OutputTable[RecordedValue])),0)</f>
        <v>0</v>
      </c>
      <c r="M219" s="5">
        <f t="array" ref="M219">MAX(IF((ProjectInfoTable[ProjectName]=OutputTable[[#This Row],[ProjectName]]),(ProjectInfoTable[ProjectName]=OutputTable[[#This Row],[ProjectName]])*ProjectInfoTable[ConfidenceInterval]))</f>
        <v>0.95</v>
      </c>
      <c r="N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19" s="5">
        <f t="array" ref="O219">MIN(IF((OutputTable[GroupByKey]=OutputTable[[#This Row],[GroupByKey]]),(OutputTable[GroupByKey]=OutputTable[[#This Row],[GroupByKey]])*OutputTable[RecordedValue]))</f>
        <v>0</v>
      </c>
      <c r="P219" s="5">
        <f t="array" ref="P219">MAX(IF((OutputTable[GroupByKey]=OutputTable[[#This Row],[GroupByKey]]),(OutputTable[GroupByKey]=OutputTable[[#This Row],[GroupByKey]])*OutputTable[RecordedValue]))</f>
        <v>0</v>
      </c>
    </row>
    <row r="220" spans="1:16" x14ac:dyDescent="0.25">
      <c r="A220" t="s">
        <v>67</v>
      </c>
      <c r="B220" t="s">
        <v>70</v>
      </c>
      <c r="C220">
        <v>9</v>
      </c>
      <c r="D220" t="s">
        <v>115</v>
      </c>
      <c r="E220" t="s">
        <v>116</v>
      </c>
      <c r="F220" t="s">
        <v>73</v>
      </c>
      <c r="G220">
        <v>0</v>
      </c>
      <c r="H220">
        <v>0</v>
      </c>
      <c r="I220" s="5" t="str">
        <f>OutputTable[[#This Row],[ProjectName]]&amp;OutputTable[[#This Row],[Name]]&amp;OutputTable[[#This Row],[Type]]&amp;OutputTable[[#This Row],[Source]]</f>
        <v>Unnamed Projectassembler.ScheduledUtilizationScheduled UtilizationResource</v>
      </c>
      <c r="J220" s="5">
        <f t="array" ref="J220">MAX(IF((ProjectInfoTable[ProjectName]=OutputTable[[#This Row],[ProjectName]]),(ProjectInfoTable[ProjectName]=OutputTable[[#This Row],[ProjectName]])*ProjectInfoTable[NumberOfReplications]))</f>
        <v>15</v>
      </c>
      <c r="K220" s="5">
        <f t="array" ref="K220">IFERROR(AVERAGE(IF((OutputTable[GroupByKey]=OutputTable[[#This Row],[GroupByKey]]),(OutputTable[GroupByKey]=OutputTable[[#This Row],[GroupByKey]])*OutputTable[RecordedValue])),0)</f>
        <v>0</v>
      </c>
      <c r="L220" s="5">
        <f t="array" ref="L220">IFERROR(_xlfn.STDEV.S(IF((OutputTable[GroupByKey]=OutputTable[[#This Row],[GroupByKey]]),(OutputTable[GroupByKey]=OutputTable[[#This Row],[GroupByKey]])*OutputTable[RecordedValue])),0)</f>
        <v>0</v>
      </c>
      <c r="M220" s="5">
        <f t="array" ref="M220">MAX(IF((ProjectInfoTable[ProjectName]=OutputTable[[#This Row],[ProjectName]]),(ProjectInfoTable[ProjectName]=OutputTable[[#This Row],[ProjectName]])*ProjectInfoTable[ConfidenceInterval]))</f>
        <v>0.95</v>
      </c>
      <c r="N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0" s="5">
        <f t="array" ref="O220">MIN(IF((OutputTable[GroupByKey]=OutputTable[[#This Row],[GroupByKey]]),(OutputTable[GroupByKey]=OutputTable[[#This Row],[GroupByKey]])*OutputTable[RecordedValue]))</f>
        <v>0</v>
      </c>
      <c r="P220" s="5">
        <f t="array" ref="P220">MAX(IF((OutputTable[GroupByKey]=OutputTable[[#This Row],[GroupByKey]]),(OutputTable[GroupByKey]=OutputTable[[#This Row],[GroupByKey]])*OutputTable[RecordedValue]))</f>
        <v>0</v>
      </c>
    </row>
    <row r="221" spans="1:16" x14ac:dyDescent="0.25">
      <c r="A221" t="s">
        <v>67</v>
      </c>
      <c r="B221" t="s">
        <v>70</v>
      </c>
      <c r="C221">
        <v>9</v>
      </c>
      <c r="D221" t="s">
        <v>117</v>
      </c>
      <c r="E221" t="s">
        <v>114</v>
      </c>
      <c r="F221" t="s">
        <v>73</v>
      </c>
      <c r="G221">
        <v>0</v>
      </c>
      <c r="H221">
        <v>0</v>
      </c>
      <c r="I221" s="5" t="str">
        <f>OutputTable[[#This Row],[ProjectName]]&amp;OutputTable[[#This Row],[Name]]&amp;OutputTable[[#This Row],[Type]]&amp;OutputTable[[#This Row],[Source]]</f>
        <v>Unnamed Projectassemblyqcworker.NumberSeizedTotal Number SeizedResource</v>
      </c>
      <c r="J221" s="5">
        <f t="array" ref="J221">MAX(IF((ProjectInfoTable[ProjectName]=OutputTable[[#This Row],[ProjectName]]),(ProjectInfoTable[ProjectName]=OutputTable[[#This Row],[ProjectName]])*ProjectInfoTable[NumberOfReplications]))</f>
        <v>15</v>
      </c>
      <c r="K221" s="5">
        <f t="array" ref="K221">IFERROR(AVERAGE(IF((OutputTable[GroupByKey]=OutputTable[[#This Row],[GroupByKey]]),(OutputTable[GroupByKey]=OutputTable[[#This Row],[GroupByKey]])*OutputTable[RecordedValue])),0)</f>
        <v>0</v>
      </c>
      <c r="L221" s="5">
        <f t="array" ref="L221">IFERROR(_xlfn.STDEV.S(IF((OutputTable[GroupByKey]=OutputTable[[#This Row],[GroupByKey]]),(OutputTable[GroupByKey]=OutputTable[[#This Row],[GroupByKey]])*OutputTable[RecordedValue])),0)</f>
        <v>0</v>
      </c>
      <c r="M221" s="5">
        <f t="array" ref="M221">MAX(IF((ProjectInfoTable[ProjectName]=OutputTable[[#This Row],[ProjectName]]),(ProjectInfoTable[ProjectName]=OutputTable[[#This Row],[ProjectName]])*ProjectInfoTable[ConfidenceInterval]))</f>
        <v>0.95</v>
      </c>
      <c r="N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1" s="5">
        <f t="array" ref="O221">MIN(IF((OutputTable[GroupByKey]=OutputTable[[#This Row],[GroupByKey]]),(OutputTable[GroupByKey]=OutputTable[[#This Row],[GroupByKey]])*OutputTable[RecordedValue]))</f>
        <v>0</v>
      </c>
      <c r="P221" s="5">
        <f t="array" ref="P221">MAX(IF((OutputTable[GroupByKey]=OutputTable[[#This Row],[GroupByKey]]),(OutputTable[GroupByKey]=OutputTable[[#This Row],[GroupByKey]])*OutputTable[RecordedValue]))</f>
        <v>0</v>
      </c>
    </row>
    <row r="222" spans="1:16" x14ac:dyDescent="0.25">
      <c r="A222" t="s">
        <v>67</v>
      </c>
      <c r="B222" t="s">
        <v>70</v>
      </c>
      <c r="C222">
        <v>9</v>
      </c>
      <c r="D222" t="s">
        <v>118</v>
      </c>
      <c r="E222" t="s">
        <v>116</v>
      </c>
      <c r="F222" t="s">
        <v>73</v>
      </c>
      <c r="G222">
        <v>0</v>
      </c>
      <c r="H222">
        <v>0</v>
      </c>
      <c r="I222" s="5" t="str">
        <f>OutputTable[[#This Row],[ProjectName]]&amp;OutputTable[[#This Row],[Name]]&amp;OutputTable[[#This Row],[Type]]&amp;OutputTable[[#This Row],[Source]]</f>
        <v>Unnamed Projectassemblyqcworker.ScheduledUtilizationScheduled UtilizationResource</v>
      </c>
      <c r="J222" s="5">
        <f t="array" ref="J222">MAX(IF((ProjectInfoTable[ProjectName]=OutputTable[[#This Row],[ProjectName]]),(ProjectInfoTable[ProjectName]=OutputTable[[#This Row],[ProjectName]])*ProjectInfoTable[NumberOfReplications]))</f>
        <v>15</v>
      </c>
      <c r="K222" s="5">
        <f t="array" ref="K222">IFERROR(AVERAGE(IF((OutputTable[GroupByKey]=OutputTable[[#This Row],[GroupByKey]]),(OutputTable[GroupByKey]=OutputTable[[#This Row],[GroupByKey]])*OutputTable[RecordedValue])),0)</f>
        <v>0</v>
      </c>
      <c r="L222" s="5">
        <f t="array" ref="L222">IFERROR(_xlfn.STDEV.S(IF((OutputTable[GroupByKey]=OutputTable[[#This Row],[GroupByKey]]),(OutputTable[GroupByKey]=OutputTable[[#This Row],[GroupByKey]])*OutputTable[RecordedValue])),0)</f>
        <v>0</v>
      </c>
      <c r="M222" s="5">
        <f t="array" ref="M222">MAX(IF((ProjectInfoTable[ProjectName]=OutputTable[[#This Row],[ProjectName]]),(ProjectInfoTable[ProjectName]=OutputTable[[#This Row],[ProjectName]])*ProjectInfoTable[ConfidenceInterval]))</f>
        <v>0.95</v>
      </c>
      <c r="N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2" s="5">
        <f t="array" ref="O222">MIN(IF((OutputTable[GroupByKey]=OutputTable[[#This Row],[GroupByKey]]),(OutputTable[GroupByKey]=OutputTable[[#This Row],[GroupByKey]])*OutputTable[RecordedValue]))</f>
        <v>0</v>
      </c>
      <c r="P222" s="5">
        <f t="array" ref="P222">MAX(IF((OutputTable[GroupByKey]=OutputTable[[#This Row],[GroupByKey]]),(OutputTable[GroupByKey]=OutputTable[[#This Row],[GroupByKey]])*OutputTable[RecordedValue]))</f>
        <v>0</v>
      </c>
    </row>
    <row r="223" spans="1:16" x14ac:dyDescent="0.25">
      <c r="A223" t="s">
        <v>67</v>
      </c>
      <c r="B223" t="s">
        <v>70</v>
      </c>
      <c r="C223">
        <v>9</v>
      </c>
      <c r="D223" t="s">
        <v>119</v>
      </c>
      <c r="E223" t="s">
        <v>120</v>
      </c>
      <c r="F223" t="s">
        <v>79</v>
      </c>
      <c r="G223">
        <v>0</v>
      </c>
      <c r="H223">
        <v>0</v>
      </c>
      <c r="I223" s="5" t="str">
        <f>OutputTable[[#This Row],[ProjectName]]&amp;OutputTable[[#This Row],[Name]]&amp;OutputTable[[#This Row],[Type]]&amp;OutputTable[[#This Row],[Source]]</f>
        <v>Unnamed Projectbatched_parts.NumberInNumber InEntity</v>
      </c>
      <c r="J223" s="5">
        <f t="array" ref="J223">MAX(IF((ProjectInfoTable[ProjectName]=OutputTable[[#This Row],[ProjectName]]),(ProjectInfoTable[ProjectName]=OutputTable[[#This Row],[ProjectName]])*ProjectInfoTable[NumberOfReplications]))</f>
        <v>15</v>
      </c>
      <c r="K223" s="5">
        <f t="array" ref="K223">IFERROR(AVERAGE(IF((OutputTable[GroupByKey]=OutputTable[[#This Row],[GroupByKey]]),(OutputTable[GroupByKey]=OutputTable[[#This Row],[GroupByKey]])*OutputTable[RecordedValue])),0)</f>
        <v>0</v>
      </c>
      <c r="L223" s="5">
        <f t="array" ref="L223">IFERROR(_xlfn.STDEV.S(IF((OutputTable[GroupByKey]=OutputTable[[#This Row],[GroupByKey]]),(OutputTable[GroupByKey]=OutputTable[[#This Row],[GroupByKey]])*OutputTable[RecordedValue])),0)</f>
        <v>0</v>
      </c>
      <c r="M223" s="5">
        <f t="array" ref="M223">MAX(IF((ProjectInfoTable[ProjectName]=OutputTable[[#This Row],[ProjectName]]),(ProjectInfoTable[ProjectName]=OutputTable[[#This Row],[ProjectName]])*ProjectInfoTable[ConfidenceInterval]))</f>
        <v>0.95</v>
      </c>
      <c r="N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3" s="5">
        <f t="array" ref="O223">MIN(IF((OutputTable[GroupByKey]=OutputTable[[#This Row],[GroupByKey]]),(OutputTable[GroupByKey]=OutputTable[[#This Row],[GroupByKey]])*OutputTable[RecordedValue]))</f>
        <v>0</v>
      </c>
      <c r="P223" s="5">
        <f t="array" ref="P223">MAX(IF((OutputTable[GroupByKey]=OutputTable[[#This Row],[GroupByKey]]),(OutputTable[GroupByKey]=OutputTable[[#This Row],[GroupByKey]])*OutputTable[RecordedValue]))</f>
        <v>0</v>
      </c>
    </row>
    <row r="224" spans="1:16" x14ac:dyDescent="0.25">
      <c r="A224" t="s">
        <v>67</v>
      </c>
      <c r="B224" t="s">
        <v>70</v>
      </c>
      <c r="C224">
        <v>9</v>
      </c>
      <c r="D224" t="s">
        <v>121</v>
      </c>
      <c r="E224" t="s">
        <v>111</v>
      </c>
      <c r="F224" t="s">
        <v>79</v>
      </c>
      <c r="G224">
        <v>0</v>
      </c>
      <c r="H224">
        <v>0</v>
      </c>
      <c r="I224" s="5" t="str">
        <f>OutputTable[[#This Row],[ProjectName]]&amp;OutputTable[[#This Row],[Name]]&amp;OutputTable[[#This Row],[Type]]&amp;OutputTable[[#This Row],[Source]]</f>
        <v>Unnamed Projectbatched_parts.NumberOutNumber OutEntity</v>
      </c>
      <c r="J224" s="5">
        <f t="array" ref="J224">MAX(IF((ProjectInfoTable[ProjectName]=OutputTable[[#This Row],[ProjectName]]),(ProjectInfoTable[ProjectName]=OutputTable[[#This Row],[ProjectName]])*ProjectInfoTable[NumberOfReplications]))</f>
        <v>15</v>
      </c>
      <c r="K224" s="5">
        <f t="array" ref="K224">IFERROR(AVERAGE(IF((OutputTable[GroupByKey]=OutputTable[[#This Row],[GroupByKey]]),(OutputTable[GroupByKey]=OutputTable[[#This Row],[GroupByKey]])*OutputTable[RecordedValue])),0)</f>
        <v>0</v>
      </c>
      <c r="L224" s="5">
        <f t="array" ref="L224">IFERROR(_xlfn.STDEV.S(IF((OutputTable[GroupByKey]=OutputTable[[#This Row],[GroupByKey]]),(OutputTable[GroupByKey]=OutputTable[[#This Row],[GroupByKey]])*OutputTable[RecordedValue])),0)</f>
        <v>0</v>
      </c>
      <c r="M224" s="5">
        <f t="array" ref="M224">MAX(IF((ProjectInfoTable[ProjectName]=OutputTable[[#This Row],[ProjectName]]),(ProjectInfoTable[ProjectName]=OutputTable[[#This Row],[ProjectName]])*ProjectInfoTable[ConfidenceInterval]))</f>
        <v>0.95</v>
      </c>
      <c r="N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4" s="5">
        <f t="array" ref="O224">MIN(IF((OutputTable[GroupByKey]=OutputTable[[#This Row],[GroupByKey]]),(OutputTable[GroupByKey]=OutputTable[[#This Row],[GroupByKey]])*OutputTable[RecordedValue]))</f>
        <v>0</v>
      </c>
      <c r="P224" s="5">
        <f t="array" ref="P224">MAX(IF((OutputTable[GroupByKey]=OutputTable[[#This Row],[GroupByKey]]),(OutputTable[GroupByKey]=OutputTable[[#This Row],[GroupByKey]])*OutputTable[RecordedValue]))</f>
        <v>0</v>
      </c>
    </row>
    <row r="225" spans="1:16" x14ac:dyDescent="0.25">
      <c r="A225" t="s">
        <v>67</v>
      </c>
      <c r="B225" t="s">
        <v>70</v>
      </c>
      <c r="C225">
        <v>9</v>
      </c>
      <c r="D225" t="s">
        <v>122</v>
      </c>
      <c r="E225" t="s">
        <v>114</v>
      </c>
      <c r="F225" t="s">
        <v>73</v>
      </c>
      <c r="G225">
        <v>0</v>
      </c>
      <c r="H225">
        <v>0</v>
      </c>
      <c r="I225" s="5" t="str">
        <f>OutputTable[[#This Row],[ProjectName]]&amp;OutputTable[[#This Row],[Name]]&amp;OutputTable[[#This Row],[Type]]&amp;OutputTable[[#This Row],[Source]]</f>
        <v>Unnamed Projectcleaner.NumberSeizedTotal Number SeizedResource</v>
      </c>
      <c r="J225" s="5">
        <f t="array" ref="J225">MAX(IF((ProjectInfoTable[ProjectName]=OutputTable[[#This Row],[ProjectName]]),(ProjectInfoTable[ProjectName]=OutputTable[[#This Row],[ProjectName]])*ProjectInfoTable[NumberOfReplications]))</f>
        <v>15</v>
      </c>
      <c r="K225" s="5">
        <f t="array" ref="K225">IFERROR(AVERAGE(IF((OutputTable[GroupByKey]=OutputTable[[#This Row],[GroupByKey]]),(OutputTable[GroupByKey]=OutputTable[[#This Row],[GroupByKey]])*OutputTable[RecordedValue])),0)</f>
        <v>0</v>
      </c>
      <c r="L225" s="5">
        <f t="array" ref="L225">IFERROR(_xlfn.STDEV.S(IF((OutputTable[GroupByKey]=OutputTable[[#This Row],[GroupByKey]]),(OutputTable[GroupByKey]=OutputTable[[#This Row],[GroupByKey]])*OutputTable[RecordedValue])),0)</f>
        <v>0</v>
      </c>
      <c r="M225" s="5">
        <f t="array" ref="M225">MAX(IF((ProjectInfoTable[ProjectName]=OutputTable[[#This Row],[ProjectName]]),(ProjectInfoTable[ProjectName]=OutputTable[[#This Row],[ProjectName]])*ProjectInfoTable[ConfidenceInterval]))</f>
        <v>0.95</v>
      </c>
      <c r="N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5" s="5">
        <f t="array" ref="O225">MIN(IF((OutputTable[GroupByKey]=OutputTable[[#This Row],[GroupByKey]]),(OutputTable[GroupByKey]=OutputTable[[#This Row],[GroupByKey]])*OutputTable[RecordedValue]))</f>
        <v>0</v>
      </c>
      <c r="P225" s="5">
        <f t="array" ref="P225">MAX(IF((OutputTable[GroupByKey]=OutputTable[[#This Row],[GroupByKey]]),(OutputTable[GroupByKey]=OutputTable[[#This Row],[GroupByKey]])*OutputTable[RecordedValue]))</f>
        <v>0</v>
      </c>
    </row>
    <row r="226" spans="1:16" x14ac:dyDescent="0.25">
      <c r="A226" t="s">
        <v>67</v>
      </c>
      <c r="B226" t="s">
        <v>70</v>
      </c>
      <c r="C226">
        <v>9</v>
      </c>
      <c r="D226" t="s">
        <v>123</v>
      </c>
      <c r="E226" t="s">
        <v>116</v>
      </c>
      <c r="F226" t="s">
        <v>73</v>
      </c>
      <c r="G226">
        <v>0</v>
      </c>
      <c r="H226">
        <v>0</v>
      </c>
      <c r="I226" s="5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226" s="5">
        <f t="array" ref="J226">MAX(IF((ProjectInfoTable[ProjectName]=OutputTable[[#This Row],[ProjectName]]),(ProjectInfoTable[ProjectName]=OutputTable[[#This Row],[ProjectName]])*ProjectInfoTable[NumberOfReplications]))</f>
        <v>15</v>
      </c>
      <c r="K226" s="5">
        <f t="array" ref="K226">IFERROR(AVERAGE(IF((OutputTable[GroupByKey]=OutputTable[[#This Row],[GroupByKey]]),(OutputTable[GroupByKey]=OutputTable[[#This Row],[GroupByKey]])*OutputTable[RecordedValue])),0)</f>
        <v>0</v>
      </c>
      <c r="L226" s="5">
        <f t="array" ref="L226">IFERROR(_xlfn.STDEV.S(IF((OutputTable[GroupByKey]=OutputTable[[#This Row],[GroupByKey]]),(OutputTable[GroupByKey]=OutputTable[[#This Row],[GroupByKey]])*OutputTable[RecordedValue])),0)</f>
        <v>0</v>
      </c>
      <c r="M226" s="5">
        <f t="array" ref="M226">MAX(IF((ProjectInfoTable[ProjectName]=OutputTable[[#This Row],[ProjectName]]),(ProjectInfoTable[ProjectName]=OutputTable[[#This Row],[ProjectName]])*ProjectInfoTable[ConfidenceInterval]))</f>
        <v>0.95</v>
      </c>
      <c r="N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6" s="5">
        <f t="array" ref="O226">MIN(IF((OutputTable[GroupByKey]=OutputTable[[#This Row],[GroupByKey]]),(OutputTable[GroupByKey]=OutputTable[[#This Row],[GroupByKey]])*OutputTable[RecordedValue]))</f>
        <v>0</v>
      </c>
      <c r="P226" s="5">
        <f t="array" ref="P226">MAX(IF((OutputTable[GroupByKey]=OutputTable[[#This Row],[GroupByKey]]),(OutputTable[GroupByKey]=OutputTable[[#This Row],[GroupByKey]])*OutputTable[RecordedValue]))</f>
        <v>0</v>
      </c>
    </row>
    <row r="227" spans="1:16" x14ac:dyDescent="0.25">
      <c r="A227" t="s">
        <v>67</v>
      </c>
      <c r="B227" t="s">
        <v>70</v>
      </c>
      <c r="C227">
        <v>9</v>
      </c>
      <c r="D227" t="s">
        <v>124</v>
      </c>
      <c r="E227" t="s">
        <v>114</v>
      </c>
      <c r="F227" t="s">
        <v>73</v>
      </c>
      <c r="G227">
        <v>0</v>
      </c>
      <c r="H227">
        <v>0</v>
      </c>
      <c r="I227" s="5" t="str">
        <f>OutputTable[[#This Row],[ProjectName]]&amp;OutputTable[[#This Row],[Name]]&amp;OutputTable[[#This Row],[Type]]&amp;OutputTable[[#This Row],[Source]]</f>
        <v>Unnamed Projectcutter.NumberSeizedTotal Number SeizedResource</v>
      </c>
      <c r="J227" s="5">
        <f t="array" ref="J227">MAX(IF((ProjectInfoTable[ProjectName]=OutputTable[[#This Row],[ProjectName]]),(ProjectInfoTable[ProjectName]=OutputTable[[#This Row],[ProjectName]])*ProjectInfoTable[NumberOfReplications]))</f>
        <v>15</v>
      </c>
      <c r="K227" s="5">
        <f t="array" ref="K227">IFERROR(AVERAGE(IF((OutputTable[GroupByKey]=OutputTable[[#This Row],[GroupByKey]]),(OutputTable[GroupByKey]=OutputTable[[#This Row],[GroupByKey]])*OutputTable[RecordedValue])),0)</f>
        <v>0</v>
      </c>
      <c r="L227" s="5">
        <f t="array" ref="L227">IFERROR(_xlfn.STDEV.S(IF((OutputTable[GroupByKey]=OutputTable[[#This Row],[GroupByKey]]),(OutputTable[GroupByKey]=OutputTable[[#This Row],[GroupByKey]])*OutputTable[RecordedValue])),0)</f>
        <v>0</v>
      </c>
      <c r="M227" s="5">
        <f t="array" ref="M227">MAX(IF((ProjectInfoTable[ProjectName]=OutputTable[[#This Row],[ProjectName]]),(ProjectInfoTable[ProjectName]=OutputTable[[#This Row],[ProjectName]])*ProjectInfoTable[ConfidenceInterval]))</f>
        <v>0.95</v>
      </c>
      <c r="N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7" s="5">
        <f t="array" ref="O227">MIN(IF((OutputTable[GroupByKey]=OutputTable[[#This Row],[GroupByKey]]),(OutputTable[GroupByKey]=OutputTable[[#This Row],[GroupByKey]])*OutputTable[RecordedValue]))</f>
        <v>0</v>
      </c>
      <c r="P227" s="5">
        <f t="array" ref="P227">MAX(IF((OutputTable[GroupByKey]=OutputTable[[#This Row],[GroupByKey]]),(OutputTable[GroupByKey]=OutputTable[[#This Row],[GroupByKey]])*OutputTable[RecordedValue]))</f>
        <v>0</v>
      </c>
    </row>
    <row r="228" spans="1:16" x14ac:dyDescent="0.25">
      <c r="A228" t="s">
        <v>67</v>
      </c>
      <c r="B228" t="s">
        <v>70</v>
      </c>
      <c r="C228">
        <v>9</v>
      </c>
      <c r="D228" t="s">
        <v>125</v>
      </c>
      <c r="E228" t="s">
        <v>116</v>
      </c>
      <c r="F228" t="s">
        <v>73</v>
      </c>
      <c r="G228">
        <v>0</v>
      </c>
      <c r="H228">
        <v>0</v>
      </c>
      <c r="I228" s="5" t="str">
        <f>OutputTable[[#This Row],[ProjectName]]&amp;OutputTable[[#This Row],[Name]]&amp;OutputTable[[#This Row],[Type]]&amp;OutputTable[[#This Row],[Source]]</f>
        <v>Unnamed Projectcutter.ScheduledUtilizationScheduled UtilizationResource</v>
      </c>
      <c r="J228" s="5">
        <f t="array" ref="J228">MAX(IF((ProjectInfoTable[ProjectName]=OutputTable[[#This Row],[ProjectName]]),(ProjectInfoTable[ProjectName]=OutputTable[[#This Row],[ProjectName]])*ProjectInfoTable[NumberOfReplications]))</f>
        <v>15</v>
      </c>
      <c r="K228" s="5">
        <f t="array" ref="K228">IFERROR(AVERAGE(IF((OutputTable[GroupByKey]=OutputTable[[#This Row],[GroupByKey]]),(OutputTable[GroupByKey]=OutputTable[[#This Row],[GroupByKey]])*OutputTable[RecordedValue])),0)</f>
        <v>0</v>
      </c>
      <c r="L228" s="5">
        <f t="array" ref="L228">IFERROR(_xlfn.STDEV.S(IF((OutputTable[GroupByKey]=OutputTable[[#This Row],[GroupByKey]]),(OutputTable[GroupByKey]=OutputTable[[#This Row],[GroupByKey]])*OutputTable[RecordedValue])),0)</f>
        <v>0</v>
      </c>
      <c r="M228" s="5">
        <f t="array" ref="M228">MAX(IF((ProjectInfoTable[ProjectName]=OutputTable[[#This Row],[ProjectName]]),(ProjectInfoTable[ProjectName]=OutputTable[[#This Row],[ProjectName]])*ProjectInfoTable[ConfidenceInterval]))</f>
        <v>0.95</v>
      </c>
      <c r="N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8" s="5">
        <f t="array" ref="O228">MIN(IF((OutputTable[GroupByKey]=OutputTable[[#This Row],[GroupByKey]]),(OutputTable[GroupByKey]=OutputTable[[#This Row],[GroupByKey]])*OutputTable[RecordedValue]))</f>
        <v>0</v>
      </c>
      <c r="P228" s="5">
        <f t="array" ref="P228">MAX(IF((OutputTable[GroupByKey]=OutputTable[[#This Row],[GroupByKey]]),(OutputTable[GroupByKey]=OutputTable[[#This Row],[GroupByKey]])*OutputTable[RecordedValue]))</f>
        <v>0</v>
      </c>
    </row>
    <row r="229" spans="1:16" x14ac:dyDescent="0.25">
      <c r="A229" t="s">
        <v>67</v>
      </c>
      <c r="B229" t="s">
        <v>70</v>
      </c>
      <c r="C229">
        <v>9</v>
      </c>
      <c r="D229" t="s">
        <v>126</v>
      </c>
      <c r="E229" t="s">
        <v>114</v>
      </c>
      <c r="F229" t="s">
        <v>73</v>
      </c>
      <c r="G229">
        <v>0</v>
      </c>
      <c r="H229">
        <v>0</v>
      </c>
      <c r="I229" s="5" t="str">
        <f>OutputTable[[#This Row],[ProjectName]]&amp;OutputTable[[#This Row],[Name]]&amp;OutputTable[[#This Row],[Type]]&amp;OutputTable[[#This Row],[Source]]</f>
        <v>Unnamed Projectfinalqcman.NumberSeizedTotal Number SeizedResource</v>
      </c>
      <c r="J229" s="5">
        <f t="array" ref="J229">MAX(IF((ProjectInfoTable[ProjectName]=OutputTable[[#This Row],[ProjectName]]),(ProjectInfoTable[ProjectName]=OutputTable[[#This Row],[ProjectName]])*ProjectInfoTable[NumberOfReplications]))</f>
        <v>15</v>
      </c>
      <c r="K229" s="5">
        <f t="array" ref="K229">IFERROR(AVERAGE(IF((OutputTable[GroupByKey]=OutputTable[[#This Row],[GroupByKey]]),(OutputTable[GroupByKey]=OutputTable[[#This Row],[GroupByKey]])*OutputTable[RecordedValue])),0)</f>
        <v>0</v>
      </c>
      <c r="L229" s="5">
        <f t="array" ref="L229">IFERROR(_xlfn.STDEV.S(IF((OutputTable[GroupByKey]=OutputTable[[#This Row],[GroupByKey]]),(OutputTable[GroupByKey]=OutputTable[[#This Row],[GroupByKey]])*OutputTable[RecordedValue])),0)</f>
        <v>0</v>
      </c>
      <c r="M229" s="5">
        <f t="array" ref="M229">MAX(IF((ProjectInfoTable[ProjectName]=OutputTable[[#This Row],[ProjectName]]),(ProjectInfoTable[ProjectName]=OutputTable[[#This Row],[ProjectName]])*ProjectInfoTable[ConfidenceInterval]))</f>
        <v>0.95</v>
      </c>
      <c r="N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9" s="5">
        <f t="array" ref="O229">MIN(IF((OutputTable[GroupByKey]=OutputTable[[#This Row],[GroupByKey]]),(OutputTable[GroupByKey]=OutputTable[[#This Row],[GroupByKey]])*OutputTable[RecordedValue]))</f>
        <v>0</v>
      </c>
      <c r="P229" s="5">
        <f t="array" ref="P229">MAX(IF((OutputTable[GroupByKey]=OutputTable[[#This Row],[GroupByKey]]),(OutputTable[GroupByKey]=OutputTable[[#This Row],[GroupByKey]])*OutputTable[RecordedValue]))</f>
        <v>0</v>
      </c>
    </row>
    <row r="230" spans="1:16" x14ac:dyDescent="0.25">
      <c r="A230" t="s">
        <v>67</v>
      </c>
      <c r="B230" t="s">
        <v>70</v>
      </c>
      <c r="C230">
        <v>9</v>
      </c>
      <c r="D230" t="s">
        <v>127</v>
      </c>
      <c r="E230" t="s">
        <v>116</v>
      </c>
      <c r="F230" t="s">
        <v>73</v>
      </c>
      <c r="G230">
        <v>0</v>
      </c>
      <c r="H230">
        <v>0</v>
      </c>
      <c r="I230" s="5" t="str">
        <f>OutputTable[[#This Row],[ProjectName]]&amp;OutputTable[[#This Row],[Name]]&amp;OutputTable[[#This Row],[Type]]&amp;OutputTable[[#This Row],[Source]]</f>
        <v>Unnamed Projectfinalqcman.ScheduledUtilizationScheduled UtilizationResource</v>
      </c>
      <c r="J230" s="5">
        <f t="array" ref="J230">MAX(IF((ProjectInfoTable[ProjectName]=OutputTable[[#This Row],[ProjectName]]),(ProjectInfoTable[ProjectName]=OutputTable[[#This Row],[ProjectName]])*ProjectInfoTable[NumberOfReplications]))</f>
        <v>15</v>
      </c>
      <c r="K230" s="5">
        <f t="array" ref="K230">IFERROR(AVERAGE(IF((OutputTable[GroupByKey]=OutputTable[[#This Row],[GroupByKey]]),(OutputTable[GroupByKey]=OutputTable[[#This Row],[GroupByKey]])*OutputTable[RecordedValue])),0)</f>
        <v>0</v>
      </c>
      <c r="L230" s="5">
        <f t="array" ref="L230">IFERROR(_xlfn.STDEV.S(IF((OutputTable[GroupByKey]=OutputTable[[#This Row],[GroupByKey]]),(OutputTable[GroupByKey]=OutputTable[[#This Row],[GroupByKey]])*OutputTable[RecordedValue])),0)</f>
        <v>0</v>
      </c>
      <c r="M230" s="5">
        <f t="array" ref="M230">MAX(IF((ProjectInfoTable[ProjectName]=OutputTable[[#This Row],[ProjectName]]),(ProjectInfoTable[ProjectName]=OutputTable[[#This Row],[ProjectName]])*ProjectInfoTable[ConfidenceInterval]))</f>
        <v>0.95</v>
      </c>
      <c r="N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0" s="5">
        <f t="array" ref="O230">MIN(IF((OutputTable[GroupByKey]=OutputTable[[#This Row],[GroupByKey]]),(OutputTable[GroupByKey]=OutputTable[[#This Row],[GroupByKey]])*OutputTable[RecordedValue]))</f>
        <v>0</v>
      </c>
      <c r="P230" s="5">
        <f t="array" ref="P230">MAX(IF((OutputTable[GroupByKey]=OutputTable[[#This Row],[GroupByKey]]),(OutputTable[GroupByKey]=OutputTable[[#This Row],[GroupByKey]])*OutputTable[RecordedValue]))</f>
        <v>0</v>
      </c>
    </row>
    <row r="231" spans="1:16" x14ac:dyDescent="0.25">
      <c r="A231" t="s">
        <v>67</v>
      </c>
      <c r="B231" t="s">
        <v>70</v>
      </c>
      <c r="C231">
        <v>9</v>
      </c>
      <c r="D231" t="s">
        <v>128</v>
      </c>
      <c r="E231" t="s">
        <v>114</v>
      </c>
      <c r="F231" t="s">
        <v>73</v>
      </c>
      <c r="G231">
        <v>0</v>
      </c>
      <c r="H231">
        <v>0</v>
      </c>
      <c r="I231" s="5" t="str">
        <f>OutputTable[[#This Row],[ProjectName]]&amp;OutputTable[[#This Row],[Name]]&amp;OutputTable[[#This Row],[Type]]&amp;OutputTable[[#This Row],[Source]]</f>
        <v>Unnamed Projectpaintingmachine.NumberSeizedTotal Number SeizedResource</v>
      </c>
      <c r="J231" s="5">
        <f t="array" ref="J231">MAX(IF((ProjectInfoTable[ProjectName]=OutputTable[[#This Row],[ProjectName]]),(ProjectInfoTable[ProjectName]=OutputTable[[#This Row],[ProjectName]])*ProjectInfoTable[NumberOfReplications]))</f>
        <v>15</v>
      </c>
      <c r="K231" s="5">
        <f t="array" ref="K231">IFERROR(AVERAGE(IF((OutputTable[GroupByKey]=OutputTable[[#This Row],[GroupByKey]]),(OutputTable[GroupByKey]=OutputTable[[#This Row],[GroupByKey]])*OutputTable[RecordedValue])),0)</f>
        <v>0</v>
      </c>
      <c r="L231" s="5">
        <f t="array" ref="L231">IFERROR(_xlfn.STDEV.S(IF((OutputTable[GroupByKey]=OutputTable[[#This Row],[GroupByKey]]),(OutputTable[GroupByKey]=OutputTable[[#This Row],[GroupByKey]])*OutputTable[RecordedValue])),0)</f>
        <v>0</v>
      </c>
      <c r="M231" s="5">
        <f t="array" ref="M231">MAX(IF((ProjectInfoTable[ProjectName]=OutputTable[[#This Row],[ProjectName]]),(ProjectInfoTable[ProjectName]=OutputTable[[#This Row],[ProjectName]])*ProjectInfoTable[ConfidenceInterval]))</f>
        <v>0.95</v>
      </c>
      <c r="N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1" s="5">
        <f t="array" ref="O231">MIN(IF((OutputTable[GroupByKey]=OutputTable[[#This Row],[GroupByKey]]),(OutputTable[GroupByKey]=OutputTable[[#This Row],[GroupByKey]])*OutputTable[RecordedValue]))</f>
        <v>0</v>
      </c>
      <c r="P231" s="5">
        <f t="array" ref="P231">MAX(IF((OutputTable[GroupByKey]=OutputTable[[#This Row],[GroupByKey]]),(OutputTable[GroupByKey]=OutputTable[[#This Row],[GroupByKey]])*OutputTable[RecordedValue]))</f>
        <v>0</v>
      </c>
    </row>
    <row r="232" spans="1:16" x14ac:dyDescent="0.25">
      <c r="A232" t="s">
        <v>67</v>
      </c>
      <c r="B232" t="s">
        <v>70</v>
      </c>
      <c r="C232">
        <v>9</v>
      </c>
      <c r="D232" t="s">
        <v>129</v>
      </c>
      <c r="E232" t="s">
        <v>116</v>
      </c>
      <c r="F232" t="s">
        <v>73</v>
      </c>
      <c r="G232">
        <v>0</v>
      </c>
      <c r="H232">
        <v>0</v>
      </c>
      <c r="I232" s="5" t="str">
        <f>OutputTable[[#This Row],[ProjectName]]&amp;OutputTable[[#This Row],[Name]]&amp;OutputTable[[#This Row],[Type]]&amp;OutputTable[[#This Row],[Source]]</f>
        <v>Unnamed Projectpaintingmachine.ScheduledUtilizationScheduled UtilizationResource</v>
      </c>
      <c r="J232" s="5">
        <f t="array" ref="J232">MAX(IF((ProjectInfoTable[ProjectName]=OutputTable[[#This Row],[ProjectName]]),(ProjectInfoTable[ProjectName]=OutputTable[[#This Row],[ProjectName]])*ProjectInfoTable[NumberOfReplications]))</f>
        <v>15</v>
      </c>
      <c r="K232" s="5">
        <f t="array" ref="K232">IFERROR(AVERAGE(IF((OutputTable[GroupByKey]=OutputTable[[#This Row],[GroupByKey]]),(OutputTable[GroupByKey]=OutputTable[[#This Row],[GroupByKey]])*OutputTable[RecordedValue])),0)</f>
        <v>0</v>
      </c>
      <c r="L232" s="5">
        <f t="array" ref="L232">IFERROR(_xlfn.STDEV.S(IF((OutputTable[GroupByKey]=OutputTable[[#This Row],[GroupByKey]]),(OutputTable[GroupByKey]=OutputTable[[#This Row],[GroupByKey]])*OutputTable[RecordedValue])),0)</f>
        <v>0</v>
      </c>
      <c r="M232" s="5">
        <f t="array" ref="M232">MAX(IF((ProjectInfoTable[ProjectName]=OutputTable[[#This Row],[ProjectName]]),(ProjectInfoTable[ProjectName]=OutputTable[[#This Row],[ProjectName]])*ProjectInfoTable[ConfidenceInterval]))</f>
        <v>0.95</v>
      </c>
      <c r="N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2" s="5">
        <f t="array" ref="O232">MIN(IF((OutputTable[GroupByKey]=OutputTable[[#This Row],[GroupByKey]]),(OutputTable[GroupByKey]=OutputTable[[#This Row],[GroupByKey]])*OutputTable[RecordedValue]))</f>
        <v>0</v>
      </c>
      <c r="P232" s="5">
        <f t="array" ref="P232">MAX(IF((OutputTable[GroupByKey]=OutputTable[[#This Row],[GroupByKey]]),(OutputTable[GroupByKey]=OutputTable[[#This Row],[GroupByKey]])*OutputTable[RecordedValue]))</f>
        <v>0</v>
      </c>
    </row>
    <row r="233" spans="1:16" x14ac:dyDescent="0.25">
      <c r="A233" t="s">
        <v>67</v>
      </c>
      <c r="B233" t="s">
        <v>70</v>
      </c>
      <c r="C233">
        <v>9</v>
      </c>
      <c r="D233" t="s">
        <v>130</v>
      </c>
      <c r="E233" t="s">
        <v>114</v>
      </c>
      <c r="F233" t="s">
        <v>73</v>
      </c>
      <c r="G233">
        <v>0</v>
      </c>
      <c r="H233">
        <v>0</v>
      </c>
      <c r="I233" s="5" t="str">
        <f>OutputTable[[#This Row],[ProjectName]]&amp;OutputTable[[#This Row],[Name]]&amp;OutputTable[[#This Row],[Type]]&amp;OutputTable[[#This Row],[Source]]</f>
        <v>Unnamed Projectpaintingoperator.NumberSeizedTotal Number SeizedResource</v>
      </c>
      <c r="J233" s="5">
        <f t="array" ref="J233">MAX(IF((ProjectInfoTable[ProjectName]=OutputTable[[#This Row],[ProjectName]]),(ProjectInfoTable[ProjectName]=OutputTable[[#This Row],[ProjectName]])*ProjectInfoTable[NumberOfReplications]))</f>
        <v>15</v>
      </c>
      <c r="K233" s="5">
        <f t="array" ref="K233">IFERROR(AVERAGE(IF((OutputTable[GroupByKey]=OutputTable[[#This Row],[GroupByKey]]),(OutputTable[GroupByKey]=OutputTable[[#This Row],[GroupByKey]])*OutputTable[RecordedValue])),0)</f>
        <v>0</v>
      </c>
      <c r="L233" s="5">
        <f t="array" ref="L233">IFERROR(_xlfn.STDEV.S(IF((OutputTable[GroupByKey]=OutputTable[[#This Row],[GroupByKey]]),(OutputTable[GroupByKey]=OutputTable[[#This Row],[GroupByKey]])*OutputTable[RecordedValue])),0)</f>
        <v>0</v>
      </c>
      <c r="M233" s="5">
        <f t="array" ref="M233">MAX(IF((ProjectInfoTable[ProjectName]=OutputTable[[#This Row],[ProjectName]]),(ProjectInfoTable[ProjectName]=OutputTable[[#This Row],[ProjectName]])*ProjectInfoTable[ConfidenceInterval]))</f>
        <v>0.95</v>
      </c>
      <c r="N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3" s="5">
        <f t="array" ref="O233">MIN(IF((OutputTable[GroupByKey]=OutputTable[[#This Row],[GroupByKey]]),(OutputTable[GroupByKey]=OutputTable[[#This Row],[GroupByKey]])*OutputTable[RecordedValue]))</f>
        <v>0</v>
      </c>
      <c r="P233" s="5">
        <f t="array" ref="P233">MAX(IF((OutputTable[GroupByKey]=OutputTable[[#This Row],[GroupByKey]]),(OutputTable[GroupByKey]=OutputTable[[#This Row],[GroupByKey]])*OutputTable[RecordedValue]))</f>
        <v>0</v>
      </c>
    </row>
    <row r="234" spans="1:16" x14ac:dyDescent="0.25">
      <c r="A234" t="s">
        <v>67</v>
      </c>
      <c r="B234" t="s">
        <v>70</v>
      </c>
      <c r="C234">
        <v>9</v>
      </c>
      <c r="D234" t="s">
        <v>131</v>
      </c>
      <c r="E234" t="s">
        <v>116</v>
      </c>
      <c r="F234" t="s">
        <v>73</v>
      </c>
      <c r="G234">
        <v>0</v>
      </c>
      <c r="H234">
        <v>0</v>
      </c>
      <c r="I234" s="5" t="str">
        <f>OutputTable[[#This Row],[ProjectName]]&amp;OutputTable[[#This Row],[Name]]&amp;OutputTable[[#This Row],[Type]]&amp;OutputTable[[#This Row],[Source]]</f>
        <v>Unnamed Projectpaintingoperator.ScheduledUtilizationScheduled UtilizationResource</v>
      </c>
      <c r="J234" s="5">
        <f t="array" ref="J234">MAX(IF((ProjectInfoTable[ProjectName]=OutputTable[[#This Row],[ProjectName]]),(ProjectInfoTable[ProjectName]=OutputTable[[#This Row],[ProjectName]])*ProjectInfoTable[NumberOfReplications]))</f>
        <v>15</v>
      </c>
      <c r="K234" s="5">
        <f t="array" ref="K234">IFERROR(AVERAGE(IF((OutputTable[GroupByKey]=OutputTable[[#This Row],[GroupByKey]]),(OutputTable[GroupByKey]=OutputTable[[#This Row],[GroupByKey]])*OutputTable[RecordedValue])),0)</f>
        <v>0</v>
      </c>
      <c r="L234" s="5">
        <f t="array" ref="L234">IFERROR(_xlfn.STDEV.S(IF((OutputTable[GroupByKey]=OutputTable[[#This Row],[GroupByKey]]),(OutputTable[GroupByKey]=OutputTable[[#This Row],[GroupByKey]])*OutputTable[RecordedValue])),0)</f>
        <v>0</v>
      </c>
      <c r="M234" s="5">
        <f t="array" ref="M234">MAX(IF((ProjectInfoTable[ProjectName]=OutputTable[[#This Row],[ProjectName]]),(ProjectInfoTable[ProjectName]=OutputTable[[#This Row],[ProjectName]])*ProjectInfoTable[ConfidenceInterval]))</f>
        <v>0.95</v>
      </c>
      <c r="N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4" s="5">
        <f t="array" ref="O234">MIN(IF((OutputTable[GroupByKey]=OutputTable[[#This Row],[GroupByKey]]),(OutputTable[GroupByKey]=OutputTable[[#This Row],[GroupByKey]])*OutputTable[RecordedValue]))</f>
        <v>0</v>
      </c>
      <c r="P234" s="5">
        <f t="array" ref="P234">MAX(IF((OutputTable[GroupByKey]=OutputTable[[#This Row],[GroupByKey]]),(OutputTable[GroupByKey]=OutputTable[[#This Row],[GroupByKey]])*OutputTable[RecordedValue]))</f>
        <v>0</v>
      </c>
    </row>
    <row r="235" spans="1:16" x14ac:dyDescent="0.25">
      <c r="A235" t="s">
        <v>67</v>
      </c>
      <c r="B235" t="s">
        <v>70</v>
      </c>
      <c r="C235">
        <v>9</v>
      </c>
      <c r="D235" t="s">
        <v>132</v>
      </c>
      <c r="E235" t="s">
        <v>114</v>
      </c>
      <c r="F235" t="s">
        <v>73</v>
      </c>
      <c r="G235">
        <v>0</v>
      </c>
      <c r="H235">
        <v>0</v>
      </c>
      <c r="I235" s="5" t="str">
        <f>OutputTable[[#This Row],[ProjectName]]&amp;OutputTable[[#This Row],[Name]]&amp;OutputTable[[#This Row],[Type]]&amp;OutputTable[[#This Row],[Source]]</f>
        <v>Unnamed Projectsandblastmachine.NumberSeizedTotal Number SeizedResource</v>
      </c>
      <c r="J235" s="5">
        <f t="array" ref="J235">MAX(IF((ProjectInfoTable[ProjectName]=OutputTable[[#This Row],[ProjectName]]),(ProjectInfoTable[ProjectName]=OutputTable[[#This Row],[ProjectName]])*ProjectInfoTable[NumberOfReplications]))</f>
        <v>15</v>
      </c>
      <c r="K235" s="5">
        <f t="array" ref="K235">IFERROR(AVERAGE(IF((OutputTable[GroupByKey]=OutputTable[[#This Row],[GroupByKey]]),(OutputTable[GroupByKey]=OutputTable[[#This Row],[GroupByKey]])*OutputTable[RecordedValue])),0)</f>
        <v>0</v>
      </c>
      <c r="L235" s="5">
        <f t="array" ref="L235">IFERROR(_xlfn.STDEV.S(IF((OutputTable[GroupByKey]=OutputTable[[#This Row],[GroupByKey]]),(OutputTable[GroupByKey]=OutputTable[[#This Row],[GroupByKey]])*OutputTable[RecordedValue])),0)</f>
        <v>0</v>
      </c>
      <c r="M235" s="5">
        <f t="array" ref="M235">MAX(IF((ProjectInfoTable[ProjectName]=OutputTable[[#This Row],[ProjectName]]),(ProjectInfoTable[ProjectName]=OutputTable[[#This Row],[ProjectName]])*ProjectInfoTable[ConfidenceInterval]))</f>
        <v>0.95</v>
      </c>
      <c r="N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5" s="5">
        <f t="array" ref="O235">MIN(IF((OutputTable[GroupByKey]=OutputTable[[#This Row],[GroupByKey]]),(OutputTable[GroupByKey]=OutputTable[[#This Row],[GroupByKey]])*OutputTable[RecordedValue]))</f>
        <v>0</v>
      </c>
      <c r="P235" s="5">
        <f t="array" ref="P235">MAX(IF((OutputTable[GroupByKey]=OutputTable[[#This Row],[GroupByKey]]),(OutputTable[GroupByKey]=OutputTable[[#This Row],[GroupByKey]])*OutputTable[RecordedValue]))</f>
        <v>0</v>
      </c>
    </row>
    <row r="236" spans="1:16" x14ac:dyDescent="0.25">
      <c r="A236" t="s">
        <v>67</v>
      </c>
      <c r="B236" t="s">
        <v>70</v>
      </c>
      <c r="C236">
        <v>9</v>
      </c>
      <c r="D236" t="s">
        <v>133</v>
      </c>
      <c r="E236" t="s">
        <v>116</v>
      </c>
      <c r="F236" t="s">
        <v>73</v>
      </c>
      <c r="G236">
        <v>0</v>
      </c>
      <c r="H236">
        <v>0</v>
      </c>
      <c r="I236" s="5" t="str">
        <f>OutputTable[[#This Row],[ProjectName]]&amp;OutputTable[[#This Row],[Name]]&amp;OutputTable[[#This Row],[Type]]&amp;OutputTable[[#This Row],[Source]]</f>
        <v>Unnamed Projectsandblastmachine.ScheduledUtilizationScheduled UtilizationResource</v>
      </c>
      <c r="J236" s="5">
        <f t="array" ref="J236">MAX(IF((ProjectInfoTable[ProjectName]=OutputTable[[#This Row],[ProjectName]]),(ProjectInfoTable[ProjectName]=OutputTable[[#This Row],[ProjectName]])*ProjectInfoTable[NumberOfReplications]))</f>
        <v>15</v>
      </c>
      <c r="K236" s="5">
        <f t="array" ref="K236">IFERROR(AVERAGE(IF((OutputTable[GroupByKey]=OutputTable[[#This Row],[GroupByKey]]),(OutputTable[GroupByKey]=OutputTable[[#This Row],[GroupByKey]])*OutputTable[RecordedValue])),0)</f>
        <v>0</v>
      </c>
      <c r="L236" s="5">
        <f t="array" ref="L236">IFERROR(_xlfn.STDEV.S(IF((OutputTable[GroupByKey]=OutputTable[[#This Row],[GroupByKey]]),(OutputTable[GroupByKey]=OutputTable[[#This Row],[GroupByKey]])*OutputTable[RecordedValue])),0)</f>
        <v>0</v>
      </c>
      <c r="M236" s="5">
        <f t="array" ref="M236">MAX(IF((ProjectInfoTable[ProjectName]=OutputTable[[#This Row],[ProjectName]]),(ProjectInfoTable[ProjectName]=OutputTable[[#This Row],[ProjectName]])*ProjectInfoTable[ConfidenceInterval]))</f>
        <v>0.95</v>
      </c>
      <c r="N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6" s="5">
        <f t="array" ref="O236">MIN(IF((OutputTable[GroupByKey]=OutputTable[[#This Row],[GroupByKey]]),(OutputTable[GroupByKey]=OutputTable[[#This Row],[GroupByKey]])*OutputTable[RecordedValue]))</f>
        <v>0</v>
      </c>
      <c r="P236" s="5">
        <f t="array" ref="P236">MAX(IF((OutputTable[GroupByKey]=OutputTable[[#This Row],[GroupByKey]]),(OutputTable[GroupByKey]=OutputTable[[#This Row],[GroupByKey]])*OutputTable[RecordedValue]))</f>
        <v>0</v>
      </c>
    </row>
    <row r="237" spans="1:16" x14ac:dyDescent="0.25">
      <c r="A237" t="s">
        <v>67</v>
      </c>
      <c r="B237" t="s">
        <v>70</v>
      </c>
      <c r="C237">
        <v>9</v>
      </c>
      <c r="D237" t="s">
        <v>134</v>
      </c>
      <c r="E237" t="s">
        <v>114</v>
      </c>
      <c r="F237" t="s">
        <v>73</v>
      </c>
      <c r="G237">
        <v>0</v>
      </c>
      <c r="H237">
        <v>0</v>
      </c>
      <c r="I237" s="5" t="str">
        <f>OutputTable[[#This Row],[ProjectName]]&amp;OutputTable[[#This Row],[Name]]&amp;OutputTable[[#This Row],[Type]]&amp;OutputTable[[#This Row],[Source]]</f>
        <v>Unnamed Projectsandblastoperator.NumberSeizedTotal Number SeizedResource</v>
      </c>
      <c r="J237" s="5">
        <f t="array" ref="J237">MAX(IF((ProjectInfoTable[ProjectName]=OutputTable[[#This Row],[ProjectName]]),(ProjectInfoTable[ProjectName]=OutputTable[[#This Row],[ProjectName]])*ProjectInfoTable[NumberOfReplications]))</f>
        <v>15</v>
      </c>
      <c r="K237" s="5">
        <f t="array" ref="K237">IFERROR(AVERAGE(IF((OutputTable[GroupByKey]=OutputTable[[#This Row],[GroupByKey]]),(OutputTable[GroupByKey]=OutputTable[[#This Row],[GroupByKey]])*OutputTable[RecordedValue])),0)</f>
        <v>0</v>
      </c>
      <c r="L237" s="5">
        <f t="array" ref="L237">IFERROR(_xlfn.STDEV.S(IF((OutputTable[GroupByKey]=OutputTable[[#This Row],[GroupByKey]]),(OutputTable[GroupByKey]=OutputTable[[#This Row],[GroupByKey]])*OutputTable[RecordedValue])),0)</f>
        <v>0</v>
      </c>
      <c r="M237" s="5">
        <f t="array" ref="M237">MAX(IF((ProjectInfoTable[ProjectName]=OutputTable[[#This Row],[ProjectName]]),(ProjectInfoTable[ProjectName]=OutputTable[[#This Row],[ProjectName]])*ProjectInfoTable[ConfidenceInterval]))</f>
        <v>0.95</v>
      </c>
      <c r="N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7" s="5">
        <f t="array" ref="O237">MIN(IF((OutputTable[GroupByKey]=OutputTable[[#This Row],[GroupByKey]]),(OutputTable[GroupByKey]=OutputTable[[#This Row],[GroupByKey]])*OutputTable[RecordedValue]))</f>
        <v>0</v>
      </c>
      <c r="P237" s="5">
        <f t="array" ref="P237">MAX(IF((OutputTable[GroupByKey]=OutputTable[[#This Row],[GroupByKey]]),(OutputTable[GroupByKey]=OutputTable[[#This Row],[GroupByKey]])*OutputTable[RecordedValue]))</f>
        <v>0</v>
      </c>
    </row>
    <row r="238" spans="1:16" x14ac:dyDescent="0.25">
      <c r="A238" t="s">
        <v>67</v>
      </c>
      <c r="B238" t="s">
        <v>70</v>
      </c>
      <c r="C238">
        <v>9</v>
      </c>
      <c r="D238" t="s">
        <v>135</v>
      </c>
      <c r="E238" t="s">
        <v>116</v>
      </c>
      <c r="F238" t="s">
        <v>73</v>
      </c>
      <c r="G238">
        <v>0</v>
      </c>
      <c r="H238">
        <v>0</v>
      </c>
      <c r="I238" s="5" t="str">
        <f>OutputTable[[#This Row],[ProjectName]]&amp;OutputTable[[#This Row],[Name]]&amp;OutputTable[[#This Row],[Type]]&amp;OutputTable[[#This Row],[Source]]</f>
        <v>Unnamed Projectsandblastoperator.ScheduledUtilizationScheduled UtilizationResource</v>
      </c>
      <c r="J238" s="5">
        <f t="array" ref="J238">MAX(IF((ProjectInfoTable[ProjectName]=OutputTable[[#This Row],[ProjectName]]),(ProjectInfoTable[ProjectName]=OutputTable[[#This Row],[ProjectName]])*ProjectInfoTable[NumberOfReplications]))</f>
        <v>15</v>
      </c>
      <c r="K238" s="5">
        <f t="array" ref="K238">IFERROR(AVERAGE(IF((OutputTable[GroupByKey]=OutputTable[[#This Row],[GroupByKey]]),(OutputTable[GroupByKey]=OutputTable[[#This Row],[GroupByKey]])*OutputTable[RecordedValue])),0)</f>
        <v>0</v>
      </c>
      <c r="L238" s="5">
        <f t="array" ref="L238">IFERROR(_xlfn.STDEV.S(IF((OutputTable[GroupByKey]=OutputTable[[#This Row],[GroupByKey]]),(OutputTable[GroupByKey]=OutputTable[[#This Row],[GroupByKey]])*OutputTable[RecordedValue])),0)</f>
        <v>0</v>
      </c>
      <c r="M238" s="5">
        <f t="array" ref="M238">MAX(IF((ProjectInfoTable[ProjectName]=OutputTable[[#This Row],[ProjectName]]),(ProjectInfoTable[ProjectName]=OutputTable[[#This Row],[ProjectName]])*ProjectInfoTable[ConfidenceInterval]))</f>
        <v>0.95</v>
      </c>
      <c r="N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8" s="5">
        <f t="array" ref="O238">MIN(IF((OutputTable[GroupByKey]=OutputTable[[#This Row],[GroupByKey]]),(OutputTable[GroupByKey]=OutputTable[[#This Row],[GroupByKey]])*OutputTable[RecordedValue]))</f>
        <v>0</v>
      </c>
      <c r="P238" s="5">
        <f t="array" ref="P238">MAX(IF((OutputTable[GroupByKey]=OutputTable[[#This Row],[GroupByKey]]),(OutputTable[GroupByKey]=OutputTable[[#This Row],[GroupByKey]])*OutputTable[RecordedValue]))</f>
        <v>0</v>
      </c>
    </row>
    <row r="239" spans="1:16" x14ac:dyDescent="0.25">
      <c r="A239" t="s">
        <v>67</v>
      </c>
      <c r="B239" t="s">
        <v>70</v>
      </c>
      <c r="C239">
        <v>9</v>
      </c>
      <c r="D239" t="s">
        <v>136</v>
      </c>
      <c r="E239" t="s">
        <v>120</v>
      </c>
      <c r="F239" t="s">
        <v>79</v>
      </c>
      <c r="G239">
        <v>0</v>
      </c>
      <c r="H239">
        <v>0</v>
      </c>
      <c r="I239" s="5" t="str">
        <f>OutputTable[[#This Row],[ProjectName]]&amp;OutputTable[[#This Row],[Name]]&amp;OutputTable[[#This Row],[Type]]&amp;OutputTable[[#This Row],[Source]]</f>
        <v>Unnamed Projectsteelsheet.NumberInNumber InEntity</v>
      </c>
      <c r="J239" s="5">
        <f t="array" ref="J239">MAX(IF((ProjectInfoTable[ProjectName]=OutputTable[[#This Row],[ProjectName]]),(ProjectInfoTable[ProjectName]=OutputTable[[#This Row],[ProjectName]])*ProjectInfoTable[NumberOfReplications]))</f>
        <v>15</v>
      </c>
      <c r="K239" s="5">
        <f t="array" ref="K239">IFERROR(AVERAGE(IF((OutputTable[GroupByKey]=OutputTable[[#This Row],[GroupByKey]]),(OutputTable[GroupByKey]=OutputTable[[#This Row],[GroupByKey]])*OutputTable[RecordedValue])),0)</f>
        <v>0</v>
      </c>
      <c r="L239" s="5">
        <f t="array" ref="L239">IFERROR(_xlfn.STDEV.S(IF((OutputTable[GroupByKey]=OutputTable[[#This Row],[GroupByKey]]),(OutputTable[GroupByKey]=OutputTable[[#This Row],[GroupByKey]])*OutputTable[RecordedValue])),0)</f>
        <v>0</v>
      </c>
      <c r="M239" s="5">
        <f t="array" ref="M239">MAX(IF((ProjectInfoTable[ProjectName]=OutputTable[[#This Row],[ProjectName]]),(ProjectInfoTable[ProjectName]=OutputTable[[#This Row],[ProjectName]])*ProjectInfoTable[ConfidenceInterval]))</f>
        <v>0.95</v>
      </c>
      <c r="N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39" s="5">
        <f t="array" ref="O239">MIN(IF((OutputTable[GroupByKey]=OutputTable[[#This Row],[GroupByKey]]),(OutputTable[GroupByKey]=OutputTable[[#This Row],[GroupByKey]])*OutputTable[RecordedValue]))</f>
        <v>0</v>
      </c>
      <c r="P239" s="5">
        <f t="array" ref="P239">MAX(IF((OutputTable[GroupByKey]=OutputTable[[#This Row],[GroupByKey]]),(OutputTable[GroupByKey]=OutputTable[[#This Row],[GroupByKey]])*OutputTable[RecordedValue]))</f>
        <v>0</v>
      </c>
    </row>
    <row r="240" spans="1:16" x14ac:dyDescent="0.25">
      <c r="A240" t="s">
        <v>67</v>
      </c>
      <c r="B240" t="s">
        <v>70</v>
      </c>
      <c r="C240">
        <v>9</v>
      </c>
      <c r="D240" t="s">
        <v>137</v>
      </c>
      <c r="E240" t="s">
        <v>111</v>
      </c>
      <c r="F240" t="s">
        <v>79</v>
      </c>
      <c r="G240">
        <v>0</v>
      </c>
      <c r="H240">
        <v>0</v>
      </c>
      <c r="I240" s="5" t="str">
        <f>OutputTable[[#This Row],[ProjectName]]&amp;OutputTable[[#This Row],[Name]]&amp;OutputTable[[#This Row],[Type]]&amp;OutputTable[[#This Row],[Source]]</f>
        <v>Unnamed Projectsteelsheet.NumberOutNumber OutEntity</v>
      </c>
      <c r="J240" s="5">
        <f t="array" ref="J240">MAX(IF((ProjectInfoTable[ProjectName]=OutputTable[[#This Row],[ProjectName]]),(ProjectInfoTable[ProjectName]=OutputTable[[#This Row],[ProjectName]])*ProjectInfoTable[NumberOfReplications]))</f>
        <v>15</v>
      </c>
      <c r="K240" s="5">
        <f t="array" ref="K240">IFERROR(AVERAGE(IF((OutputTable[GroupByKey]=OutputTable[[#This Row],[GroupByKey]]),(OutputTable[GroupByKey]=OutputTable[[#This Row],[GroupByKey]])*OutputTable[RecordedValue])),0)</f>
        <v>0</v>
      </c>
      <c r="L240" s="5">
        <f t="array" ref="L240">IFERROR(_xlfn.STDEV.S(IF((OutputTable[GroupByKey]=OutputTable[[#This Row],[GroupByKey]]),(OutputTable[GroupByKey]=OutputTable[[#This Row],[GroupByKey]])*OutputTable[RecordedValue])),0)</f>
        <v>0</v>
      </c>
      <c r="M240" s="5">
        <f t="array" ref="M240">MAX(IF((ProjectInfoTable[ProjectName]=OutputTable[[#This Row],[ProjectName]]),(ProjectInfoTable[ProjectName]=OutputTable[[#This Row],[ProjectName]])*ProjectInfoTable[ConfidenceInterval]))</f>
        <v>0.95</v>
      </c>
      <c r="N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0" s="5">
        <f t="array" ref="O240">MIN(IF((OutputTable[GroupByKey]=OutputTable[[#This Row],[GroupByKey]]),(OutputTable[GroupByKey]=OutputTable[[#This Row],[GroupByKey]])*OutputTable[RecordedValue]))</f>
        <v>0</v>
      </c>
      <c r="P240" s="5">
        <f t="array" ref="P240">MAX(IF((OutputTable[GroupByKey]=OutputTable[[#This Row],[GroupByKey]]),(OutputTable[GroupByKey]=OutputTable[[#This Row],[GroupByKey]])*OutputTable[RecordedValue]))</f>
        <v>0</v>
      </c>
    </row>
    <row r="241" spans="1:16" x14ac:dyDescent="0.25">
      <c r="A241" t="s">
        <v>67</v>
      </c>
      <c r="B241" t="s">
        <v>70</v>
      </c>
      <c r="C241">
        <v>9</v>
      </c>
      <c r="D241" t="s">
        <v>138</v>
      </c>
      <c r="E241" t="s">
        <v>114</v>
      </c>
      <c r="F241" t="s">
        <v>73</v>
      </c>
      <c r="G241">
        <v>0</v>
      </c>
      <c r="H241">
        <v>0</v>
      </c>
      <c r="I241" s="5" t="str">
        <f>OutputTable[[#This Row],[ProjectName]]&amp;OutputTable[[#This Row],[Name]]&amp;OutputTable[[#This Row],[Type]]&amp;OutputTable[[#This Row],[Source]]</f>
        <v>Unnamed Projectwelder.NumberSeizedTotal Number SeizedResource</v>
      </c>
      <c r="J241" s="5">
        <f t="array" ref="J241">MAX(IF((ProjectInfoTable[ProjectName]=OutputTable[[#This Row],[ProjectName]]),(ProjectInfoTable[ProjectName]=OutputTable[[#This Row],[ProjectName]])*ProjectInfoTable[NumberOfReplications]))</f>
        <v>15</v>
      </c>
      <c r="K241" s="5">
        <f t="array" ref="K241">IFERROR(AVERAGE(IF((OutputTable[GroupByKey]=OutputTable[[#This Row],[GroupByKey]]),(OutputTable[GroupByKey]=OutputTable[[#This Row],[GroupByKey]])*OutputTable[RecordedValue])),0)</f>
        <v>0</v>
      </c>
      <c r="L241" s="5">
        <f t="array" ref="L241">IFERROR(_xlfn.STDEV.S(IF((OutputTable[GroupByKey]=OutputTable[[#This Row],[GroupByKey]]),(OutputTable[GroupByKey]=OutputTable[[#This Row],[GroupByKey]])*OutputTable[RecordedValue])),0)</f>
        <v>0</v>
      </c>
      <c r="M241" s="5">
        <f t="array" ref="M241">MAX(IF((ProjectInfoTable[ProjectName]=OutputTable[[#This Row],[ProjectName]]),(ProjectInfoTable[ProjectName]=OutputTable[[#This Row],[ProjectName]])*ProjectInfoTable[ConfidenceInterval]))</f>
        <v>0.95</v>
      </c>
      <c r="N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1" s="5">
        <f t="array" ref="O241">MIN(IF((OutputTable[GroupByKey]=OutputTable[[#This Row],[GroupByKey]]),(OutputTable[GroupByKey]=OutputTable[[#This Row],[GroupByKey]])*OutputTable[RecordedValue]))</f>
        <v>0</v>
      </c>
      <c r="P241" s="5">
        <f t="array" ref="P241">MAX(IF((OutputTable[GroupByKey]=OutputTable[[#This Row],[GroupByKey]]),(OutputTable[GroupByKey]=OutputTable[[#This Row],[GroupByKey]])*OutputTable[RecordedValue]))</f>
        <v>0</v>
      </c>
    </row>
    <row r="242" spans="1:16" x14ac:dyDescent="0.25">
      <c r="A242" t="s">
        <v>67</v>
      </c>
      <c r="B242" t="s">
        <v>70</v>
      </c>
      <c r="C242">
        <v>9</v>
      </c>
      <c r="D242" t="s">
        <v>139</v>
      </c>
      <c r="E242" t="s">
        <v>116</v>
      </c>
      <c r="F242" t="s">
        <v>73</v>
      </c>
      <c r="G242">
        <v>0</v>
      </c>
      <c r="H242">
        <v>0</v>
      </c>
      <c r="I242" s="5" t="str">
        <f>OutputTable[[#This Row],[ProjectName]]&amp;OutputTable[[#This Row],[Name]]&amp;OutputTable[[#This Row],[Type]]&amp;OutputTable[[#This Row],[Source]]</f>
        <v>Unnamed Projectwelder.ScheduledUtilizationScheduled UtilizationResource</v>
      </c>
      <c r="J242" s="5">
        <f t="array" ref="J242">MAX(IF((ProjectInfoTable[ProjectName]=OutputTable[[#This Row],[ProjectName]]),(ProjectInfoTable[ProjectName]=OutputTable[[#This Row],[ProjectName]])*ProjectInfoTable[NumberOfReplications]))</f>
        <v>15</v>
      </c>
      <c r="K242" s="5">
        <f t="array" ref="K242">IFERROR(AVERAGE(IF((OutputTable[GroupByKey]=OutputTable[[#This Row],[GroupByKey]]),(OutputTable[GroupByKey]=OutputTable[[#This Row],[GroupByKey]])*OutputTable[RecordedValue])),0)</f>
        <v>0</v>
      </c>
      <c r="L242" s="5">
        <f t="array" ref="L242">IFERROR(_xlfn.STDEV.S(IF((OutputTable[GroupByKey]=OutputTable[[#This Row],[GroupByKey]]),(OutputTable[GroupByKey]=OutputTable[[#This Row],[GroupByKey]])*OutputTable[RecordedValue])),0)</f>
        <v>0</v>
      </c>
      <c r="M242" s="5">
        <f t="array" ref="M242">MAX(IF((ProjectInfoTable[ProjectName]=OutputTable[[#This Row],[ProjectName]]),(ProjectInfoTable[ProjectName]=OutputTable[[#This Row],[ProjectName]])*ProjectInfoTable[ConfidenceInterval]))</f>
        <v>0.95</v>
      </c>
      <c r="N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2" s="5">
        <f t="array" ref="O242">MIN(IF((OutputTable[GroupByKey]=OutputTable[[#This Row],[GroupByKey]]),(OutputTable[GroupByKey]=OutputTable[[#This Row],[GroupByKey]])*OutputTable[RecordedValue]))</f>
        <v>0</v>
      </c>
      <c r="P242" s="5">
        <f t="array" ref="P242">MAX(IF((OutputTable[GroupByKey]=OutputTable[[#This Row],[GroupByKey]]),(OutputTable[GroupByKey]=OutputTable[[#This Row],[GroupByKey]])*OutputTable[RecordedValue]))</f>
        <v>0</v>
      </c>
    </row>
    <row r="243" spans="1:16" x14ac:dyDescent="0.25">
      <c r="A243" t="s">
        <v>67</v>
      </c>
      <c r="B243" t="s">
        <v>70</v>
      </c>
      <c r="C243">
        <v>9</v>
      </c>
      <c r="D243" t="s">
        <v>140</v>
      </c>
      <c r="E243" t="s">
        <v>114</v>
      </c>
      <c r="F243" t="s">
        <v>73</v>
      </c>
      <c r="G243">
        <v>0</v>
      </c>
      <c r="H243">
        <v>0</v>
      </c>
      <c r="I243" s="5" t="str">
        <f>OutputTable[[#This Row],[ProjectName]]&amp;OutputTable[[#This Row],[Name]]&amp;OutputTable[[#This Row],[Type]]&amp;OutputTable[[#This Row],[Source]]</f>
        <v>Unnamed Projectweldingqcworker.NumberSeizedTotal Number SeizedResource</v>
      </c>
      <c r="J243" s="5">
        <f t="array" ref="J243">MAX(IF((ProjectInfoTable[ProjectName]=OutputTable[[#This Row],[ProjectName]]),(ProjectInfoTable[ProjectName]=OutputTable[[#This Row],[ProjectName]])*ProjectInfoTable[NumberOfReplications]))</f>
        <v>15</v>
      </c>
      <c r="K243" s="5">
        <f t="array" ref="K243">IFERROR(AVERAGE(IF((OutputTable[GroupByKey]=OutputTable[[#This Row],[GroupByKey]]),(OutputTable[GroupByKey]=OutputTable[[#This Row],[GroupByKey]])*OutputTable[RecordedValue])),0)</f>
        <v>0</v>
      </c>
      <c r="L243" s="5">
        <f t="array" ref="L243">IFERROR(_xlfn.STDEV.S(IF((OutputTable[GroupByKey]=OutputTable[[#This Row],[GroupByKey]]),(OutputTable[GroupByKey]=OutputTable[[#This Row],[GroupByKey]])*OutputTable[RecordedValue])),0)</f>
        <v>0</v>
      </c>
      <c r="M243" s="5">
        <f t="array" ref="M243">MAX(IF((ProjectInfoTable[ProjectName]=OutputTable[[#This Row],[ProjectName]]),(ProjectInfoTable[ProjectName]=OutputTable[[#This Row],[ProjectName]])*ProjectInfoTable[ConfidenceInterval]))</f>
        <v>0.95</v>
      </c>
      <c r="N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3" s="5">
        <f t="array" ref="O243">MIN(IF((OutputTable[GroupByKey]=OutputTable[[#This Row],[GroupByKey]]),(OutputTable[GroupByKey]=OutputTable[[#This Row],[GroupByKey]])*OutputTable[RecordedValue]))</f>
        <v>0</v>
      </c>
      <c r="P243" s="5">
        <f t="array" ref="P243">MAX(IF((OutputTable[GroupByKey]=OutputTable[[#This Row],[GroupByKey]]),(OutputTable[GroupByKey]=OutputTable[[#This Row],[GroupByKey]])*OutputTable[RecordedValue]))</f>
        <v>0</v>
      </c>
    </row>
    <row r="244" spans="1:16" x14ac:dyDescent="0.25">
      <c r="A244" t="s">
        <v>67</v>
      </c>
      <c r="B244" t="s">
        <v>70</v>
      </c>
      <c r="C244">
        <v>9</v>
      </c>
      <c r="D244" t="s">
        <v>141</v>
      </c>
      <c r="E244" t="s">
        <v>116</v>
      </c>
      <c r="F244" t="s">
        <v>73</v>
      </c>
      <c r="G244">
        <v>0</v>
      </c>
      <c r="H244">
        <v>0</v>
      </c>
      <c r="I244" s="5" t="str">
        <f>OutputTable[[#This Row],[ProjectName]]&amp;OutputTable[[#This Row],[Name]]&amp;OutputTable[[#This Row],[Type]]&amp;OutputTable[[#This Row],[Source]]</f>
        <v>Unnamed Projectweldingqcworker.ScheduledUtilizationScheduled UtilizationResource</v>
      </c>
      <c r="J244" s="5">
        <f t="array" ref="J244">MAX(IF((ProjectInfoTable[ProjectName]=OutputTable[[#This Row],[ProjectName]]),(ProjectInfoTable[ProjectName]=OutputTable[[#This Row],[ProjectName]])*ProjectInfoTable[NumberOfReplications]))</f>
        <v>15</v>
      </c>
      <c r="K244" s="5">
        <f t="array" ref="K244">IFERROR(AVERAGE(IF((OutputTable[GroupByKey]=OutputTable[[#This Row],[GroupByKey]]),(OutputTable[GroupByKey]=OutputTable[[#This Row],[GroupByKey]])*OutputTable[RecordedValue])),0)</f>
        <v>0</v>
      </c>
      <c r="L244" s="5">
        <f t="array" ref="L244">IFERROR(_xlfn.STDEV.S(IF((OutputTable[GroupByKey]=OutputTable[[#This Row],[GroupByKey]]),(OutputTable[GroupByKey]=OutputTable[[#This Row],[GroupByKey]])*OutputTable[RecordedValue])),0)</f>
        <v>0</v>
      </c>
      <c r="M244" s="5">
        <f t="array" ref="M244">MAX(IF((ProjectInfoTable[ProjectName]=OutputTable[[#This Row],[ProjectName]]),(ProjectInfoTable[ProjectName]=OutputTable[[#This Row],[ProjectName]])*ProjectInfoTable[ConfidenceInterval]))</f>
        <v>0.95</v>
      </c>
      <c r="N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4" s="5">
        <f t="array" ref="O244">MIN(IF((OutputTable[GroupByKey]=OutputTable[[#This Row],[GroupByKey]]),(OutputTable[GroupByKey]=OutputTable[[#This Row],[GroupByKey]])*OutputTable[RecordedValue]))</f>
        <v>0</v>
      </c>
      <c r="P244" s="5">
        <f t="array" ref="P244">MAX(IF((OutputTable[GroupByKey]=OutputTable[[#This Row],[GroupByKey]]),(OutputTable[GroupByKey]=OutputTable[[#This Row],[GroupByKey]])*OutputTable[RecordedValue]))</f>
        <v>0</v>
      </c>
    </row>
    <row r="245" spans="1:16" x14ac:dyDescent="0.25">
      <c r="A245" t="s">
        <v>67</v>
      </c>
      <c r="B245" t="s">
        <v>70</v>
      </c>
      <c r="C245">
        <v>10</v>
      </c>
      <c r="D245" t="s">
        <v>110</v>
      </c>
      <c r="E245" t="s">
        <v>111</v>
      </c>
      <c r="F245" t="s">
        <v>112</v>
      </c>
      <c r="G245">
        <v>0</v>
      </c>
      <c r="H245">
        <v>0</v>
      </c>
      <c r="I245" s="5" t="str">
        <f>OutputTable[[#This Row],[ProjectName]]&amp;OutputTable[[#This Row],[Name]]&amp;OutputTable[[#This Row],[Type]]&amp;OutputTable[[#This Row],[Source]]</f>
        <v>Unnamed ProjectSystem.NumberOutNumber OutSystem</v>
      </c>
      <c r="J245" s="5">
        <f t="array" ref="J245">MAX(IF((ProjectInfoTable[ProjectName]=OutputTable[[#This Row],[ProjectName]]),(ProjectInfoTable[ProjectName]=OutputTable[[#This Row],[ProjectName]])*ProjectInfoTable[NumberOfReplications]))</f>
        <v>15</v>
      </c>
      <c r="K245" s="5">
        <f t="array" ref="K245">IFERROR(AVERAGE(IF((OutputTable[GroupByKey]=OutputTable[[#This Row],[GroupByKey]]),(OutputTable[GroupByKey]=OutputTable[[#This Row],[GroupByKey]])*OutputTable[RecordedValue])),0)</f>
        <v>0</v>
      </c>
      <c r="L245" s="5">
        <f t="array" ref="L245">IFERROR(_xlfn.STDEV.S(IF((OutputTable[GroupByKey]=OutputTable[[#This Row],[GroupByKey]]),(OutputTable[GroupByKey]=OutputTable[[#This Row],[GroupByKey]])*OutputTable[RecordedValue])),0)</f>
        <v>0</v>
      </c>
      <c r="M245" s="5">
        <f t="array" ref="M245">MAX(IF((ProjectInfoTable[ProjectName]=OutputTable[[#This Row],[ProjectName]]),(ProjectInfoTable[ProjectName]=OutputTable[[#This Row],[ProjectName]])*ProjectInfoTable[ConfidenceInterval]))</f>
        <v>0.95</v>
      </c>
      <c r="N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5" s="5">
        <f t="array" ref="O245">MIN(IF((OutputTable[GroupByKey]=OutputTable[[#This Row],[GroupByKey]]),(OutputTable[GroupByKey]=OutputTable[[#This Row],[GroupByKey]])*OutputTable[RecordedValue]))</f>
        <v>0</v>
      </c>
      <c r="P245" s="5">
        <f t="array" ref="P245">MAX(IF((OutputTable[GroupByKey]=OutputTable[[#This Row],[GroupByKey]]),(OutputTable[GroupByKey]=OutputTable[[#This Row],[GroupByKey]])*OutputTable[RecordedValue]))</f>
        <v>0</v>
      </c>
    </row>
    <row r="246" spans="1:16" x14ac:dyDescent="0.25">
      <c r="A246" t="s">
        <v>67</v>
      </c>
      <c r="B246" t="s">
        <v>70</v>
      </c>
      <c r="C246">
        <v>10</v>
      </c>
      <c r="D246" t="s">
        <v>113</v>
      </c>
      <c r="E246" t="s">
        <v>114</v>
      </c>
      <c r="F246" t="s">
        <v>73</v>
      </c>
      <c r="G246">
        <v>0</v>
      </c>
      <c r="H246">
        <v>0</v>
      </c>
      <c r="I246" s="5" t="str">
        <f>OutputTable[[#This Row],[ProjectName]]&amp;OutputTable[[#This Row],[Name]]&amp;OutputTable[[#This Row],[Type]]&amp;OutputTable[[#This Row],[Source]]</f>
        <v>Unnamed Projectassembler.NumberSeizedTotal Number SeizedResource</v>
      </c>
      <c r="J246" s="5">
        <f t="array" ref="J246">MAX(IF((ProjectInfoTable[ProjectName]=OutputTable[[#This Row],[ProjectName]]),(ProjectInfoTable[ProjectName]=OutputTable[[#This Row],[ProjectName]])*ProjectInfoTable[NumberOfReplications]))</f>
        <v>15</v>
      </c>
      <c r="K246" s="5">
        <f t="array" ref="K246">IFERROR(AVERAGE(IF((OutputTable[GroupByKey]=OutputTable[[#This Row],[GroupByKey]]),(OutputTable[GroupByKey]=OutputTable[[#This Row],[GroupByKey]])*OutputTable[RecordedValue])),0)</f>
        <v>0</v>
      </c>
      <c r="L246" s="5">
        <f t="array" ref="L246">IFERROR(_xlfn.STDEV.S(IF((OutputTable[GroupByKey]=OutputTable[[#This Row],[GroupByKey]]),(OutputTable[GroupByKey]=OutputTable[[#This Row],[GroupByKey]])*OutputTable[RecordedValue])),0)</f>
        <v>0</v>
      </c>
      <c r="M246" s="5">
        <f t="array" ref="M246">MAX(IF((ProjectInfoTable[ProjectName]=OutputTable[[#This Row],[ProjectName]]),(ProjectInfoTable[ProjectName]=OutputTable[[#This Row],[ProjectName]])*ProjectInfoTable[ConfidenceInterval]))</f>
        <v>0.95</v>
      </c>
      <c r="N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6" s="5">
        <f t="array" ref="O246">MIN(IF((OutputTable[GroupByKey]=OutputTable[[#This Row],[GroupByKey]]),(OutputTable[GroupByKey]=OutputTable[[#This Row],[GroupByKey]])*OutputTable[RecordedValue]))</f>
        <v>0</v>
      </c>
      <c r="P246" s="5">
        <f t="array" ref="P246">MAX(IF((OutputTable[GroupByKey]=OutputTable[[#This Row],[GroupByKey]]),(OutputTable[GroupByKey]=OutputTable[[#This Row],[GroupByKey]])*OutputTable[RecordedValue]))</f>
        <v>0</v>
      </c>
    </row>
    <row r="247" spans="1:16" x14ac:dyDescent="0.25">
      <c r="A247" t="s">
        <v>67</v>
      </c>
      <c r="B247" t="s">
        <v>70</v>
      </c>
      <c r="C247">
        <v>10</v>
      </c>
      <c r="D247" t="s">
        <v>115</v>
      </c>
      <c r="E247" t="s">
        <v>116</v>
      </c>
      <c r="F247" t="s">
        <v>73</v>
      </c>
      <c r="G247">
        <v>0</v>
      </c>
      <c r="H247">
        <v>0</v>
      </c>
      <c r="I247" s="5" t="str">
        <f>OutputTable[[#This Row],[ProjectName]]&amp;OutputTable[[#This Row],[Name]]&amp;OutputTable[[#This Row],[Type]]&amp;OutputTable[[#This Row],[Source]]</f>
        <v>Unnamed Projectassembler.ScheduledUtilizationScheduled UtilizationResource</v>
      </c>
      <c r="J247" s="5">
        <f t="array" ref="J247">MAX(IF((ProjectInfoTable[ProjectName]=OutputTable[[#This Row],[ProjectName]]),(ProjectInfoTable[ProjectName]=OutputTable[[#This Row],[ProjectName]])*ProjectInfoTable[NumberOfReplications]))</f>
        <v>15</v>
      </c>
      <c r="K247" s="5">
        <f t="array" ref="K247">IFERROR(AVERAGE(IF((OutputTable[GroupByKey]=OutputTable[[#This Row],[GroupByKey]]),(OutputTable[GroupByKey]=OutputTable[[#This Row],[GroupByKey]])*OutputTable[RecordedValue])),0)</f>
        <v>0</v>
      </c>
      <c r="L247" s="5">
        <f t="array" ref="L247">IFERROR(_xlfn.STDEV.S(IF((OutputTable[GroupByKey]=OutputTable[[#This Row],[GroupByKey]]),(OutputTable[GroupByKey]=OutputTable[[#This Row],[GroupByKey]])*OutputTable[RecordedValue])),0)</f>
        <v>0</v>
      </c>
      <c r="M247" s="5">
        <f t="array" ref="M247">MAX(IF((ProjectInfoTable[ProjectName]=OutputTable[[#This Row],[ProjectName]]),(ProjectInfoTable[ProjectName]=OutputTable[[#This Row],[ProjectName]])*ProjectInfoTable[ConfidenceInterval]))</f>
        <v>0.95</v>
      </c>
      <c r="N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7" s="5">
        <f t="array" ref="O247">MIN(IF((OutputTable[GroupByKey]=OutputTable[[#This Row],[GroupByKey]]),(OutputTable[GroupByKey]=OutputTable[[#This Row],[GroupByKey]])*OutputTable[RecordedValue]))</f>
        <v>0</v>
      </c>
      <c r="P247" s="5">
        <f t="array" ref="P247">MAX(IF((OutputTable[GroupByKey]=OutputTable[[#This Row],[GroupByKey]]),(OutputTable[GroupByKey]=OutputTable[[#This Row],[GroupByKey]])*OutputTable[RecordedValue]))</f>
        <v>0</v>
      </c>
    </row>
    <row r="248" spans="1:16" x14ac:dyDescent="0.25">
      <c r="A248" t="s">
        <v>67</v>
      </c>
      <c r="B248" t="s">
        <v>70</v>
      </c>
      <c r="C248">
        <v>10</v>
      </c>
      <c r="D248" t="s">
        <v>117</v>
      </c>
      <c r="E248" t="s">
        <v>114</v>
      </c>
      <c r="F248" t="s">
        <v>73</v>
      </c>
      <c r="G248">
        <v>0</v>
      </c>
      <c r="H248">
        <v>0</v>
      </c>
      <c r="I248" s="5" t="str">
        <f>OutputTable[[#This Row],[ProjectName]]&amp;OutputTable[[#This Row],[Name]]&amp;OutputTable[[#This Row],[Type]]&amp;OutputTable[[#This Row],[Source]]</f>
        <v>Unnamed Projectassemblyqcworker.NumberSeizedTotal Number SeizedResource</v>
      </c>
      <c r="J248" s="5">
        <f t="array" ref="J248">MAX(IF((ProjectInfoTable[ProjectName]=OutputTable[[#This Row],[ProjectName]]),(ProjectInfoTable[ProjectName]=OutputTable[[#This Row],[ProjectName]])*ProjectInfoTable[NumberOfReplications]))</f>
        <v>15</v>
      </c>
      <c r="K248" s="5">
        <f t="array" ref="K248">IFERROR(AVERAGE(IF((OutputTable[GroupByKey]=OutputTable[[#This Row],[GroupByKey]]),(OutputTable[GroupByKey]=OutputTable[[#This Row],[GroupByKey]])*OutputTable[RecordedValue])),0)</f>
        <v>0</v>
      </c>
      <c r="L248" s="5">
        <f t="array" ref="L248">IFERROR(_xlfn.STDEV.S(IF((OutputTable[GroupByKey]=OutputTable[[#This Row],[GroupByKey]]),(OutputTable[GroupByKey]=OutputTable[[#This Row],[GroupByKey]])*OutputTable[RecordedValue])),0)</f>
        <v>0</v>
      </c>
      <c r="M248" s="5">
        <f t="array" ref="M248">MAX(IF((ProjectInfoTable[ProjectName]=OutputTable[[#This Row],[ProjectName]]),(ProjectInfoTable[ProjectName]=OutputTable[[#This Row],[ProjectName]])*ProjectInfoTable[ConfidenceInterval]))</f>
        <v>0.95</v>
      </c>
      <c r="N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8" s="5">
        <f t="array" ref="O248">MIN(IF((OutputTable[GroupByKey]=OutputTable[[#This Row],[GroupByKey]]),(OutputTable[GroupByKey]=OutputTable[[#This Row],[GroupByKey]])*OutputTable[RecordedValue]))</f>
        <v>0</v>
      </c>
      <c r="P248" s="5">
        <f t="array" ref="P248">MAX(IF((OutputTable[GroupByKey]=OutputTable[[#This Row],[GroupByKey]]),(OutputTable[GroupByKey]=OutputTable[[#This Row],[GroupByKey]])*OutputTable[RecordedValue]))</f>
        <v>0</v>
      </c>
    </row>
    <row r="249" spans="1:16" x14ac:dyDescent="0.25">
      <c r="A249" t="s">
        <v>67</v>
      </c>
      <c r="B249" t="s">
        <v>70</v>
      </c>
      <c r="C249">
        <v>10</v>
      </c>
      <c r="D249" t="s">
        <v>118</v>
      </c>
      <c r="E249" t="s">
        <v>116</v>
      </c>
      <c r="F249" t="s">
        <v>73</v>
      </c>
      <c r="G249">
        <v>0</v>
      </c>
      <c r="H249">
        <v>0</v>
      </c>
      <c r="I249" s="5" t="str">
        <f>OutputTable[[#This Row],[ProjectName]]&amp;OutputTable[[#This Row],[Name]]&amp;OutputTable[[#This Row],[Type]]&amp;OutputTable[[#This Row],[Source]]</f>
        <v>Unnamed Projectassemblyqcworker.ScheduledUtilizationScheduled UtilizationResource</v>
      </c>
      <c r="J249" s="5">
        <f t="array" ref="J249">MAX(IF((ProjectInfoTable[ProjectName]=OutputTable[[#This Row],[ProjectName]]),(ProjectInfoTable[ProjectName]=OutputTable[[#This Row],[ProjectName]])*ProjectInfoTable[NumberOfReplications]))</f>
        <v>15</v>
      </c>
      <c r="K249" s="5">
        <f t="array" ref="K249">IFERROR(AVERAGE(IF((OutputTable[GroupByKey]=OutputTable[[#This Row],[GroupByKey]]),(OutputTable[GroupByKey]=OutputTable[[#This Row],[GroupByKey]])*OutputTable[RecordedValue])),0)</f>
        <v>0</v>
      </c>
      <c r="L249" s="5">
        <f t="array" ref="L249">IFERROR(_xlfn.STDEV.S(IF((OutputTable[GroupByKey]=OutputTable[[#This Row],[GroupByKey]]),(OutputTable[GroupByKey]=OutputTable[[#This Row],[GroupByKey]])*OutputTable[RecordedValue])),0)</f>
        <v>0</v>
      </c>
      <c r="M249" s="5">
        <f t="array" ref="M249">MAX(IF((ProjectInfoTable[ProjectName]=OutputTable[[#This Row],[ProjectName]]),(ProjectInfoTable[ProjectName]=OutputTable[[#This Row],[ProjectName]])*ProjectInfoTable[ConfidenceInterval]))</f>
        <v>0.95</v>
      </c>
      <c r="N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49" s="5">
        <f t="array" ref="O249">MIN(IF((OutputTable[GroupByKey]=OutputTable[[#This Row],[GroupByKey]]),(OutputTable[GroupByKey]=OutputTable[[#This Row],[GroupByKey]])*OutputTable[RecordedValue]))</f>
        <v>0</v>
      </c>
      <c r="P249" s="5">
        <f t="array" ref="P249">MAX(IF((OutputTable[GroupByKey]=OutputTable[[#This Row],[GroupByKey]]),(OutputTable[GroupByKey]=OutputTable[[#This Row],[GroupByKey]])*OutputTable[RecordedValue]))</f>
        <v>0</v>
      </c>
    </row>
    <row r="250" spans="1:16" x14ac:dyDescent="0.25">
      <c r="A250" t="s">
        <v>67</v>
      </c>
      <c r="B250" t="s">
        <v>70</v>
      </c>
      <c r="C250">
        <v>10</v>
      </c>
      <c r="D250" t="s">
        <v>119</v>
      </c>
      <c r="E250" t="s">
        <v>120</v>
      </c>
      <c r="F250" t="s">
        <v>79</v>
      </c>
      <c r="G250">
        <v>0</v>
      </c>
      <c r="H250">
        <v>0</v>
      </c>
      <c r="I250" s="5" t="str">
        <f>OutputTable[[#This Row],[ProjectName]]&amp;OutputTable[[#This Row],[Name]]&amp;OutputTable[[#This Row],[Type]]&amp;OutputTable[[#This Row],[Source]]</f>
        <v>Unnamed Projectbatched_parts.NumberInNumber InEntity</v>
      </c>
      <c r="J250" s="5">
        <f t="array" ref="J250">MAX(IF((ProjectInfoTable[ProjectName]=OutputTable[[#This Row],[ProjectName]]),(ProjectInfoTable[ProjectName]=OutputTable[[#This Row],[ProjectName]])*ProjectInfoTable[NumberOfReplications]))</f>
        <v>15</v>
      </c>
      <c r="K250" s="5">
        <f t="array" ref="K250">IFERROR(AVERAGE(IF((OutputTable[GroupByKey]=OutputTable[[#This Row],[GroupByKey]]),(OutputTable[GroupByKey]=OutputTable[[#This Row],[GroupByKey]])*OutputTable[RecordedValue])),0)</f>
        <v>0</v>
      </c>
      <c r="L250" s="5">
        <f t="array" ref="L250">IFERROR(_xlfn.STDEV.S(IF((OutputTable[GroupByKey]=OutputTable[[#This Row],[GroupByKey]]),(OutputTable[GroupByKey]=OutputTable[[#This Row],[GroupByKey]])*OutputTable[RecordedValue])),0)</f>
        <v>0</v>
      </c>
      <c r="M250" s="5">
        <f t="array" ref="M250">MAX(IF((ProjectInfoTable[ProjectName]=OutputTable[[#This Row],[ProjectName]]),(ProjectInfoTable[ProjectName]=OutputTable[[#This Row],[ProjectName]])*ProjectInfoTable[ConfidenceInterval]))</f>
        <v>0.95</v>
      </c>
      <c r="N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0" s="5">
        <f t="array" ref="O250">MIN(IF((OutputTable[GroupByKey]=OutputTable[[#This Row],[GroupByKey]]),(OutputTable[GroupByKey]=OutputTable[[#This Row],[GroupByKey]])*OutputTable[RecordedValue]))</f>
        <v>0</v>
      </c>
      <c r="P250" s="5">
        <f t="array" ref="P250">MAX(IF((OutputTable[GroupByKey]=OutputTable[[#This Row],[GroupByKey]]),(OutputTable[GroupByKey]=OutputTable[[#This Row],[GroupByKey]])*OutputTable[RecordedValue]))</f>
        <v>0</v>
      </c>
    </row>
    <row r="251" spans="1:16" x14ac:dyDescent="0.25">
      <c r="A251" t="s">
        <v>67</v>
      </c>
      <c r="B251" t="s">
        <v>70</v>
      </c>
      <c r="C251">
        <v>10</v>
      </c>
      <c r="D251" t="s">
        <v>121</v>
      </c>
      <c r="E251" t="s">
        <v>111</v>
      </c>
      <c r="F251" t="s">
        <v>79</v>
      </c>
      <c r="G251">
        <v>0</v>
      </c>
      <c r="H251">
        <v>0</v>
      </c>
      <c r="I251" s="5" t="str">
        <f>OutputTable[[#This Row],[ProjectName]]&amp;OutputTable[[#This Row],[Name]]&amp;OutputTable[[#This Row],[Type]]&amp;OutputTable[[#This Row],[Source]]</f>
        <v>Unnamed Projectbatched_parts.NumberOutNumber OutEntity</v>
      </c>
      <c r="J251" s="5">
        <f t="array" ref="J251">MAX(IF((ProjectInfoTable[ProjectName]=OutputTable[[#This Row],[ProjectName]]),(ProjectInfoTable[ProjectName]=OutputTable[[#This Row],[ProjectName]])*ProjectInfoTable[NumberOfReplications]))</f>
        <v>15</v>
      </c>
      <c r="K251" s="5">
        <f t="array" ref="K251">IFERROR(AVERAGE(IF((OutputTable[GroupByKey]=OutputTable[[#This Row],[GroupByKey]]),(OutputTable[GroupByKey]=OutputTable[[#This Row],[GroupByKey]])*OutputTable[RecordedValue])),0)</f>
        <v>0</v>
      </c>
      <c r="L251" s="5">
        <f t="array" ref="L251">IFERROR(_xlfn.STDEV.S(IF((OutputTable[GroupByKey]=OutputTable[[#This Row],[GroupByKey]]),(OutputTable[GroupByKey]=OutputTable[[#This Row],[GroupByKey]])*OutputTable[RecordedValue])),0)</f>
        <v>0</v>
      </c>
      <c r="M251" s="5">
        <f t="array" ref="M251">MAX(IF((ProjectInfoTable[ProjectName]=OutputTable[[#This Row],[ProjectName]]),(ProjectInfoTable[ProjectName]=OutputTable[[#This Row],[ProjectName]])*ProjectInfoTable[ConfidenceInterval]))</f>
        <v>0.95</v>
      </c>
      <c r="N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1" s="5">
        <f t="array" ref="O251">MIN(IF((OutputTable[GroupByKey]=OutputTable[[#This Row],[GroupByKey]]),(OutputTable[GroupByKey]=OutputTable[[#This Row],[GroupByKey]])*OutputTable[RecordedValue]))</f>
        <v>0</v>
      </c>
      <c r="P251" s="5">
        <f t="array" ref="P251">MAX(IF((OutputTable[GroupByKey]=OutputTable[[#This Row],[GroupByKey]]),(OutputTable[GroupByKey]=OutputTable[[#This Row],[GroupByKey]])*OutputTable[RecordedValue]))</f>
        <v>0</v>
      </c>
    </row>
    <row r="252" spans="1:16" x14ac:dyDescent="0.25">
      <c r="A252" t="s">
        <v>67</v>
      </c>
      <c r="B252" t="s">
        <v>70</v>
      </c>
      <c r="C252">
        <v>10</v>
      </c>
      <c r="D252" t="s">
        <v>122</v>
      </c>
      <c r="E252" t="s">
        <v>114</v>
      </c>
      <c r="F252" t="s">
        <v>73</v>
      </c>
      <c r="G252">
        <v>0</v>
      </c>
      <c r="H252">
        <v>0</v>
      </c>
      <c r="I252" s="5" t="str">
        <f>OutputTable[[#This Row],[ProjectName]]&amp;OutputTable[[#This Row],[Name]]&amp;OutputTable[[#This Row],[Type]]&amp;OutputTable[[#This Row],[Source]]</f>
        <v>Unnamed Projectcleaner.NumberSeizedTotal Number SeizedResource</v>
      </c>
      <c r="J252" s="5">
        <f t="array" ref="J252">MAX(IF((ProjectInfoTable[ProjectName]=OutputTable[[#This Row],[ProjectName]]),(ProjectInfoTable[ProjectName]=OutputTable[[#This Row],[ProjectName]])*ProjectInfoTable[NumberOfReplications]))</f>
        <v>15</v>
      </c>
      <c r="K252" s="5">
        <f t="array" ref="K252">IFERROR(AVERAGE(IF((OutputTable[GroupByKey]=OutputTable[[#This Row],[GroupByKey]]),(OutputTable[GroupByKey]=OutputTable[[#This Row],[GroupByKey]])*OutputTable[RecordedValue])),0)</f>
        <v>0</v>
      </c>
      <c r="L252" s="5">
        <f t="array" ref="L252">IFERROR(_xlfn.STDEV.S(IF((OutputTable[GroupByKey]=OutputTable[[#This Row],[GroupByKey]]),(OutputTable[GroupByKey]=OutputTable[[#This Row],[GroupByKey]])*OutputTable[RecordedValue])),0)</f>
        <v>0</v>
      </c>
      <c r="M252" s="5">
        <f t="array" ref="M252">MAX(IF((ProjectInfoTable[ProjectName]=OutputTable[[#This Row],[ProjectName]]),(ProjectInfoTable[ProjectName]=OutputTable[[#This Row],[ProjectName]])*ProjectInfoTable[ConfidenceInterval]))</f>
        <v>0.95</v>
      </c>
      <c r="N2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2" s="5">
        <f t="array" ref="O252">MIN(IF((OutputTable[GroupByKey]=OutputTable[[#This Row],[GroupByKey]]),(OutputTable[GroupByKey]=OutputTable[[#This Row],[GroupByKey]])*OutputTable[RecordedValue]))</f>
        <v>0</v>
      </c>
      <c r="P252" s="5">
        <f t="array" ref="P252">MAX(IF((OutputTable[GroupByKey]=OutputTable[[#This Row],[GroupByKey]]),(OutputTable[GroupByKey]=OutputTable[[#This Row],[GroupByKey]])*OutputTable[RecordedValue]))</f>
        <v>0</v>
      </c>
    </row>
    <row r="253" spans="1:16" x14ac:dyDescent="0.25">
      <c r="A253" t="s">
        <v>67</v>
      </c>
      <c r="B253" t="s">
        <v>70</v>
      </c>
      <c r="C253">
        <v>10</v>
      </c>
      <c r="D253" t="s">
        <v>123</v>
      </c>
      <c r="E253" t="s">
        <v>116</v>
      </c>
      <c r="F253" t="s">
        <v>73</v>
      </c>
      <c r="G253">
        <v>0</v>
      </c>
      <c r="H253">
        <v>0</v>
      </c>
      <c r="I253" s="5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253" s="5">
        <f t="array" ref="J253">MAX(IF((ProjectInfoTable[ProjectName]=OutputTable[[#This Row],[ProjectName]]),(ProjectInfoTable[ProjectName]=OutputTable[[#This Row],[ProjectName]])*ProjectInfoTable[NumberOfReplications]))</f>
        <v>15</v>
      </c>
      <c r="K253" s="5">
        <f t="array" ref="K253">IFERROR(AVERAGE(IF((OutputTable[GroupByKey]=OutputTable[[#This Row],[GroupByKey]]),(OutputTable[GroupByKey]=OutputTable[[#This Row],[GroupByKey]])*OutputTable[RecordedValue])),0)</f>
        <v>0</v>
      </c>
      <c r="L253" s="5">
        <f t="array" ref="L253">IFERROR(_xlfn.STDEV.S(IF((OutputTable[GroupByKey]=OutputTable[[#This Row],[GroupByKey]]),(OutputTable[GroupByKey]=OutputTable[[#This Row],[GroupByKey]])*OutputTable[RecordedValue])),0)</f>
        <v>0</v>
      </c>
      <c r="M253" s="5">
        <f t="array" ref="M253">MAX(IF((ProjectInfoTable[ProjectName]=OutputTable[[#This Row],[ProjectName]]),(ProjectInfoTable[ProjectName]=OutputTable[[#This Row],[ProjectName]])*ProjectInfoTable[ConfidenceInterval]))</f>
        <v>0.95</v>
      </c>
      <c r="N2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3" s="5">
        <f t="array" ref="O253">MIN(IF((OutputTable[GroupByKey]=OutputTable[[#This Row],[GroupByKey]]),(OutputTable[GroupByKey]=OutputTable[[#This Row],[GroupByKey]])*OutputTable[RecordedValue]))</f>
        <v>0</v>
      </c>
      <c r="P253" s="5">
        <f t="array" ref="P253">MAX(IF((OutputTable[GroupByKey]=OutputTable[[#This Row],[GroupByKey]]),(OutputTable[GroupByKey]=OutputTable[[#This Row],[GroupByKey]])*OutputTable[RecordedValue]))</f>
        <v>0</v>
      </c>
    </row>
    <row r="254" spans="1:16" x14ac:dyDescent="0.25">
      <c r="A254" t="s">
        <v>67</v>
      </c>
      <c r="B254" t="s">
        <v>70</v>
      </c>
      <c r="C254">
        <v>10</v>
      </c>
      <c r="D254" t="s">
        <v>124</v>
      </c>
      <c r="E254" t="s">
        <v>114</v>
      </c>
      <c r="F254" t="s">
        <v>73</v>
      </c>
      <c r="G254">
        <v>0</v>
      </c>
      <c r="H254">
        <v>0</v>
      </c>
      <c r="I254" s="5" t="str">
        <f>OutputTable[[#This Row],[ProjectName]]&amp;OutputTable[[#This Row],[Name]]&amp;OutputTable[[#This Row],[Type]]&amp;OutputTable[[#This Row],[Source]]</f>
        <v>Unnamed Projectcutter.NumberSeizedTotal Number SeizedResource</v>
      </c>
      <c r="J254" s="5">
        <f t="array" ref="J254">MAX(IF((ProjectInfoTable[ProjectName]=OutputTable[[#This Row],[ProjectName]]),(ProjectInfoTable[ProjectName]=OutputTable[[#This Row],[ProjectName]])*ProjectInfoTable[NumberOfReplications]))</f>
        <v>15</v>
      </c>
      <c r="K254" s="5">
        <f t="array" ref="K254">IFERROR(AVERAGE(IF((OutputTable[GroupByKey]=OutputTable[[#This Row],[GroupByKey]]),(OutputTable[GroupByKey]=OutputTable[[#This Row],[GroupByKey]])*OutputTable[RecordedValue])),0)</f>
        <v>0</v>
      </c>
      <c r="L254" s="5">
        <f t="array" ref="L254">IFERROR(_xlfn.STDEV.S(IF((OutputTable[GroupByKey]=OutputTable[[#This Row],[GroupByKey]]),(OutputTable[GroupByKey]=OutputTable[[#This Row],[GroupByKey]])*OutputTable[RecordedValue])),0)</f>
        <v>0</v>
      </c>
      <c r="M254" s="5">
        <f t="array" ref="M254">MAX(IF((ProjectInfoTable[ProjectName]=OutputTable[[#This Row],[ProjectName]]),(ProjectInfoTable[ProjectName]=OutputTable[[#This Row],[ProjectName]])*ProjectInfoTable[ConfidenceInterval]))</f>
        <v>0.95</v>
      </c>
      <c r="N2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4" s="5">
        <f t="array" ref="O254">MIN(IF((OutputTable[GroupByKey]=OutputTable[[#This Row],[GroupByKey]]),(OutputTable[GroupByKey]=OutputTable[[#This Row],[GroupByKey]])*OutputTable[RecordedValue]))</f>
        <v>0</v>
      </c>
      <c r="P254" s="5">
        <f t="array" ref="P254">MAX(IF((OutputTable[GroupByKey]=OutputTable[[#This Row],[GroupByKey]]),(OutputTable[GroupByKey]=OutputTable[[#This Row],[GroupByKey]])*OutputTable[RecordedValue]))</f>
        <v>0</v>
      </c>
    </row>
    <row r="255" spans="1:16" x14ac:dyDescent="0.25">
      <c r="A255" t="s">
        <v>67</v>
      </c>
      <c r="B255" t="s">
        <v>70</v>
      </c>
      <c r="C255">
        <v>10</v>
      </c>
      <c r="D255" t="s">
        <v>125</v>
      </c>
      <c r="E255" t="s">
        <v>116</v>
      </c>
      <c r="F255" t="s">
        <v>73</v>
      </c>
      <c r="G255">
        <v>0</v>
      </c>
      <c r="H255">
        <v>0</v>
      </c>
      <c r="I255" s="5" t="str">
        <f>OutputTable[[#This Row],[ProjectName]]&amp;OutputTable[[#This Row],[Name]]&amp;OutputTable[[#This Row],[Type]]&amp;OutputTable[[#This Row],[Source]]</f>
        <v>Unnamed Projectcutter.ScheduledUtilizationScheduled UtilizationResource</v>
      </c>
      <c r="J255" s="5">
        <f t="array" ref="J255">MAX(IF((ProjectInfoTable[ProjectName]=OutputTable[[#This Row],[ProjectName]]),(ProjectInfoTable[ProjectName]=OutputTable[[#This Row],[ProjectName]])*ProjectInfoTable[NumberOfReplications]))</f>
        <v>15</v>
      </c>
      <c r="K255" s="5">
        <f t="array" ref="K255">IFERROR(AVERAGE(IF((OutputTable[GroupByKey]=OutputTable[[#This Row],[GroupByKey]]),(OutputTable[GroupByKey]=OutputTable[[#This Row],[GroupByKey]])*OutputTable[RecordedValue])),0)</f>
        <v>0</v>
      </c>
      <c r="L255" s="5">
        <f t="array" ref="L255">IFERROR(_xlfn.STDEV.S(IF((OutputTable[GroupByKey]=OutputTable[[#This Row],[GroupByKey]]),(OutputTable[GroupByKey]=OutputTable[[#This Row],[GroupByKey]])*OutputTable[RecordedValue])),0)</f>
        <v>0</v>
      </c>
      <c r="M255" s="5">
        <f t="array" ref="M255">MAX(IF((ProjectInfoTable[ProjectName]=OutputTable[[#This Row],[ProjectName]]),(ProjectInfoTable[ProjectName]=OutputTable[[#This Row],[ProjectName]])*ProjectInfoTable[ConfidenceInterval]))</f>
        <v>0.95</v>
      </c>
      <c r="N2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5" s="5">
        <f t="array" ref="O255">MIN(IF((OutputTable[GroupByKey]=OutputTable[[#This Row],[GroupByKey]]),(OutputTable[GroupByKey]=OutputTable[[#This Row],[GroupByKey]])*OutputTable[RecordedValue]))</f>
        <v>0</v>
      </c>
      <c r="P255" s="5">
        <f t="array" ref="P255">MAX(IF((OutputTable[GroupByKey]=OutputTable[[#This Row],[GroupByKey]]),(OutputTable[GroupByKey]=OutputTable[[#This Row],[GroupByKey]])*OutputTable[RecordedValue]))</f>
        <v>0</v>
      </c>
    </row>
    <row r="256" spans="1:16" x14ac:dyDescent="0.25">
      <c r="A256" t="s">
        <v>67</v>
      </c>
      <c r="B256" t="s">
        <v>70</v>
      </c>
      <c r="C256">
        <v>10</v>
      </c>
      <c r="D256" t="s">
        <v>126</v>
      </c>
      <c r="E256" t="s">
        <v>114</v>
      </c>
      <c r="F256" t="s">
        <v>73</v>
      </c>
      <c r="G256">
        <v>0</v>
      </c>
      <c r="H256">
        <v>0</v>
      </c>
      <c r="I256" s="5" t="str">
        <f>OutputTable[[#This Row],[ProjectName]]&amp;OutputTable[[#This Row],[Name]]&amp;OutputTable[[#This Row],[Type]]&amp;OutputTable[[#This Row],[Source]]</f>
        <v>Unnamed Projectfinalqcman.NumberSeizedTotal Number SeizedResource</v>
      </c>
      <c r="J256" s="5">
        <f t="array" ref="J256">MAX(IF((ProjectInfoTable[ProjectName]=OutputTable[[#This Row],[ProjectName]]),(ProjectInfoTable[ProjectName]=OutputTable[[#This Row],[ProjectName]])*ProjectInfoTable[NumberOfReplications]))</f>
        <v>15</v>
      </c>
      <c r="K256" s="5">
        <f t="array" ref="K256">IFERROR(AVERAGE(IF((OutputTable[GroupByKey]=OutputTable[[#This Row],[GroupByKey]]),(OutputTable[GroupByKey]=OutputTable[[#This Row],[GroupByKey]])*OutputTable[RecordedValue])),0)</f>
        <v>0</v>
      </c>
      <c r="L256" s="5">
        <f t="array" ref="L256">IFERROR(_xlfn.STDEV.S(IF((OutputTable[GroupByKey]=OutputTable[[#This Row],[GroupByKey]]),(OutputTable[GroupByKey]=OutputTable[[#This Row],[GroupByKey]])*OutputTable[RecordedValue])),0)</f>
        <v>0</v>
      </c>
      <c r="M256" s="5">
        <f t="array" ref="M256">MAX(IF((ProjectInfoTable[ProjectName]=OutputTable[[#This Row],[ProjectName]]),(ProjectInfoTable[ProjectName]=OutputTable[[#This Row],[ProjectName]])*ProjectInfoTable[ConfidenceInterval]))</f>
        <v>0.95</v>
      </c>
      <c r="N2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6" s="5">
        <f t="array" ref="O256">MIN(IF((OutputTable[GroupByKey]=OutputTable[[#This Row],[GroupByKey]]),(OutputTable[GroupByKey]=OutputTable[[#This Row],[GroupByKey]])*OutputTable[RecordedValue]))</f>
        <v>0</v>
      </c>
      <c r="P256" s="5">
        <f t="array" ref="P256">MAX(IF((OutputTable[GroupByKey]=OutputTable[[#This Row],[GroupByKey]]),(OutputTable[GroupByKey]=OutputTable[[#This Row],[GroupByKey]])*OutputTable[RecordedValue]))</f>
        <v>0</v>
      </c>
    </row>
    <row r="257" spans="1:16" x14ac:dyDescent="0.25">
      <c r="A257" t="s">
        <v>67</v>
      </c>
      <c r="B257" t="s">
        <v>70</v>
      </c>
      <c r="C257">
        <v>10</v>
      </c>
      <c r="D257" t="s">
        <v>127</v>
      </c>
      <c r="E257" t="s">
        <v>116</v>
      </c>
      <c r="F257" t="s">
        <v>73</v>
      </c>
      <c r="G257">
        <v>0</v>
      </c>
      <c r="H257">
        <v>0</v>
      </c>
      <c r="I257" s="5" t="str">
        <f>OutputTable[[#This Row],[ProjectName]]&amp;OutputTable[[#This Row],[Name]]&amp;OutputTable[[#This Row],[Type]]&amp;OutputTable[[#This Row],[Source]]</f>
        <v>Unnamed Projectfinalqcman.ScheduledUtilizationScheduled UtilizationResource</v>
      </c>
      <c r="J257" s="5">
        <f t="array" ref="J257">MAX(IF((ProjectInfoTable[ProjectName]=OutputTable[[#This Row],[ProjectName]]),(ProjectInfoTable[ProjectName]=OutputTable[[#This Row],[ProjectName]])*ProjectInfoTable[NumberOfReplications]))</f>
        <v>15</v>
      </c>
      <c r="K257" s="5">
        <f t="array" ref="K257">IFERROR(AVERAGE(IF((OutputTable[GroupByKey]=OutputTable[[#This Row],[GroupByKey]]),(OutputTable[GroupByKey]=OutputTable[[#This Row],[GroupByKey]])*OutputTable[RecordedValue])),0)</f>
        <v>0</v>
      </c>
      <c r="L257" s="5">
        <f t="array" ref="L257">IFERROR(_xlfn.STDEV.S(IF((OutputTable[GroupByKey]=OutputTable[[#This Row],[GroupByKey]]),(OutputTable[GroupByKey]=OutputTable[[#This Row],[GroupByKey]])*OutputTable[RecordedValue])),0)</f>
        <v>0</v>
      </c>
      <c r="M257" s="5">
        <f t="array" ref="M257">MAX(IF((ProjectInfoTable[ProjectName]=OutputTable[[#This Row],[ProjectName]]),(ProjectInfoTable[ProjectName]=OutputTable[[#This Row],[ProjectName]])*ProjectInfoTable[ConfidenceInterval]))</f>
        <v>0.95</v>
      </c>
      <c r="N2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7" s="5">
        <f t="array" ref="O257">MIN(IF((OutputTable[GroupByKey]=OutputTable[[#This Row],[GroupByKey]]),(OutputTable[GroupByKey]=OutputTable[[#This Row],[GroupByKey]])*OutputTable[RecordedValue]))</f>
        <v>0</v>
      </c>
      <c r="P257" s="5">
        <f t="array" ref="P257">MAX(IF((OutputTable[GroupByKey]=OutputTable[[#This Row],[GroupByKey]]),(OutputTable[GroupByKey]=OutputTable[[#This Row],[GroupByKey]])*OutputTable[RecordedValue]))</f>
        <v>0</v>
      </c>
    </row>
    <row r="258" spans="1:16" x14ac:dyDescent="0.25">
      <c r="A258" t="s">
        <v>67</v>
      </c>
      <c r="B258" t="s">
        <v>70</v>
      </c>
      <c r="C258">
        <v>10</v>
      </c>
      <c r="D258" t="s">
        <v>128</v>
      </c>
      <c r="E258" t="s">
        <v>114</v>
      </c>
      <c r="F258" t="s">
        <v>73</v>
      </c>
      <c r="G258">
        <v>0</v>
      </c>
      <c r="H258">
        <v>0</v>
      </c>
      <c r="I258" s="5" t="str">
        <f>OutputTable[[#This Row],[ProjectName]]&amp;OutputTable[[#This Row],[Name]]&amp;OutputTable[[#This Row],[Type]]&amp;OutputTable[[#This Row],[Source]]</f>
        <v>Unnamed Projectpaintingmachine.NumberSeizedTotal Number SeizedResource</v>
      </c>
      <c r="J258" s="5">
        <f t="array" ref="J258">MAX(IF((ProjectInfoTable[ProjectName]=OutputTable[[#This Row],[ProjectName]]),(ProjectInfoTable[ProjectName]=OutputTable[[#This Row],[ProjectName]])*ProjectInfoTable[NumberOfReplications]))</f>
        <v>15</v>
      </c>
      <c r="K258" s="5">
        <f t="array" ref="K258">IFERROR(AVERAGE(IF((OutputTable[GroupByKey]=OutputTable[[#This Row],[GroupByKey]]),(OutputTable[GroupByKey]=OutputTable[[#This Row],[GroupByKey]])*OutputTable[RecordedValue])),0)</f>
        <v>0</v>
      </c>
      <c r="L258" s="5">
        <f t="array" ref="L258">IFERROR(_xlfn.STDEV.S(IF((OutputTable[GroupByKey]=OutputTable[[#This Row],[GroupByKey]]),(OutputTable[GroupByKey]=OutputTable[[#This Row],[GroupByKey]])*OutputTable[RecordedValue])),0)</f>
        <v>0</v>
      </c>
      <c r="M258" s="5">
        <f t="array" ref="M258">MAX(IF((ProjectInfoTable[ProjectName]=OutputTable[[#This Row],[ProjectName]]),(ProjectInfoTable[ProjectName]=OutputTable[[#This Row],[ProjectName]])*ProjectInfoTable[ConfidenceInterval]))</f>
        <v>0.95</v>
      </c>
      <c r="N2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8" s="5">
        <f t="array" ref="O258">MIN(IF((OutputTable[GroupByKey]=OutputTable[[#This Row],[GroupByKey]]),(OutputTable[GroupByKey]=OutputTable[[#This Row],[GroupByKey]])*OutputTable[RecordedValue]))</f>
        <v>0</v>
      </c>
      <c r="P258" s="5">
        <f t="array" ref="P258">MAX(IF((OutputTable[GroupByKey]=OutputTable[[#This Row],[GroupByKey]]),(OutputTable[GroupByKey]=OutputTable[[#This Row],[GroupByKey]])*OutputTable[RecordedValue]))</f>
        <v>0</v>
      </c>
    </row>
    <row r="259" spans="1:16" x14ac:dyDescent="0.25">
      <c r="A259" t="s">
        <v>67</v>
      </c>
      <c r="B259" t="s">
        <v>70</v>
      </c>
      <c r="C259">
        <v>10</v>
      </c>
      <c r="D259" t="s">
        <v>129</v>
      </c>
      <c r="E259" t="s">
        <v>116</v>
      </c>
      <c r="F259" t="s">
        <v>73</v>
      </c>
      <c r="G259">
        <v>0</v>
      </c>
      <c r="H259">
        <v>0</v>
      </c>
      <c r="I259" s="5" t="str">
        <f>OutputTable[[#This Row],[ProjectName]]&amp;OutputTable[[#This Row],[Name]]&amp;OutputTable[[#This Row],[Type]]&amp;OutputTable[[#This Row],[Source]]</f>
        <v>Unnamed Projectpaintingmachine.ScheduledUtilizationScheduled UtilizationResource</v>
      </c>
      <c r="J259" s="5">
        <f t="array" ref="J259">MAX(IF((ProjectInfoTable[ProjectName]=OutputTable[[#This Row],[ProjectName]]),(ProjectInfoTable[ProjectName]=OutputTable[[#This Row],[ProjectName]])*ProjectInfoTable[NumberOfReplications]))</f>
        <v>15</v>
      </c>
      <c r="K259" s="5">
        <f t="array" ref="K259">IFERROR(AVERAGE(IF((OutputTable[GroupByKey]=OutputTable[[#This Row],[GroupByKey]]),(OutputTable[GroupByKey]=OutputTable[[#This Row],[GroupByKey]])*OutputTable[RecordedValue])),0)</f>
        <v>0</v>
      </c>
      <c r="L259" s="5">
        <f t="array" ref="L259">IFERROR(_xlfn.STDEV.S(IF((OutputTable[GroupByKey]=OutputTable[[#This Row],[GroupByKey]]),(OutputTable[GroupByKey]=OutputTable[[#This Row],[GroupByKey]])*OutputTable[RecordedValue])),0)</f>
        <v>0</v>
      </c>
      <c r="M259" s="5">
        <f t="array" ref="M259">MAX(IF((ProjectInfoTable[ProjectName]=OutputTable[[#This Row],[ProjectName]]),(ProjectInfoTable[ProjectName]=OutputTable[[#This Row],[ProjectName]])*ProjectInfoTable[ConfidenceInterval]))</f>
        <v>0.95</v>
      </c>
      <c r="N2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9" s="5">
        <f t="array" ref="O259">MIN(IF((OutputTable[GroupByKey]=OutputTable[[#This Row],[GroupByKey]]),(OutputTable[GroupByKey]=OutputTable[[#This Row],[GroupByKey]])*OutputTable[RecordedValue]))</f>
        <v>0</v>
      </c>
      <c r="P259" s="5">
        <f t="array" ref="P259">MAX(IF((OutputTable[GroupByKey]=OutputTable[[#This Row],[GroupByKey]]),(OutputTable[GroupByKey]=OutputTable[[#This Row],[GroupByKey]])*OutputTable[RecordedValue]))</f>
        <v>0</v>
      </c>
    </row>
    <row r="260" spans="1:16" x14ac:dyDescent="0.25">
      <c r="A260" t="s">
        <v>67</v>
      </c>
      <c r="B260" t="s">
        <v>70</v>
      </c>
      <c r="C260">
        <v>10</v>
      </c>
      <c r="D260" t="s">
        <v>130</v>
      </c>
      <c r="E260" t="s">
        <v>114</v>
      </c>
      <c r="F260" t="s">
        <v>73</v>
      </c>
      <c r="G260">
        <v>0</v>
      </c>
      <c r="H260">
        <v>0</v>
      </c>
      <c r="I260" s="5" t="str">
        <f>OutputTable[[#This Row],[ProjectName]]&amp;OutputTable[[#This Row],[Name]]&amp;OutputTable[[#This Row],[Type]]&amp;OutputTable[[#This Row],[Source]]</f>
        <v>Unnamed Projectpaintingoperator.NumberSeizedTotal Number SeizedResource</v>
      </c>
      <c r="J260" s="5">
        <f t="array" ref="J260">MAX(IF((ProjectInfoTable[ProjectName]=OutputTable[[#This Row],[ProjectName]]),(ProjectInfoTable[ProjectName]=OutputTable[[#This Row],[ProjectName]])*ProjectInfoTable[NumberOfReplications]))</f>
        <v>15</v>
      </c>
      <c r="K260" s="5">
        <f t="array" ref="K260">IFERROR(AVERAGE(IF((OutputTable[GroupByKey]=OutputTable[[#This Row],[GroupByKey]]),(OutputTable[GroupByKey]=OutputTable[[#This Row],[GroupByKey]])*OutputTable[RecordedValue])),0)</f>
        <v>0</v>
      </c>
      <c r="L260" s="5">
        <f t="array" ref="L260">IFERROR(_xlfn.STDEV.S(IF((OutputTable[GroupByKey]=OutputTable[[#This Row],[GroupByKey]]),(OutputTable[GroupByKey]=OutputTable[[#This Row],[GroupByKey]])*OutputTable[RecordedValue])),0)</f>
        <v>0</v>
      </c>
      <c r="M260" s="5">
        <f t="array" ref="M260">MAX(IF((ProjectInfoTable[ProjectName]=OutputTable[[#This Row],[ProjectName]]),(ProjectInfoTable[ProjectName]=OutputTable[[#This Row],[ProjectName]])*ProjectInfoTable[ConfidenceInterval]))</f>
        <v>0.95</v>
      </c>
      <c r="N2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0" s="5">
        <f t="array" ref="O260">MIN(IF((OutputTable[GroupByKey]=OutputTable[[#This Row],[GroupByKey]]),(OutputTable[GroupByKey]=OutputTable[[#This Row],[GroupByKey]])*OutputTable[RecordedValue]))</f>
        <v>0</v>
      </c>
      <c r="P260" s="5">
        <f t="array" ref="P260">MAX(IF((OutputTable[GroupByKey]=OutputTable[[#This Row],[GroupByKey]]),(OutputTable[GroupByKey]=OutputTable[[#This Row],[GroupByKey]])*OutputTable[RecordedValue]))</f>
        <v>0</v>
      </c>
    </row>
    <row r="261" spans="1:16" x14ac:dyDescent="0.25">
      <c r="A261" t="s">
        <v>67</v>
      </c>
      <c r="B261" t="s">
        <v>70</v>
      </c>
      <c r="C261">
        <v>10</v>
      </c>
      <c r="D261" t="s">
        <v>131</v>
      </c>
      <c r="E261" t="s">
        <v>116</v>
      </c>
      <c r="F261" t="s">
        <v>73</v>
      </c>
      <c r="G261">
        <v>0</v>
      </c>
      <c r="H261">
        <v>0</v>
      </c>
      <c r="I261" s="5" t="str">
        <f>OutputTable[[#This Row],[ProjectName]]&amp;OutputTable[[#This Row],[Name]]&amp;OutputTable[[#This Row],[Type]]&amp;OutputTable[[#This Row],[Source]]</f>
        <v>Unnamed Projectpaintingoperator.ScheduledUtilizationScheduled UtilizationResource</v>
      </c>
      <c r="J261" s="5">
        <f t="array" ref="J261">MAX(IF((ProjectInfoTable[ProjectName]=OutputTable[[#This Row],[ProjectName]]),(ProjectInfoTable[ProjectName]=OutputTable[[#This Row],[ProjectName]])*ProjectInfoTable[NumberOfReplications]))</f>
        <v>15</v>
      </c>
      <c r="K261" s="5">
        <f t="array" ref="K261">IFERROR(AVERAGE(IF((OutputTable[GroupByKey]=OutputTable[[#This Row],[GroupByKey]]),(OutputTable[GroupByKey]=OutputTable[[#This Row],[GroupByKey]])*OutputTable[RecordedValue])),0)</f>
        <v>0</v>
      </c>
      <c r="L261" s="5">
        <f t="array" ref="L261">IFERROR(_xlfn.STDEV.S(IF((OutputTable[GroupByKey]=OutputTable[[#This Row],[GroupByKey]]),(OutputTable[GroupByKey]=OutputTable[[#This Row],[GroupByKey]])*OutputTable[RecordedValue])),0)</f>
        <v>0</v>
      </c>
      <c r="M261" s="5">
        <f t="array" ref="M261">MAX(IF((ProjectInfoTable[ProjectName]=OutputTable[[#This Row],[ProjectName]]),(ProjectInfoTable[ProjectName]=OutputTable[[#This Row],[ProjectName]])*ProjectInfoTable[ConfidenceInterval]))</f>
        <v>0.95</v>
      </c>
      <c r="N2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1" s="5">
        <f t="array" ref="O261">MIN(IF((OutputTable[GroupByKey]=OutputTable[[#This Row],[GroupByKey]]),(OutputTable[GroupByKey]=OutputTable[[#This Row],[GroupByKey]])*OutputTable[RecordedValue]))</f>
        <v>0</v>
      </c>
      <c r="P261" s="5">
        <f t="array" ref="P261">MAX(IF((OutputTable[GroupByKey]=OutputTable[[#This Row],[GroupByKey]]),(OutputTable[GroupByKey]=OutputTable[[#This Row],[GroupByKey]])*OutputTable[RecordedValue]))</f>
        <v>0</v>
      </c>
    </row>
    <row r="262" spans="1:16" x14ac:dyDescent="0.25">
      <c r="A262" t="s">
        <v>67</v>
      </c>
      <c r="B262" t="s">
        <v>70</v>
      </c>
      <c r="C262">
        <v>10</v>
      </c>
      <c r="D262" t="s">
        <v>132</v>
      </c>
      <c r="E262" t="s">
        <v>114</v>
      </c>
      <c r="F262" t="s">
        <v>73</v>
      </c>
      <c r="G262">
        <v>0</v>
      </c>
      <c r="H262">
        <v>0</v>
      </c>
      <c r="I262" s="5" t="str">
        <f>OutputTable[[#This Row],[ProjectName]]&amp;OutputTable[[#This Row],[Name]]&amp;OutputTable[[#This Row],[Type]]&amp;OutputTable[[#This Row],[Source]]</f>
        <v>Unnamed Projectsandblastmachine.NumberSeizedTotal Number SeizedResource</v>
      </c>
      <c r="J262" s="5">
        <f t="array" ref="J262">MAX(IF((ProjectInfoTable[ProjectName]=OutputTable[[#This Row],[ProjectName]]),(ProjectInfoTable[ProjectName]=OutputTable[[#This Row],[ProjectName]])*ProjectInfoTable[NumberOfReplications]))</f>
        <v>15</v>
      </c>
      <c r="K262" s="5">
        <f t="array" ref="K262">IFERROR(AVERAGE(IF((OutputTable[GroupByKey]=OutputTable[[#This Row],[GroupByKey]]),(OutputTable[GroupByKey]=OutputTable[[#This Row],[GroupByKey]])*OutputTable[RecordedValue])),0)</f>
        <v>0</v>
      </c>
      <c r="L262" s="5">
        <f t="array" ref="L262">IFERROR(_xlfn.STDEV.S(IF((OutputTable[GroupByKey]=OutputTable[[#This Row],[GroupByKey]]),(OutputTable[GroupByKey]=OutputTable[[#This Row],[GroupByKey]])*OutputTable[RecordedValue])),0)</f>
        <v>0</v>
      </c>
      <c r="M262" s="5">
        <f t="array" ref="M262">MAX(IF((ProjectInfoTable[ProjectName]=OutputTable[[#This Row],[ProjectName]]),(ProjectInfoTable[ProjectName]=OutputTable[[#This Row],[ProjectName]])*ProjectInfoTable[ConfidenceInterval]))</f>
        <v>0.95</v>
      </c>
      <c r="N2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2" s="5">
        <f t="array" ref="O262">MIN(IF((OutputTable[GroupByKey]=OutputTable[[#This Row],[GroupByKey]]),(OutputTable[GroupByKey]=OutputTable[[#This Row],[GroupByKey]])*OutputTable[RecordedValue]))</f>
        <v>0</v>
      </c>
      <c r="P262" s="5">
        <f t="array" ref="P262">MAX(IF((OutputTable[GroupByKey]=OutputTable[[#This Row],[GroupByKey]]),(OutputTable[GroupByKey]=OutputTable[[#This Row],[GroupByKey]])*OutputTable[RecordedValue]))</f>
        <v>0</v>
      </c>
    </row>
    <row r="263" spans="1:16" x14ac:dyDescent="0.25">
      <c r="A263" t="s">
        <v>67</v>
      </c>
      <c r="B263" t="s">
        <v>70</v>
      </c>
      <c r="C263">
        <v>10</v>
      </c>
      <c r="D263" t="s">
        <v>133</v>
      </c>
      <c r="E263" t="s">
        <v>116</v>
      </c>
      <c r="F263" t="s">
        <v>73</v>
      </c>
      <c r="G263">
        <v>0</v>
      </c>
      <c r="H263">
        <v>0</v>
      </c>
      <c r="I263" s="5" t="str">
        <f>OutputTable[[#This Row],[ProjectName]]&amp;OutputTable[[#This Row],[Name]]&amp;OutputTable[[#This Row],[Type]]&amp;OutputTable[[#This Row],[Source]]</f>
        <v>Unnamed Projectsandblastmachine.ScheduledUtilizationScheduled UtilizationResource</v>
      </c>
      <c r="J263" s="5">
        <f t="array" ref="J263">MAX(IF((ProjectInfoTable[ProjectName]=OutputTable[[#This Row],[ProjectName]]),(ProjectInfoTable[ProjectName]=OutputTable[[#This Row],[ProjectName]])*ProjectInfoTable[NumberOfReplications]))</f>
        <v>15</v>
      </c>
      <c r="K263" s="5">
        <f t="array" ref="K263">IFERROR(AVERAGE(IF((OutputTable[GroupByKey]=OutputTable[[#This Row],[GroupByKey]]),(OutputTable[GroupByKey]=OutputTable[[#This Row],[GroupByKey]])*OutputTable[RecordedValue])),0)</f>
        <v>0</v>
      </c>
      <c r="L263" s="5">
        <f t="array" ref="L263">IFERROR(_xlfn.STDEV.S(IF((OutputTable[GroupByKey]=OutputTable[[#This Row],[GroupByKey]]),(OutputTable[GroupByKey]=OutputTable[[#This Row],[GroupByKey]])*OutputTable[RecordedValue])),0)</f>
        <v>0</v>
      </c>
      <c r="M263" s="5">
        <f t="array" ref="M263">MAX(IF((ProjectInfoTable[ProjectName]=OutputTable[[#This Row],[ProjectName]]),(ProjectInfoTable[ProjectName]=OutputTable[[#This Row],[ProjectName]])*ProjectInfoTable[ConfidenceInterval]))</f>
        <v>0.95</v>
      </c>
      <c r="N2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3" s="5">
        <f t="array" ref="O263">MIN(IF((OutputTable[GroupByKey]=OutputTable[[#This Row],[GroupByKey]]),(OutputTable[GroupByKey]=OutputTable[[#This Row],[GroupByKey]])*OutputTable[RecordedValue]))</f>
        <v>0</v>
      </c>
      <c r="P263" s="5">
        <f t="array" ref="P263">MAX(IF((OutputTable[GroupByKey]=OutputTable[[#This Row],[GroupByKey]]),(OutputTable[GroupByKey]=OutputTable[[#This Row],[GroupByKey]])*OutputTable[RecordedValue]))</f>
        <v>0</v>
      </c>
    </row>
    <row r="264" spans="1:16" x14ac:dyDescent="0.25">
      <c r="A264" t="s">
        <v>67</v>
      </c>
      <c r="B264" t="s">
        <v>70</v>
      </c>
      <c r="C264">
        <v>10</v>
      </c>
      <c r="D264" t="s">
        <v>134</v>
      </c>
      <c r="E264" t="s">
        <v>114</v>
      </c>
      <c r="F264" t="s">
        <v>73</v>
      </c>
      <c r="G264">
        <v>0</v>
      </c>
      <c r="H264">
        <v>0</v>
      </c>
      <c r="I264" s="5" t="str">
        <f>OutputTable[[#This Row],[ProjectName]]&amp;OutputTable[[#This Row],[Name]]&amp;OutputTable[[#This Row],[Type]]&amp;OutputTable[[#This Row],[Source]]</f>
        <v>Unnamed Projectsandblastoperator.NumberSeizedTotal Number SeizedResource</v>
      </c>
      <c r="J264" s="5">
        <f t="array" ref="J264">MAX(IF((ProjectInfoTable[ProjectName]=OutputTable[[#This Row],[ProjectName]]),(ProjectInfoTable[ProjectName]=OutputTable[[#This Row],[ProjectName]])*ProjectInfoTable[NumberOfReplications]))</f>
        <v>15</v>
      </c>
      <c r="K264" s="5">
        <f t="array" ref="K264">IFERROR(AVERAGE(IF((OutputTable[GroupByKey]=OutputTable[[#This Row],[GroupByKey]]),(OutputTable[GroupByKey]=OutputTable[[#This Row],[GroupByKey]])*OutputTable[RecordedValue])),0)</f>
        <v>0</v>
      </c>
      <c r="L264" s="5">
        <f t="array" ref="L264">IFERROR(_xlfn.STDEV.S(IF((OutputTable[GroupByKey]=OutputTable[[#This Row],[GroupByKey]]),(OutputTable[GroupByKey]=OutputTable[[#This Row],[GroupByKey]])*OutputTable[RecordedValue])),0)</f>
        <v>0</v>
      </c>
      <c r="M264" s="5">
        <f t="array" ref="M264">MAX(IF((ProjectInfoTable[ProjectName]=OutputTable[[#This Row],[ProjectName]]),(ProjectInfoTable[ProjectName]=OutputTable[[#This Row],[ProjectName]])*ProjectInfoTable[ConfidenceInterval]))</f>
        <v>0.95</v>
      </c>
      <c r="N2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4" s="5">
        <f t="array" ref="O264">MIN(IF((OutputTable[GroupByKey]=OutputTable[[#This Row],[GroupByKey]]),(OutputTable[GroupByKey]=OutputTable[[#This Row],[GroupByKey]])*OutputTable[RecordedValue]))</f>
        <v>0</v>
      </c>
      <c r="P264" s="5">
        <f t="array" ref="P264">MAX(IF((OutputTable[GroupByKey]=OutputTable[[#This Row],[GroupByKey]]),(OutputTable[GroupByKey]=OutputTable[[#This Row],[GroupByKey]])*OutputTable[RecordedValue]))</f>
        <v>0</v>
      </c>
    </row>
    <row r="265" spans="1:16" x14ac:dyDescent="0.25">
      <c r="A265" t="s">
        <v>67</v>
      </c>
      <c r="B265" t="s">
        <v>70</v>
      </c>
      <c r="C265">
        <v>10</v>
      </c>
      <c r="D265" t="s">
        <v>135</v>
      </c>
      <c r="E265" t="s">
        <v>116</v>
      </c>
      <c r="F265" t="s">
        <v>73</v>
      </c>
      <c r="G265">
        <v>0</v>
      </c>
      <c r="H265">
        <v>0</v>
      </c>
      <c r="I265" s="5" t="str">
        <f>OutputTable[[#This Row],[ProjectName]]&amp;OutputTable[[#This Row],[Name]]&amp;OutputTable[[#This Row],[Type]]&amp;OutputTable[[#This Row],[Source]]</f>
        <v>Unnamed Projectsandblastoperator.ScheduledUtilizationScheduled UtilizationResource</v>
      </c>
      <c r="J265" s="5">
        <f t="array" ref="J265">MAX(IF((ProjectInfoTable[ProjectName]=OutputTable[[#This Row],[ProjectName]]),(ProjectInfoTable[ProjectName]=OutputTable[[#This Row],[ProjectName]])*ProjectInfoTable[NumberOfReplications]))</f>
        <v>15</v>
      </c>
      <c r="K265" s="5">
        <f t="array" ref="K265">IFERROR(AVERAGE(IF((OutputTable[GroupByKey]=OutputTable[[#This Row],[GroupByKey]]),(OutputTable[GroupByKey]=OutputTable[[#This Row],[GroupByKey]])*OutputTable[RecordedValue])),0)</f>
        <v>0</v>
      </c>
      <c r="L265" s="5">
        <f t="array" ref="L265">IFERROR(_xlfn.STDEV.S(IF((OutputTable[GroupByKey]=OutputTable[[#This Row],[GroupByKey]]),(OutputTable[GroupByKey]=OutputTable[[#This Row],[GroupByKey]])*OutputTable[RecordedValue])),0)</f>
        <v>0</v>
      </c>
      <c r="M265" s="5">
        <f t="array" ref="M265">MAX(IF((ProjectInfoTable[ProjectName]=OutputTable[[#This Row],[ProjectName]]),(ProjectInfoTable[ProjectName]=OutputTable[[#This Row],[ProjectName]])*ProjectInfoTable[ConfidenceInterval]))</f>
        <v>0.95</v>
      </c>
      <c r="N2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5" s="5">
        <f t="array" ref="O265">MIN(IF((OutputTable[GroupByKey]=OutputTable[[#This Row],[GroupByKey]]),(OutputTable[GroupByKey]=OutputTable[[#This Row],[GroupByKey]])*OutputTable[RecordedValue]))</f>
        <v>0</v>
      </c>
      <c r="P265" s="5">
        <f t="array" ref="P265">MAX(IF((OutputTable[GroupByKey]=OutputTable[[#This Row],[GroupByKey]]),(OutputTable[GroupByKey]=OutputTable[[#This Row],[GroupByKey]])*OutputTable[RecordedValue]))</f>
        <v>0</v>
      </c>
    </row>
    <row r="266" spans="1:16" x14ac:dyDescent="0.25">
      <c r="A266" t="s">
        <v>67</v>
      </c>
      <c r="B266" t="s">
        <v>70</v>
      </c>
      <c r="C266">
        <v>10</v>
      </c>
      <c r="D266" t="s">
        <v>136</v>
      </c>
      <c r="E266" t="s">
        <v>120</v>
      </c>
      <c r="F266" t="s">
        <v>79</v>
      </c>
      <c r="G266">
        <v>0</v>
      </c>
      <c r="H266">
        <v>0</v>
      </c>
      <c r="I266" s="5" t="str">
        <f>OutputTable[[#This Row],[ProjectName]]&amp;OutputTable[[#This Row],[Name]]&amp;OutputTable[[#This Row],[Type]]&amp;OutputTable[[#This Row],[Source]]</f>
        <v>Unnamed Projectsteelsheet.NumberInNumber InEntity</v>
      </c>
      <c r="J266" s="5">
        <f t="array" ref="J266">MAX(IF((ProjectInfoTable[ProjectName]=OutputTable[[#This Row],[ProjectName]]),(ProjectInfoTable[ProjectName]=OutputTable[[#This Row],[ProjectName]])*ProjectInfoTable[NumberOfReplications]))</f>
        <v>15</v>
      </c>
      <c r="K266" s="5">
        <f t="array" ref="K266">IFERROR(AVERAGE(IF((OutputTable[GroupByKey]=OutputTable[[#This Row],[GroupByKey]]),(OutputTable[GroupByKey]=OutputTable[[#This Row],[GroupByKey]])*OutputTable[RecordedValue])),0)</f>
        <v>0</v>
      </c>
      <c r="L266" s="5">
        <f t="array" ref="L266">IFERROR(_xlfn.STDEV.S(IF((OutputTable[GroupByKey]=OutputTable[[#This Row],[GroupByKey]]),(OutputTable[GroupByKey]=OutputTable[[#This Row],[GroupByKey]])*OutputTable[RecordedValue])),0)</f>
        <v>0</v>
      </c>
      <c r="M266" s="5">
        <f t="array" ref="M266">MAX(IF((ProjectInfoTable[ProjectName]=OutputTable[[#This Row],[ProjectName]]),(ProjectInfoTable[ProjectName]=OutputTable[[#This Row],[ProjectName]])*ProjectInfoTable[ConfidenceInterval]))</f>
        <v>0.95</v>
      </c>
      <c r="N2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6" s="5">
        <f t="array" ref="O266">MIN(IF((OutputTable[GroupByKey]=OutputTable[[#This Row],[GroupByKey]]),(OutputTable[GroupByKey]=OutputTable[[#This Row],[GroupByKey]])*OutputTable[RecordedValue]))</f>
        <v>0</v>
      </c>
      <c r="P266" s="5">
        <f t="array" ref="P266">MAX(IF((OutputTable[GroupByKey]=OutputTable[[#This Row],[GroupByKey]]),(OutputTable[GroupByKey]=OutputTable[[#This Row],[GroupByKey]])*OutputTable[RecordedValue]))</f>
        <v>0</v>
      </c>
    </row>
    <row r="267" spans="1:16" x14ac:dyDescent="0.25">
      <c r="A267" t="s">
        <v>67</v>
      </c>
      <c r="B267" t="s">
        <v>70</v>
      </c>
      <c r="C267">
        <v>10</v>
      </c>
      <c r="D267" t="s">
        <v>137</v>
      </c>
      <c r="E267" t="s">
        <v>111</v>
      </c>
      <c r="F267" t="s">
        <v>79</v>
      </c>
      <c r="G267">
        <v>0</v>
      </c>
      <c r="H267">
        <v>0</v>
      </c>
      <c r="I267" s="5" t="str">
        <f>OutputTable[[#This Row],[ProjectName]]&amp;OutputTable[[#This Row],[Name]]&amp;OutputTable[[#This Row],[Type]]&amp;OutputTable[[#This Row],[Source]]</f>
        <v>Unnamed Projectsteelsheet.NumberOutNumber OutEntity</v>
      </c>
      <c r="J267" s="5">
        <f t="array" ref="J267">MAX(IF((ProjectInfoTable[ProjectName]=OutputTable[[#This Row],[ProjectName]]),(ProjectInfoTable[ProjectName]=OutputTable[[#This Row],[ProjectName]])*ProjectInfoTable[NumberOfReplications]))</f>
        <v>15</v>
      </c>
      <c r="K267" s="5">
        <f t="array" ref="K267">IFERROR(AVERAGE(IF((OutputTable[GroupByKey]=OutputTable[[#This Row],[GroupByKey]]),(OutputTable[GroupByKey]=OutputTable[[#This Row],[GroupByKey]])*OutputTable[RecordedValue])),0)</f>
        <v>0</v>
      </c>
      <c r="L267" s="5">
        <f t="array" ref="L267">IFERROR(_xlfn.STDEV.S(IF((OutputTable[GroupByKey]=OutputTable[[#This Row],[GroupByKey]]),(OutputTable[GroupByKey]=OutputTable[[#This Row],[GroupByKey]])*OutputTable[RecordedValue])),0)</f>
        <v>0</v>
      </c>
      <c r="M267" s="5">
        <f t="array" ref="M267">MAX(IF((ProjectInfoTable[ProjectName]=OutputTable[[#This Row],[ProjectName]]),(ProjectInfoTable[ProjectName]=OutputTable[[#This Row],[ProjectName]])*ProjectInfoTable[ConfidenceInterval]))</f>
        <v>0.95</v>
      </c>
      <c r="N2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7" s="5">
        <f t="array" ref="O267">MIN(IF((OutputTable[GroupByKey]=OutputTable[[#This Row],[GroupByKey]]),(OutputTable[GroupByKey]=OutputTable[[#This Row],[GroupByKey]])*OutputTable[RecordedValue]))</f>
        <v>0</v>
      </c>
      <c r="P267" s="5">
        <f t="array" ref="P267">MAX(IF((OutputTable[GroupByKey]=OutputTable[[#This Row],[GroupByKey]]),(OutputTable[GroupByKey]=OutputTable[[#This Row],[GroupByKey]])*OutputTable[RecordedValue]))</f>
        <v>0</v>
      </c>
    </row>
    <row r="268" spans="1:16" x14ac:dyDescent="0.25">
      <c r="A268" t="s">
        <v>67</v>
      </c>
      <c r="B268" t="s">
        <v>70</v>
      </c>
      <c r="C268">
        <v>10</v>
      </c>
      <c r="D268" t="s">
        <v>138</v>
      </c>
      <c r="E268" t="s">
        <v>114</v>
      </c>
      <c r="F268" t="s">
        <v>73</v>
      </c>
      <c r="G268">
        <v>0</v>
      </c>
      <c r="H268">
        <v>0</v>
      </c>
      <c r="I268" s="5" t="str">
        <f>OutputTable[[#This Row],[ProjectName]]&amp;OutputTable[[#This Row],[Name]]&amp;OutputTable[[#This Row],[Type]]&amp;OutputTable[[#This Row],[Source]]</f>
        <v>Unnamed Projectwelder.NumberSeizedTotal Number SeizedResource</v>
      </c>
      <c r="J268" s="5">
        <f t="array" ref="J268">MAX(IF((ProjectInfoTable[ProjectName]=OutputTable[[#This Row],[ProjectName]]),(ProjectInfoTable[ProjectName]=OutputTable[[#This Row],[ProjectName]])*ProjectInfoTable[NumberOfReplications]))</f>
        <v>15</v>
      </c>
      <c r="K268" s="5">
        <f t="array" ref="K268">IFERROR(AVERAGE(IF((OutputTable[GroupByKey]=OutputTable[[#This Row],[GroupByKey]]),(OutputTable[GroupByKey]=OutputTable[[#This Row],[GroupByKey]])*OutputTable[RecordedValue])),0)</f>
        <v>0</v>
      </c>
      <c r="L268" s="5">
        <f t="array" ref="L268">IFERROR(_xlfn.STDEV.S(IF((OutputTable[GroupByKey]=OutputTable[[#This Row],[GroupByKey]]),(OutputTable[GroupByKey]=OutputTable[[#This Row],[GroupByKey]])*OutputTable[RecordedValue])),0)</f>
        <v>0</v>
      </c>
      <c r="M268" s="5">
        <f t="array" ref="M268">MAX(IF((ProjectInfoTable[ProjectName]=OutputTable[[#This Row],[ProjectName]]),(ProjectInfoTable[ProjectName]=OutputTable[[#This Row],[ProjectName]])*ProjectInfoTable[ConfidenceInterval]))</f>
        <v>0.95</v>
      </c>
      <c r="N2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8" s="5">
        <f t="array" ref="O268">MIN(IF((OutputTable[GroupByKey]=OutputTable[[#This Row],[GroupByKey]]),(OutputTable[GroupByKey]=OutputTable[[#This Row],[GroupByKey]])*OutputTable[RecordedValue]))</f>
        <v>0</v>
      </c>
      <c r="P268" s="5">
        <f t="array" ref="P268">MAX(IF((OutputTable[GroupByKey]=OutputTable[[#This Row],[GroupByKey]]),(OutputTable[GroupByKey]=OutputTable[[#This Row],[GroupByKey]])*OutputTable[RecordedValue]))</f>
        <v>0</v>
      </c>
    </row>
    <row r="269" spans="1:16" x14ac:dyDescent="0.25">
      <c r="A269" t="s">
        <v>67</v>
      </c>
      <c r="B269" t="s">
        <v>70</v>
      </c>
      <c r="C269">
        <v>10</v>
      </c>
      <c r="D269" t="s">
        <v>139</v>
      </c>
      <c r="E269" t="s">
        <v>116</v>
      </c>
      <c r="F269" t="s">
        <v>73</v>
      </c>
      <c r="G269">
        <v>0</v>
      </c>
      <c r="H269">
        <v>0</v>
      </c>
      <c r="I269" s="5" t="str">
        <f>OutputTable[[#This Row],[ProjectName]]&amp;OutputTable[[#This Row],[Name]]&amp;OutputTable[[#This Row],[Type]]&amp;OutputTable[[#This Row],[Source]]</f>
        <v>Unnamed Projectwelder.ScheduledUtilizationScheduled UtilizationResource</v>
      </c>
      <c r="J269" s="5">
        <f t="array" ref="J269">MAX(IF((ProjectInfoTable[ProjectName]=OutputTable[[#This Row],[ProjectName]]),(ProjectInfoTable[ProjectName]=OutputTable[[#This Row],[ProjectName]])*ProjectInfoTable[NumberOfReplications]))</f>
        <v>15</v>
      </c>
      <c r="K269" s="5">
        <f t="array" ref="K269">IFERROR(AVERAGE(IF((OutputTable[GroupByKey]=OutputTable[[#This Row],[GroupByKey]]),(OutputTable[GroupByKey]=OutputTable[[#This Row],[GroupByKey]])*OutputTable[RecordedValue])),0)</f>
        <v>0</v>
      </c>
      <c r="L269" s="5">
        <f t="array" ref="L269">IFERROR(_xlfn.STDEV.S(IF((OutputTable[GroupByKey]=OutputTable[[#This Row],[GroupByKey]]),(OutputTable[GroupByKey]=OutputTable[[#This Row],[GroupByKey]])*OutputTable[RecordedValue])),0)</f>
        <v>0</v>
      </c>
      <c r="M269" s="5">
        <f t="array" ref="M269">MAX(IF((ProjectInfoTable[ProjectName]=OutputTable[[#This Row],[ProjectName]]),(ProjectInfoTable[ProjectName]=OutputTable[[#This Row],[ProjectName]])*ProjectInfoTable[ConfidenceInterval]))</f>
        <v>0.95</v>
      </c>
      <c r="N2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69" s="5">
        <f t="array" ref="O269">MIN(IF((OutputTable[GroupByKey]=OutputTable[[#This Row],[GroupByKey]]),(OutputTable[GroupByKey]=OutputTable[[#This Row],[GroupByKey]])*OutputTable[RecordedValue]))</f>
        <v>0</v>
      </c>
      <c r="P269" s="5">
        <f t="array" ref="P269">MAX(IF((OutputTable[GroupByKey]=OutputTable[[#This Row],[GroupByKey]]),(OutputTable[GroupByKey]=OutputTable[[#This Row],[GroupByKey]])*OutputTable[RecordedValue]))</f>
        <v>0</v>
      </c>
    </row>
    <row r="270" spans="1:16" x14ac:dyDescent="0.25">
      <c r="A270" t="s">
        <v>67</v>
      </c>
      <c r="B270" t="s">
        <v>70</v>
      </c>
      <c r="C270">
        <v>10</v>
      </c>
      <c r="D270" t="s">
        <v>140</v>
      </c>
      <c r="E270" t="s">
        <v>114</v>
      </c>
      <c r="F270" t="s">
        <v>73</v>
      </c>
      <c r="G270">
        <v>0</v>
      </c>
      <c r="H270">
        <v>0</v>
      </c>
      <c r="I270" s="5" t="str">
        <f>OutputTable[[#This Row],[ProjectName]]&amp;OutputTable[[#This Row],[Name]]&amp;OutputTable[[#This Row],[Type]]&amp;OutputTable[[#This Row],[Source]]</f>
        <v>Unnamed Projectweldingqcworker.NumberSeizedTotal Number SeizedResource</v>
      </c>
      <c r="J270" s="5">
        <f t="array" ref="J270">MAX(IF((ProjectInfoTable[ProjectName]=OutputTable[[#This Row],[ProjectName]]),(ProjectInfoTable[ProjectName]=OutputTable[[#This Row],[ProjectName]])*ProjectInfoTable[NumberOfReplications]))</f>
        <v>15</v>
      </c>
      <c r="K270" s="5">
        <f t="array" ref="K270">IFERROR(AVERAGE(IF((OutputTable[GroupByKey]=OutputTable[[#This Row],[GroupByKey]]),(OutputTable[GroupByKey]=OutputTable[[#This Row],[GroupByKey]])*OutputTable[RecordedValue])),0)</f>
        <v>0</v>
      </c>
      <c r="L270" s="5">
        <f t="array" ref="L270">IFERROR(_xlfn.STDEV.S(IF((OutputTable[GroupByKey]=OutputTable[[#This Row],[GroupByKey]]),(OutputTable[GroupByKey]=OutputTable[[#This Row],[GroupByKey]])*OutputTable[RecordedValue])),0)</f>
        <v>0</v>
      </c>
      <c r="M270" s="5">
        <f t="array" ref="M270">MAX(IF((ProjectInfoTable[ProjectName]=OutputTable[[#This Row],[ProjectName]]),(ProjectInfoTable[ProjectName]=OutputTable[[#This Row],[ProjectName]])*ProjectInfoTable[ConfidenceInterval]))</f>
        <v>0.95</v>
      </c>
      <c r="N2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0" s="5">
        <f t="array" ref="O270">MIN(IF((OutputTable[GroupByKey]=OutputTable[[#This Row],[GroupByKey]]),(OutputTable[GroupByKey]=OutputTable[[#This Row],[GroupByKey]])*OutputTable[RecordedValue]))</f>
        <v>0</v>
      </c>
      <c r="P270" s="5">
        <f t="array" ref="P270">MAX(IF((OutputTable[GroupByKey]=OutputTable[[#This Row],[GroupByKey]]),(OutputTable[GroupByKey]=OutputTable[[#This Row],[GroupByKey]])*OutputTable[RecordedValue]))</f>
        <v>0</v>
      </c>
    </row>
    <row r="271" spans="1:16" x14ac:dyDescent="0.25">
      <c r="A271" t="s">
        <v>67</v>
      </c>
      <c r="B271" t="s">
        <v>70</v>
      </c>
      <c r="C271">
        <v>10</v>
      </c>
      <c r="D271" t="s">
        <v>141</v>
      </c>
      <c r="E271" t="s">
        <v>116</v>
      </c>
      <c r="F271" t="s">
        <v>73</v>
      </c>
      <c r="G271">
        <v>0</v>
      </c>
      <c r="H271">
        <v>0</v>
      </c>
      <c r="I271" s="5" t="str">
        <f>OutputTable[[#This Row],[ProjectName]]&amp;OutputTable[[#This Row],[Name]]&amp;OutputTable[[#This Row],[Type]]&amp;OutputTable[[#This Row],[Source]]</f>
        <v>Unnamed Projectweldingqcworker.ScheduledUtilizationScheduled UtilizationResource</v>
      </c>
      <c r="J271" s="5">
        <f t="array" ref="J271">MAX(IF((ProjectInfoTable[ProjectName]=OutputTable[[#This Row],[ProjectName]]),(ProjectInfoTable[ProjectName]=OutputTable[[#This Row],[ProjectName]])*ProjectInfoTable[NumberOfReplications]))</f>
        <v>15</v>
      </c>
      <c r="K271" s="5">
        <f t="array" ref="K271">IFERROR(AVERAGE(IF((OutputTable[GroupByKey]=OutputTable[[#This Row],[GroupByKey]]),(OutputTable[GroupByKey]=OutputTable[[#This Row],[GroupByKey]])*OutputTable[RecordedValue])),0)</f>
        <v>0</v>
      </c>
      <c r="L271" s="5">
        <f t="array" ref="L271">IFERROR(_xlfn.STDEV.S(IF((OutputTable[GroupByKey]=OutputTable[[#This Row],[GroupByKey]]),(OutputTable[GroupByKey]=OutputTable[[#This Row],[GroupByKey]])*OutputTable[RecordedValue])),0)</f>
        <v>0</v>
      </c>
      <c r="M271" s="5">
        <f t="array" ref="M271">MAX(IF((ProjectInfoTable[ProjectName]=OutputTable[[#This Row],[ProjectName]]),(ProjectInfoTable[ProjectName]=OutputTable[[#This Row],[ProjectName]])*ProjectInfoTable[ConfidenceInterval]))</f>
        <v>0.95</v>
      </c>
      <c r="N2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1" s="5">
        <f t="array" ref="O271">MIN(IF((OutputTable[GroupByKey]=OutputTable[[#This Row],[GroupByKey]]),(OutputTable[GroupByKey]=OutputTable[[#This Row],[GroupByKey]])*OutputTable[RecordedValue]))</f>
        <v>0</v>
      </c>
      <c r="P271" s="5">
        <f t="array" ref="P271">MAX(IF((OutputTable[GroupByKey]=OutputTable[[#This Row],[GroupByKey]]),(OutputTable[GroupByKey]=OutputTable[[#This Row],[GroupByKey]])*OutputTable[RecordedValue]))</f>
        <v>0</v>
      </c>
    </row>
    <row r="272" spans="1:16" x14ac:dyDescent="0.25">
      <c r="A272" t="s">
        <v>67</v>
      </c>
      <c r="B272" t="s">
        <v>70</v>
      </c>
      <c r="C272">
        <v>11</v>
      </c>
      <c r="D272" t="s">
        <v>110</v>
      </c>
      <c r="E272" t="s">
        <v>111</v>
      </c>
      <c r="F272" t="s">
        <v>112</v>
      </c>
      <c r="G272">
        <v>0</v>
      </c>
      <c r="H272">
        <v>0</v>
      </c>
      <c r="I272" s="5" t="str">
        <f>OutputTable[[#This Row],[ProjectName]]&amp;OutputTable[[#This Row],[Name]]&amp;OutputTable[[#This Row],[Type]]&amp;OutputTable[[#This Row],[Source]]</f>
        <v>Unnamed ProjectSystem.NumberOutNumber OutSystem</v>
      </c>
      <c r="J272" s="5">
        <f t="array" ref="J272">MAX(IF((ProjectInfoTable[ProjectName]=OutputTable[[#This Row],[ProjectName]]),(ProjectInfoTable[ProjectName]=OutputTable[[#This Row],[ProjectName]])*ProjectInfoTable[NumberOfReplications]))</f>
        <v>15</v>
      </c>
      <c r="K272" s="5">
        <f t="array" ref="K272">IFERROR(AVERAGE(IF((OutputTable[GroupByKey]=OutputTable[[#This Row],[GroupByKey]]),(OutputTable[GroupByKey]=OutputTable[[#This Row],[GroupByKey]])*OutputTable[RecordedValue])),0)</f>
        <v>0</v>
      </c>
      <c r="L272" s="5">
        <f t="array" ref="L272">IFERROR(_xlfn.STDEV.S(IF((OutputTable[GroupByKey]=OutputTable[[#This Row],[GroupByKey]]),(OutputTable[GroupByKey]=OutputTable[[#This Row],[GroupByKey]])*OutputTable[RecordedValue])),0)</f>
        <v>0</v>
      </c>
      <c r="M272" s="5">
        <f t="array" ref="M272">MAX(IF((ProjectInfoTable[ProjectName]=OutputTable[[#This Row],[ProjectName]]),(ProjectInfoTable[ProjectName]=OutputTable[[#This Row],[ProjectName]])*ProjectInfoTable[ConfidenceInterval]))</f>
        <v>0.95</v>
      </c>
      <c r="N2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2" s="5">
        <f t="array" ref="O272">MIN(IF((OutputTable[GroupByKey]=OutputTable[[#This Row],[GroupByKey]]),(OutputTable[GroupByKey]=OutputTable[[#This Row],[GroupByKey]])*OutputTable[RecordedValue]))</f>
        <v>0</v>
      </c>
      <c r="P272" s="5">
        <f t="array" ref="P272">MAX(IF((OutputTable[GroupByKey]=OutputTable[[#This Row],[GroupByKey]]),(OutputTable[GroupByKey]=OutputTable[[#This Row],[GroupByKey]])*OutputTable[RecordedValue]))</f>
        <v>0</v>
      </c>
    </row>
    <row r="273" spans="1:16" x14ac:dyDescent="0.25">
      <c r="A273" t="s">
        <v>67</v>
      </c>
      <c r="B273" t="s">
        <v>70</v>
      </c>
      <c r="C273">
        <v>11</v>
      </c>
      <c r="D273" t="s">
        <v>113</v>
      </c>
      <c r="E273" t="s">
        <v>114</v>
      </c>
      <c r="F273" t="s">
        <v>73</v>
      </c>
      <c r="G273">
        <v>0</v>
      </c>
      <c r="H273">
        <v>0</v>
      </c>
      <c r="I273" s="5" t="str">
        <f>OutputTable[[#This Row],[ProjectName]]&amp;OutputTable[[#This Row],[Name]]&amp;OutputTable[[#This Row],[Type]]&amp;OutputTable[[#This Row],[Source]]</f>
        <v>Unnamed Projectassembler.NumberSeizedTotal Number SeizedResource</v>
      </c>
      <c r="J273" s="5">
        <f t="array" ref="J273">MAX(IF((ProjectInfoTable[ProjectName]=OutputTable[[#This Row],[ProjectName]]),(ProjectInfoTable[ProjectName]=OutputTable[[#This Row],[ProjectName]])*ProjectInfoTable[NumberOfReplications]))</f>
        <v>15</v>
      </c>
      <c r="K273" s="5">
        <f t="array" ref="K273">IFERROR(AVERAGE(IF((OutputTable[GroupByKey]=OutputTable[[#This Row],[GroupByKey]]),(OutputTable[GroupByKey]=OutputTable[[#This Row],[GroupByKey]])*OutputTable[RecordedValue])),0)</f>
        <v>0</v>
      </c>
      <c r="L273" s="5">
        <f t="array" ref="L273">IFERROR(_xlfn.STDEV.S(IF((OutputTable[GroupByKey]=OutputTable[[#This Row],[GroupByKey]]),(OutputTable[GroupByKey]=OutputTable[[#This Row],[GroupByKey]])*OutputTable[RecordedValue])),0)</f>
        <v>0</v>
      </c>
      <c r="M273" s="5">
        <f t="array" ref="M273">MAX(IF((ProjectInfoTable[ProjectName]=OutputTable[[#This Row],[ProjectName]]),(ProjectInfoTable[ProjectName]=OutputTable[[#This Row],[ProjectName]])*ProjectInfoTable[ConfidenceInterval]))</f>
        <v>0.95</v>
      </c>
      <c r="N2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3" s="5">
        <f t="array" ref="O273">MIN(IF((OutputTable[GroupByKey]=OutputTable[[#This Row],[GroupByKey]]),(OutputTable[GroupByKey]=OutputTable[[#This Row],[GroupByKey]])*OutputTable[RecordedValue]))</f>
        <v>0</v>
      </c>
      <c r="P273" s="5">
        <f t="array" ref="P273">MAX(IF((OutputTable[GroupByKey]=OutputTable[[#This Row],[GroupByKey]]),(OutputTable[GroupByKey]=OutputTable[[#This Row],[GroupByKey]])*OutputTable[RecordedValue]))</f>
        <v>0</v>
      </c>
    </row>
    <row r="274" spans="1:16" x14ac:dyDescent="0.25">
      <c r="A274" t="s">
        <v>67</v>
      </c>
      <c r="B274" t="s">
        <v>70</v>
      </c>
      <c r="C274">
        <v>11</v>
      </c>
      <c r="D274" t="s">
        <v>115</v>
      </c>
      <c r="E274" t="s">
        <v>116</v>
      </c>
      <c r="F274" t="s">
        <v>73</v>
      </c>
      <c r="G274">
        <v>0</v>
      </c>
      <c r="H274">
        <v>0</v>
      </c>
      <c r="I274" s="5" t="str">
        <f>OutputTable[[#This Row],[ProjectName]]&amp;OutputTable[[#This Row],[Name]]&amp;OutputTable[[#This Row],[Type]]&amp;OutputTable[[#This Row],[Source]]</f>
        <v>Unnamed Projectassembler.ScheduledUtilizationScheduled UtilizationResource</v>
      </c>
      <c r="J274" s="5">
        <f t="array" ref="J274">MAX(IF((ProjectInfoTable[ProjectName]=OutputTable[[#This Row],[ProjectName]]),(ProjectInfoTable[ProjectName]=OutputTable[[#This Row],[ProjectName]])*ProjectInfoTable[NumberOfReplications]))</f>
        <v>15</v>
      </c>
      <c r="K274" s="5">
        <f t="array" ref="K274">IFERROR(AVERAGE(IF((OutputTable[GroupByKey]=OutputTable[[#This Row],[GroupByKey]]),(OutputTable[GroupByKey]=OutputTable[[#This Row],[GroupByKey]])*OutputTable[RecordedValue])),0)</f>
        <v>0</v>
      </c>
      <c r="L274" s="5">
        <f t="array" ref="L274">IFERROR(_xlfn.STDEV.S(IF((OutputTable[GroupByKey]=OutputTable[[#This Row],[GroupByKey]]),(OutputTable[GroupByKey]=OutputTable[[#This Row],[GroupByKey]])*OutputTable[RecordedValue])),0)</f>
        <v>0</v>
      </c>
      <c r="M274" s="5">
        <f t="array" ref="M274">MAX(IF((ProjectInfoTable[ProjectName]=OutputTable[[#This Row],[ProjectName]]),(ProjectInfoTable[ProjectName]=OutputTable[[#This Row],[ProjectName]])*ProjectInfoTable[ConfidenceInterval]))</f>
        <v>0.95</v>
      </c>
      <c r="N2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4" s="5">
        <f t="array" ref="O274">MIN(IF((OutputTable[GroupByKey]=OutputTable[[#This Row],[GroupByKey]]),(OutputTable[GroupByKey]=OutputTable[[#This Row],[GroupByKey]])*OutputTable[RecordedValue]))</f>
        <v>0</v>
      </c>
      <c r="P274" s="5">
        <f t="array" ref="P274">MAX(IF((OutputTable[GroupByKey]=OutputTable[[#This Row],[GroupByKey]]),(OutputTable[GroupByKey]=OutputTable[[#This Row],[GroupByKey]])*OutputTable[RecordedValue]))</f>
        <v>0</v>
      </c>
    </row>
    <row r="275" spans="1:16" x14ac:dyDescent="0.25">
      <c r="A275" t="s">
        <v>67</v>
      </c>
      <c r="B275" t="s">
        <v>70</v>
      </c>
      <c r="C275">
        <v>11</v>
      </c>
      <c r="D275" t="s">
        <v>117</v>
      </c>
      <c r="E275" t="s">
        <v>114</v>
      </c>
      <c r="F275" t="s">
        <v>73</v>
      </c>
      <c r="G275">
        <v>0</v>
      </c>
      <c r="H275">
        <v>0</v>
      </c>
      <c r="I275" s="5" t="str">
        <f>OutputTable[[#This Row],[ProjectName]]&amp;OutputTable[[#This Row],[Name]]&amp;OutputTable[[#This Row],[Type]]&amp;OutputTable[[#This Row],[Source]]</f>
        <v>Unnamed Projectassemblyqcworker.NumberSeizedTotal Number SeizedResource</v>
      </c>
      <c r="J275" s="5">
        <f t="array" ref="J275">MAX(IF((ProjectInfoTable[ProjectName]=OutputTable[[#This Row],[ProjectName]]),(ProjectInfoTable[ProjectName]=OutputTable[[#This Row],[ProjectName]])*ProjectInfoTable[NumberOfReplications]))</f>
        <v>15</v>
      </c>
      <c r="K275" s="5">
        <f t="array" ref="K275">IFERROR(AVERAGE(IF((OutputTable[GroupByKey]=OutputTable[[#This Row],[GroupByKey]]),(OutputTable[GroupByKey]=OutputTable[[#This Row],[GroupByKey]])*OutputTable[RecordedValue])),0)</f>
        <v>0</v>
      </c>
      <c r="L275" s="5">
        <f t="array" ref="L275">IFERROR(_xlfn.STDEV.S(IF((OutputTable[GroupByKey]=OutputTable[[#This Row],[GroupByKey]]),(OutputTable[GroupByKey]=OutputTable[[#This Row],[GroupByKey]])*OutputTable[RecordedValue])),0)</f>
        <v>0</v>
      </c>
      <c r="M275" s="5">
        <f t="array" ref="M275">MAX(IF((ProjectInfoTable[ProjectName]=OutputTable[[#This Row],[ProjectName]]),(ProjectInfoTable[ProjectName]=OutputTable[[#This Row],[ProjectName]])*ProjectInfoTable[ConfidenceInterval]))</f>
        <v>0.95</v>
      </c>
      <c r="N2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5" s="5">
        <f t="array" ref="O275">MIN(IF((OutputTable[GroupByKey]=OutputTable[[#This Row],[GroupByKey]]),(OutputTable[GroupByKey]=OutputTable[[#This Row],[GroupByKey]])*OutputTable[RecordedValue]))</f>
        <v>0</v>
      </c>
      <c r="P275" s="5">
        <f t="array" ref="P275">MAX(IF((OutputTable[GroupByKey]=OutputTable[[#This Row],[GroupByKey]]),(OutputTable[GroupByKey]=OutputTable[[#This Row],[GroupByKey]])*OutputTable[RecordedValue]))</f>
        <v>0</v>
      </c>
    </row>
    <row r="276" spans="1:16" x14ac:dyDescent="0.25">
      <c r="A276" t="s">
        <v>67</v>
      </c>
      <c r="B276" t="s">
        <v>70</v>
      </c>
      <c r="C276">
        <v>11</v>
      </c>
      <c r="D276" t="s">
        <v>118</v>
      </c>
      <c r="E276" t="s">
        <v>116</v>
      </c>
      <c r="F276" t="s">
        <v>73</v>
      </c>
      <c r="G276">
        <v>0</v>
      </c>
      <c r="H276">
        <v>0</v>
      </c>
      <c r="I276" s="5" t="str">
        <f>OutputTable[[#This Row],[ProjectName]]&amp;OutputTable[[#This Row],[Name]]&amp;OutputTable[[#This Row],[Type]]&amp;OutputTable[[#This Row],[Source]]</f>
        <v>Unnamed Projectassemblyqcworker.ScheduledUtilizationScheduled UtilizationResource</v>
      </c>
      <c r="J276" s="5">
        <f t="array" ref="J276">MAX(IF((ProjectInfoTable[ProjectName]=OutputTable[[#This Row],[ProjectName]]),(ProjectInfoTable[ProjectName]=OutputTable[[#This Row],[ProjectName]])*ProjectInfoTable[NumberOfReplications]))</f>
        <v>15</v>
      </c>
      <c r="K276" s="5">
        <f t="array" ref="K276">IFERROR(AVERAGE(IF((OutputTable[GroupByKey]=OutputTable[[#This Row],[GroupByKey]]),(OutputTable[GroupByKey]=OutputTable[[#This Row],[GroupByKey]])*OutputTable[RecordedValue])),0)</f>
        <v>0</v>
      </c>
      <c r="L276" s="5">
        <f t="array" ref="L276">IFERROR(_xlfn.STDEV.S(IF((OutputTable[GroupByKey]=OutputTable[[#This Row],[GroupByKey]]),(OutputTable[GroupByKey]=OutputTable[[#This Row],[GroupByKey]])*OutputTable[RecordedValue])),0)</f>
        <v>0</v>
      </c>
      <c r="M276" s="5">
        <f t="array" ref="M276">MAX(IF((ProjectInfoTable[ProjectName]=OutputTable[[#This Row],[ProjectName]]),(ProjectInfoTable[ProjectName]=OutputTable[[#This Row],[ProjectName]])*ProjectInfoTable[ConfidenceInterval]))</f>
        <v>0.95</v>
      </c>
      <c r="N2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6" s="5">
        <f t="array" ref="O276">MIN(IF((OutputTable[GroupByKey]=OutputTable[[#This Row],[GroupByKey]]),(OutputTable[GroupByKey]=OutputTable[[#This Row],[GroupByKey]])*OutputTable[RecordedValue]))</f>
        <v>0</v>
      </c>
      <c r="P276" s="5">
        <f t="array" ref="P276">MAX(IF((OutputTable[GroupByKey]=OutputTable[[#This Row],[GroupByKey]]),(OutputTable[GroupByKey]=OutputTable[[#This Row],[GroupByKey]])*OutputTable[RecordedValue]))</f>
        <v>0</v>
      </c>
    </row>
    <row r="277" spans="1:16" x14ac:dyDescent="0.25">
      <c r="A277" t="s">
        <v>67</v>
      </c>
      <c r="B277" t="s">
        <v>70</v>
      </c>
      <c r="C277">
        <v>11</v>
      </c>
      <c r="D277" t="s">
        <v>119</v>
      </c>
      <c r="E277" t="s">
        <v>120</v>
      </c>
      <c r="F277" t="s">
        <v>79</v>
      </c>
      <c r="G277">
        <v>0</v>
      </c>
      <c r="H277">
        <v>0</v>
      </c>
      <c r="I277" s="5" t="str">
        <f>OutputTable[[#This Row],[ProjectName]]&amp;OutputTable[[#This Row],[Name]]&amp;OutputTable[[#This Row],[Type]]&amp;OutputTable[[#This Row],[Source]]</f>
        <v>Unnamed Projectbatched_parts.NumberInNumber InEntity</v>
      </c>
      <c r="J277" s="5">
        <f t="array" ref="J277">MAX(IF((ProjectInfoTable[ProjectName]=OutputTable[[#This Row],[ProjectName]]),(ProjectInfoTable[ProjectName]=OutputTable[[#This Row],[ProjectName]])*ProjectInfoTable[NumberOfReplications]))</f>
        <v>15</v>
      </c>
      <c r="K277" s="5">
        <f t="array" ref="K277">IFERROR(AVERAGE(IF((OutputTable[GroupByKey]=OutputTable[[#This Row],[GroupByKey]]),(OutputTable[GroupByKey]=OutputTable[[#This Row],[GroupByKey]])*OutputTable[RecordedValue])),0)</f>
        <v>0</v>
      </c>
      <c r="L277" s="5">
        <f t="array" ref="L277">IFERROR(_xlfn.STDEV.S(IF((OutputTable[GroupByKey]=OutputTable[[#This Row],[GroupByKey]]),(OutputTable[GroupByKey]=OutputTable[[#This Row],[GroupByKey]])*OutputTable[RecordedValue])),0)</f>
        <v>0</v>
      </c>
      <c r="M277" s="5">
        <f t="array" ref="M277">MAX(IF((ProjectInfoTable[ProjectName]=OutputTable[[#This Row],[ProjectName]]),(ProjectInfoTable[ProjectName]=OutputTable[[#This Row],[ProjectName]])*ProjectInfoTable[ConfidenceInterval]))</f>
        <v>0.95</v>
      </c>
      <c r="N2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7" s="5">
        <f t="array" ref="O277">MIN(IF((OutputTable[GroupByKey]=OutputTable[[#This Row],[GroupByKey]]),(OutputTable[GroupByKey]=OutputTable[[#This Row],[GroupByKey]])*OutputTable[RecordedValue]))</f>
        <v>0</v>
      </c>
      <c r="P277" s="5">
        <f t="array" ref="P277">MAX(IF((OutputTable[GroupByKey]=OutputTable[[#This Row],[GroupByKey]]),(OutputTable[GroupByKey]=OutputTable[[#This Row],[GroupByKey]])*OutputTable[RecordedValue]))</f>
        <v>0</v>
      </c>
    </row>
    <row r="278" spans="1:16" x14ac:dyDescent="0.25">
      <c r="A278" t="s">
        <v>67</v>
      </c>
      <c r="B278" t="s">
        <v>70</v>
      </c>
      <c r="C278">
        <v>11</v>
      </c>
      <c r="D278" t="s">
        <v>121</v>
      </c>
      <c r="E278" t="s">
        <v>111</v>
      </c>
      <c r="F278" t="s">
        <v>79</v>
      </c>
      <c r="G278">
        <v>0</v>
      </c>
      <c r="H278">
        <v>0</v>
      </c>
      <c r="I278" s="5" t="str">
        <f>OutputTable[[#This Row],[ProjectName]]&amp;OutputTable[[#This Row],[Name]]&amp;OutputTable[[#This Row],[Type]]&amp;OutputTable[[#This Row],[Source]]</f>
        <v>Unnamed Projectbatched_parts.NumberOutNumber OutEntity</v>
      </c>
      <c r="J278" s="5">
        <f t="array" ref="J278">MAX(IF((ProjectInfoTable[ProjectName]=OutputTable[[#This Row],[ProjectName]]),(ProjectInfoTable[ProjectName]=OutputTable[[#This Row],[ProjectName]])*ProjectInfoTable[NumberOfReplications]))</f>
        <v>15</v>
      </c>
      <c r="K278" s="5">
        <f t="array" ref="K278">IFERROR(AVERAGE(IF((OutputTable[GroupByKey]=OutputTable[[#This Row],[GroupByKey]]),(OutputTable[GroupByKey]=OutputTable[[#This Row],[GroupByKey]])*OutputTable[RecordedValue])),0)</f>
        <v>0</v>
      </c>
      <c r="L278" s="5">
        <f t="array" ref="L278">IFERROR(_xlfn.STDEV.S(IF((OutputTable[GroupByKey]=OutputTable[[#This Row],[GroupByKey]]),(OutputTable[GroupByKey]=OutputTable[[#This Row],[GroupByKey]])*OutputTable[RecordedValue])),0)</f>
        <v>0</v>
      </c>
      <c r="M278" s="5">
        <f t="array" ref="M278">MAX(IF((ProjectInfoTable[ProjectName]=OutputTable[[#This Row],[ProjectName]]),(ProjectInfoTable[ProjectName]=OutputTable[[#This Row],[ProjectName]])*ProjectInfoTable[ConfidenceInterval]))</f>
        <v>0.95</v>
      </c>
      <c r="N2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8" s="5">
        <f t="array" ref="O278">MIN(IF((OutputTable[GroupByKey]=OutputTable[[#This Row],[GroupByKey]]),(OutputTable[GroupByKey]=OutputTable[[#This Row],[GroupByKey]])*OutputTable[RecordedValue]))</f>
        <v>0</v>
      </c>
      <c r="P278" s="5">
        <f t="array" ref="P278">MAX(IF((OutputTable[GroupByKey]=OutputTable[[#This Row],[GroupByKey]]),(OutputTable[GroupByKey]=OutputTable[[#This Row],[GroupByKey]])*OutputTable[RecordedValue]))</f>
        <v>0</v>
      </c>
    </row>
    <row r="279" spans="1:16" x14ac:dyDescent="0.25">
      <c r="A279" t="s">
        <v>67</v>
      </c>
      <c r="B279" t="s">
        <v>70</v>
      </c>
      <c r="C279">
        <v>11</v>
      </c>
      <c r="D279" t="s">
        <v>122</v>
      </c>
      <c r="E279" t="s">
        <v>114</v>
      </c>
      <c r="F279" t="s">
        <v>73</v>
      </c>
      <c r="G279">
        <v>0</v>
      </c>
      <c r="H279">
        <v>0</v>
      </c>
      <c r="I279" s="5" t="str">
        <f>OutputTable[[#This Row],[ProjectName]]&amp;OutputTable[[#This Row],[Name]]&amp;OutputTable[[#This Row],[Type]]&amp;OutputTable[[#This Row],[Source]]</f>
        <v>Unnamed Projectcleaner.NumberSeizedTotal Number SeizedResource</v>
      </c>
      <c r="J279" s="5">
        <f t="array" ref="J279">MAX(IF((ProjectInfoTable[ProjectName]=OutputTable[[#This Row],[ProjectName]]),(ProjectInfoTable[ProjectName]=OutputTable[[#This Row],[ProjectName]])*ProjectInfoTable[NumberOfReplications]))</f>
        <v>15</v>
      </c>
      <c r="K279" s="5">
        <f t="array" ref="K279">IFERROR(AVERAGE(IF((OutputTable[GroupByKey]=OutputTable[[#This Row],[GroupByKey]]),(OutputTable[GroupByKey]=OutputTable[[#This Row],[GroupByKey]])*OutputTable[RecordedValue])),0)</f>
        <v>0</v>
      </c>
      <c r="L279" s="5">
        <f t="array" ref="L279">IFERROR(_xlfn.STDEV.S(IF((OutputTable[GroupByKey]=OutputTable[[#This Row],[GroupByKey]]),(OutputTable[GroupByKey]=OutputTable[[#This Row],[GroupByKey]])*OutputTable[RecordedValue])),0)</f>
        <v>0</v>
      </c>
      <c r="M279" s="5">
        <f t="array" ref="M279">MAX(IF((ProjectInfoTable[ProjectName]=OutputTable[[#This Row],[ProjectName]]),(ProjectInfoTable[ProjectName]=OutputTable[[#This Row],[ProjectName]])*ProjectInfoTable[ConfidenceInterval]))</f>
        <v>0.95</v>
      </c>
      <c r="N2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79" s="5">
        <f t="array" ref="O279">MIN(IF((OutputTable[GroupByKey]=OutputTable[[#This Row],[GroupByKey]]),(OutputTable[GroupByKey]=OutputTable[[#This Row],[GroupByKey]])*OutputTable[RecordedValue]))</f>
        <v>0</v>
      </c>
      <c r="P279" s="5">
        <f t="array" ref="P279">MAX(IF((OutputTable[GroupByKey]=OutputTable[[#This Row],[GroupByKey]]),(OutputTable[GroupByKey]=OutputTable[[#This Row],[GroupByKey]])*OutputTable[RecordedValue]))</f>
        <v>0</v>
      </c>
    </row>
    <row r="280" spans="1:16" x14ac:dyDescent="0.25">
      <c r="A280" t="s">
        <v>67</v>
      </c>
      <c r="B280" t="s">
        <v>70</v>
      </c>
      <c r="C280">
        <v>11</v>
      </c>
      <c r="D280" t="s">
        <v>123</v>
      </c>
      <c r="E280" t="s">
        <v>116</v>
      </c>
      <c r="F280" t="s">
        <v>73</v>
      </c>
      <c r="G280">
        <v>0</v>
      </c>
      <c r="H280">
        <v>0</v>
      </c>
      <c r="I280" s="5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280" s="5">
        <f t="array" ref="J280">MAX(IF((ProjectInfoTable[ProjectName]=OutputTable[[#This Row],[ProjectName]]),(ProjectInfoTable[ProjectName]=OutputTable[[#This Row],[ProjectName]])*ProjectInfoTable[NumberOfReplications]))</f>
        <v>15</v>
      </c>
      <c r="K280" s="5">
        <f t="array" ref="K280">IFERROR(AVERAGE(IF((OutputTable[GroupByKey]=OutputTable[[#This Row],[GroupByKey]]),(OutputTable[GroupByKey]=OutputTable[[#This Row],[GroupByKey]])*OutputTable[RecordedValue])),0)</f>
        <v>0</v>
      </c>
      <c r="L280" s="5">
        <f t="array" ref="L280">IFERROR(_xlfn.STDEV.S(IF((OutputTable[GroupByKey]=OutputTable[[#This Row],[GroupByKey]]),(OutputTable[GroupByKey]=OutputTable[[#This Row],[GroupByKey]])*OutputTable[RecordedValue])),0)</f>
        <v>0</v>
      </c>
      <c r="M280" s="5">
        <f t="array" ref="M280">MAX(IF((ProjectInfoTable[ProjectName]=OutputTable[[#This Row],[ProjectName]]),(ProjectInfoTable[ProjectName]=OutputTable[[#This Row],[ProjectName]])*ProjectInfoTable[ConfidenceInterval]))</f>
        <v>0.95</v>
      </c>
      <c r="N2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0" s="5">
        <f t="array" ref="O280">MIN(IF((OutputTable[GroupByKey]=OutputTable[[#This Row],[GroupByKey]]),(OutputTable[GroupByKey]=OutputTable[[#This Row],[GroupByKey]])*OutputTable[RecordedValue]))</f>
        <v>0</v>
      </c>
      <c r="P280" s="5">
        <f t="array" ref="P280">MAX(IF((OutputTable[GroupByKey]=OutputTable[[#This Row],[GroupByKey]]),(OutputTable[GroupByKey]=OutputTable[[#This Row],[GroupByKey]])*OutputTable[RecordedValue]))</f>
        <v>0</v>
      </c>
    </row>
    <row r="281" spans="1:16" x14ac:dyDescent="0.25">
      <c r="A281" t="s">
        <v>67</v>
      </c>
      <c r="B281" t="s">
        <v>70</v>
      </c>
      <c r="C281">
        <v>11</v>
      </c>
      <c r="D281" t="s">
        <v>124</v>
      </c>
      <c r="E281" t="s">
        <v>114</v>
      </c>
      <c r="F281" t="s">
        <v>73</v>
      </c>
      <c r="G281">
        <v>0</v>
      </c>
      <c r="H281">
        <v>0</v>
      </c>
      <c r="I281" s="5" t="str">
        <f>OutputTable[[#This Row],[ProjectName]]&amp;OutputTable[[#This Row],[Name]]&amp;OutputTable[[#This Row],[Type]]&amp;OutputTable[[#This Row],[Source]]</f>
        <v>Unnamed Projectcutter.NumberSeizedTotal Number SeizedResource</v>
      </c>
      <c r="J281" s="5">
        <f t="array" ref="J281">MAX(IF((ProjectInfoTable[ProjectName]=OutputTable[[#This Row],[ProjectName]]),(ProjectInfoTable[ProjectName]=OutputTable[[#This Row],[ProjectName]])*ProjectInfoTable[NumberOfReplications]))</f>
        <v>15</v>
      </c>
      <c r="K281" s="5">
        <f t="array" ref="K281">IFERROR(AVERAGE(IF((OutputTable[GroupByKey]=OutputTable[[#This Row],[GroupByKey]]),(OutputTable[GroupByKey]=OutputTable[[#This Row],[GroupByKey]])*OutputTable[RecordedValue])),0)</f>
        <v>0</v>
      </c>
      <c r="L281" s="5">
        <f t="array" ref="L281">IFERROR(_xlfn.STDEV.S(IF((OutputTable[GroupByKey]=OutputTable[[#This Row],[GroupByKey]]),(OutputTable[GroupByKey]=OutputTable[[#This Row],[GroupByKey]])*OutputTable[RecordedValue])),0)</f>
        <v>0</v>
      </c>
      <c r="M281" s="5">
        <f t="array" ref="M281">MAX(IF((ProjectInfoTable[ProjectName]=OutputTable[[#This Row],[ProjectName]]),(ProjectInfoTable[ProjectName]=OutputTable[[#This Row],[ProjectName]])*ProjectInfoTable[ConfidenceInterval]))</f>
        <v>0.95</v>
      </c>
      <c r="N2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1" s="5">
        <f t="array" ref="O281">MIN(IF((OutputTable[GroupByKey]=OutputTable[[#This Row],[GroupByKey]]),(OutputTable[GroupByKey]=OutputTable[[#This Row],[GroupByKey]])*OutputTable[RecordedValue]))</f>
        <v>0</v>
      </c>
      <c r="P281" s="5">
        <f t="array" ref="P281">MAX(IF((OutputTable[GroupByKey]=OutputTable[[#This Row],[GroupByKey]]),(OutputTable[GroupByKey]=OutputTable[[#This Row],[GroupByKey]])*OutputTable[RecordedValue]))</f>
        <v>0</v>
      </c>
    </row>
    <row r="282" spans="1:16" x14ac:dyDescent="0.25">
      <c r="A282" t="s">
        <v>67</v>
      </c>
      <c r="B282" t="s">
        <v>70</v>
      </c>
      <c r="C282">
        <v>11</v>
      </c>
      <c r="D282" t="s">
        <v>125</v>
      </c>
      <c r="E282" t="s">
        <v>116</v>
      </c>
      <c r="F282" t="s">
        <v>73</v>
      </c>
      <c r="G282">
        <v>0</v>
      </c>
      <c r="H282">
        <v>0</v>
      </c>
      <c r="I282" s="5" t="str">
        <f>OutputTable[[#This Row],[ProjectName]]&amp;OutputTable[[#This Row],[Name]]&amp;OutputTable[[#This Row],[Type]]&amp;OutputTable[[#This Row],[Source]]</f>
        <v>Unnamed Projectcutter.ScheduledUtilizationScheduled UtilizationResource</v>
      </c>
      <c r="J282" s="5">
        <f t="array" ref="J282">MAX(IF((ProjectInfoTable[ProjectName]=OutputTable[[#This Row],[ProjectName]]),(ProjectInfoTable[ProjectName]=OutputTable[[#This Row],[ProjectName]])*ProjectInfoTable[NumberOfReplications]))</f>
        <v>15</v>
      </c>
      <c r="K282" s="5">
        <f t="array" ref="K282">IFERROR(AVERAGE(IF((OutputTable[GroupByKey]=OutputTable[[#This Row],[GroupByKey]]),(OutputTable[GroupByKey]=OutputTable[[#This Row],[GroupByKey]])*OutputTable[RecordedValue])),0)</f>
        <v>0</v>
      </c>
      <c r="L282" s="5">
        <f t="array" ref="L282">IFERROR(_xlfn.STDEV.S(IF((OutputTable[GroupByKey]=OutputTable[[#This Row],[GroupByKey]]),(OutputTable[GroupByKey]=OutputTable[[#This Row],[GroupByKey]])*OutputTable[RecordedValue])),0)</f>
        <v>0</v>
      </c>
      <c r="M282" s="5">
        <f t="array" ref="M282">MAX(IF((ProjectInfoTable[ProjectName]=OutputTable[[#This Row],[ProjectName]]),(ProjectInfoTable[ProjectName]=OutputTable[[#This Row],[ProjectName]])*ProjectInfoTable[ConfidenceInterval]))</f>
        <v>0.95</v>
      </c>
      <c r="N2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2" s="5">
        <f t="array" ref="O282">MIN(IF((OutputTable[GroupByKey]=OutputTable[[#This Row],[GroupByKey]]),(OutputTable[GroupByKey]=OutputTable[[#This Row],[GroupByKey]])*OutputTable[RecordedValue]))</f>
        <v>0</v>
      </c>
      <c r="P282" s="5">
        <f t="array" ref="P282">MAX(IF((OutputTable[GroupByKey]=OutputTable[[#This Row],[GroupByKey]]),(OutputTable[GroupByKey]=OutputTable[[#This Row],[GroupByKey]])*OutputTable[RecordedValue]))</f>
        <v>0</v>
      </c>
    </row>
    <row r="283" spans="1:16" x14ac:dyDescent="0.25">
      <c r="A283" t="s">
        <v>67</v>
      </c>
      <c r="B283" t="s">
        <v>70</v>
      </c>
      <c r="C283">
        <v>11</v>
      </c>
      <c r="D283" t="s">
        <v>126</v>
      </c>
      <c r="E283" t="s">
        <v>114</v>
      </c>
      <c r="F283" t="s">
        <v>73</v>
      </c>
      <c r="G283">
        <v>0</v>
      </c>
      <c r="H283">
        <v>0</v>
      </c>
      <c r="I283" s="5" t="str">
        <f>OutputTable[[#This Row],[ProjectName]]&amp;OutputTable[[#This Row],[Name]]&amp;OutputTable[[#This Row],[Type]]&amp;OutputTable[[#This Row],[Source]]</f>
        <v>Unnamed Projectfinalqcman.NumberSeizedTotal Number SeizedResource</v>
      </c>
      <c r="J283" s="5">
        <f t="array" ref="J283">MAX(IF((ProjectInfoTable[ProjectName]=OutputTable[[#This Row],[ProjectName]]),(ProjectInfoTable[ProjectName]=OutputTable[[#This Row],[ProjectName]])*ProjectInfoTable[NumberOfReplications]))</f>
        <v>15</v>
      </c>
      <c r="K283" s="5">
        <f t="array" ref="K283">IFERROR(AVERAGE(IF((OutputTable[GroupByKey]=OutputTable[[#This Row],[GroupByKey]]),(OutputTable[GroupByKey]=OutputTable[[#This Row],[GroupByKey]])*OutputTable[RecordedValue])),0)</f>
        <v>0</v>
      </c>
      <c r="L283" s="5">
        <f t="array" ref="L283">IFERROR(_xlfn.STDEV.S(IF((OutputTable[GroupByKey]=OutputTable[[#This Row],[GroupByKey]]),(OutputTable[GroupByKey]=OutputTable[[#This Row],[GroupByKey]])*OutputTable[RecordedValue])),0)</f>
        <v>0</v>
      </c>
      <c r="M283" s="5">
        <f t="array" ref="M283">MAX(IF((ProjectInfoTable[ProjectName]=OutputTable[[#This Row],[ProjectName]]),(ProjectInfoTable[ProjectName]=OutputTable[[#This Row],[ProjectName]])*ProjectInfoTable[ConfidenceInterval]))</f>
        <v>0.95</v>
      </c>
      <c r="N2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3" s="5">
        <f t="array" ref="O283">MIN(IF((OutputTable[GroupByKey]=OutputTable[[#This Row],[GroupByKey]]),(OutputTable[GroupByKey]=OutputTable[[#This Row],[GroupByKey]])*OutputTable[RecordedValue]))</f>
        <v>0</v>
      </c>
      <c r="P283" s="5">
        <f t="array" ref="P283">MAX(IF((OutputTable[GroupByKey]=OutputTable[[#This Row],[GroupByKey]]),(OutputTable[GroupByKey]=OutputTable[[#This Row],[GroupByKey]])*OutputTable[RecordedValue]))</f>
        <v>0</v>
      </c>
    </row>
    <row r="284" spans="1:16" x14ac:dyDescent="0.25">
      <c r="A284" t="s">
        <v>67</v>
      </c>
      <c r="B284" t="s">
        <v>70</v>
      </c>
      <c r="C284">
        <v>11</v>
      </c>
      <c r="D284" t="s">
        <v>127</v>
      </c>
      <c r="E284" t="s">
        <v>116</v>
      </c>
      <c r="F284" t="s">
        <v>73</v>
      </c>
      <c r="G284">
        <v>0</v>
      </c>
      <c r="H284">
        <v>0</v>
      </c>
      <c r="I284" s="5" t="str">
        <f>OutputTable[[#This Row],[ProjectName]]&amp;OutputTable[[#This Row],[Name]]&amp;OutputTable[[#This Row],[Type]]&amp;OutputTable[[#This Row],[Source]]</f>
        <v>Unnamed Projectfinalqcman.ScheduledUtilizationScheduled UtilizationResource</v>
      </c>
      <c r="J284" s="5">
        <f t="array" ref="J284">MAX(IF((ProjectInfoTable[ProjectName]=OutputTable[[#This Row],[ProjectName]]),(ProjectInfoTable[ProjectName]=OutputTable[[#This Row],[ProjectName]])*ProjectInfoTable[NumberOfReplications]))</f>
        <v>15</v>
      </c>
      <c r="K284" s="5">
        <f t="array" ref="K284">IFERROR(AVERAGE(IF((OutputTable[GroupByKey]=OutputTable[[#This Row],[GroupByKey]]),(OutputTable[GroupByKey]=OutputTable[[#This Row],[GroupByKey]])*OutputTable[RecordedValue])),0)</f>
        <v>0</v>
      </c>
      <c r="L284" s="5">
        <f t="array" ref="L284">IFERROR(_xlfn.STDEV.S(IF((OutputTable[GroupByKey]=OutputTable[[#This Row],[GroupByKey]]),(OutputTable[GroupByKey]=OutputTable[[#This Row],[GroupByKey]])*OutputTable[RecordedValue])),0)</f>
        <v>0</v>
      </c>
      <c r="M284" s="5">
        <f t="array" ref="M284">MAX(IF((ProjectInfoTable[ProjectName]=OutputTable[[#This Row],[ProjectName]]),(ProjectInfoTable[ProjectName]=OutputTable[[#This Row],[ProjectName]])*ProjectInfoTable[ConfidenceInterval]))</f>
        <v>0.95</v>
      </c>
      <c r="N2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4" s="5">
        <f t="array" ref="O284">MIN(IF((OutputTable[GroupByKey]=OutputTable[[#This Row],[GroupByKey]]),(OutputTable[GroupByKey]=OutputTable[[#This Row],[GroupByKey]])*OutputTable[RecordedValue]))</f>
        <v>0</v>
      </c>
      <c r="P284" s="5">
        <f t="array" ref="P284">MAX(IF((OutputTable[GroupByKey]=OutputTable[[#This Row],[GroupByKey]]),(OutputTable[GroupByKey]=OutputTable[[#This Row],[GroupByKey]])*OutputTable[RecordedValue]))</f>
        <v>0</v>
      </c>
    </row>
    <row r="285" spans="1:16" x14ac:dyDescent="0.25">
      <c r="A285" t="s">
        <v>67</v>
      </c>
      <c r="B285" t="s">
        <v>70</v>
      </c>
      <c r="C285">
        <v>11</v>
      </c>
      <c r="D285" t="s">
        <v>128</v>
      </c>
      <c r="E285" t="s">
        <v>114</v>
      </c>
      <c r="F285" t="s">
        <v>73</v>
      </c>
      <c r="G285">
        <v>0</v>
      </c>
      <c r="H285">
        <v>0</v>
      </c>
      <c r="I285" s="5" t="str">
        <f>OutputTable[[#This Row],[ProjectName]]&amp;OutputTable[[#This Row],[Name]]&amp;OutputTable[[#This Row],[Type]]&amp;OutputTable[[#This Row],[Source]]</f>
        <v>Unnamed Projectpaintingmachine.NumberSeizedTotal Number SeizedResource</v>
      </c>
      <c r="J285" s="5">
        <f t="array" ref="J285">MAX(IF((ProjectInfoTable[ProjectName]=OutputTable[[#This Row],[ProjectName]]),(ProjectInfoTable[ProjectName]=OutputTable[[#This Row],[ProjectName]])*ProjectInfoTable[NumberOfReplications]))</f>
        <v>15</v>
      </c>
      <c r="K285" s="5">
        <f t="array" ref="K285">IFERROR(AVERAGE(IF((OutputTable[GroupByKey]=OutputTable[[#This Row],[GroupByKey]]),(OutputTable[GroupByKey]=OutputTable[[#This Row],[GroupByKey]])*OutputTable[RecordedValue])),0)</f>
        <v>0</v>
      </c>
      <c r="L285" s="5">
        <f t="array" ref="L285">IFERROR(_xlfn.STDEV.S(IF((OutputTable[GroupByKey]=OutputTable[[#This Row],[GroupByKey]]),(OutputTable[GroupByKey]=OutputTable[[#This Row],[GroupByKey]])*OutputTable[RecordedValue])),0)</f>
        <v>0</v>
      </c>
      <c r="M285" s="5">
        <f t="array" ref="M285">MAX(IF((ProjectInfoTable[ProjectName]=OutputTable[[#This Row],[ProjectName]]),(ProjectInfoTable[ProjectName]=OutputTable[[#This Row],[ProjectName]])*ProjectInfoTable[ConfidenceInterval]))</f>
        <v>0.95</v>
      </c>
      <c r="N2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5" s="5">
        <f t="array" ref="O285">MIN(IF((OutputTable[GroupByKey]=OutputTable[[#This Row],[GroupByKey]]),(OutputTable[GroupByKey]=OutputTable[[#This Row],[GroupByKey]])*OutputTable[RecordedValue]))</f>
        <v>0</v>
      </c>
      <c r="P285" s="5">
        <f t="array" ref="P285">MAX(IF((OutputTable[GroupByKey]=OutputTable[[#This Row],[GroupByKey]]),(OutputTable[GroupByKey]=OutputTable[[#This Row],[GroupByKey]])*OutputTable[RecordedValue]))</f>
        <v>0</v>
      </c>
    </row>
    <row r="286" spans="1:16" x14ac:dyDescent="0.25">
      <c r="A286" t="s">
        <v>67</v>
      </c>
      <c r="B286" t="s">
        <v>70</v>
      </c>
      <c r="C286">
        <v>11</v>
      </c>
      <c r="D286" t="s">
        <v>129</v>
      </c>
      <c r="E286" t="s">
        <v>116</v>
      </c>
      <c r="F286" t="s">
        <v>73</v>
      </c>
      <c r="G286">
        <v>0</v>
      </c>
      <c r="H286">
        <v>0</v>
      </c>
      <c r="I286" s="5" t="str">
        <f>OutputTable[[#This Row],[ProjectName]]&amp;OutputTable[[#This Row],[Name]]&amp;OutputTable[[#This Row],[Type]]&amp;OutputTable[[#This Row],[Source]]</f>
        <v>Unnamed Projectpaintingmachine.ScheduledUtilizationScheduled UtilizationResource</v>
      </c>
      <c r="J286" s="5">
        <f t="array" ref="J286">MAX(IF((ProjectInfoTable[ProjectName]=OutputTable[[#This Row],[ProjectName]]),(ProjectInfoTable[ProjectName]=OutputTable[[#This Row],[ProjectName]])*ProjectInfoTable[NumberOfReplications]))</f>
        <v>15</v>
      </c>
      <c r="K286" s="5">
        <f t="array" ref="K286">IFERROR(AVERAGE(IF((OutputTable[GroupByKey]=OutputTable[[#This Row],[GroupByKey]]),(OutputTable[GroupByKey]=OutputTable[[#This Row],[GroupByKey]])*OutputTable[RecordedValue])),0)</f>
        <v>0</v>
      </c>
      <c r="L286" s="5">
        <f t="array" ref="L286">IFERROR(_xlfn.STDEV.S(IF((OutputTable[GroupByKey]=OutputTable[[#This Row],[GroupByKey]]),(OutputTable[GroupByKey]=OutputTable[[#This Row],[GroupByKey]])*OutputTable[RecordedValue])),0)</f>
        <v>0</v>
      </c>
      <c r="M286" s="5">
        <f t="array" ref="M286">MAX(IF((ProjectInfoTable[ProjectName]=OutputTable[[#This Row],[ProjectName]]),(ProjectInfoTable[ProjectName]=OutputTable[[#This Row],[ProjectName]])*ProjectInfoTable[ConfidenceInterval]))</f>
        <v>0.95</v>
      </c>
      <c r="N2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6" s="5">
        <f t="array" ref="O286">MIN(IF((OutputTable[GroupByKey]=OutputTable[[#This Row],[GroupByKey]]),(OutputTable[GroupByKey]=OutputTable[[#This Row],[GroupByKey]])*OutputTable[RecordedValue]))</f>
        <v>0</v>
      </c>
      <c r="P286" s="5">
        <f t="array" ref="P286">MAX(IF((OutputTable[GroupByKey]=OutputTable[[#This Row],[GroupByKey]]),(OutputTable[GroupByKey]=OutputTable[[#This Row],[GroupByKey]])*OutputTable[RecordedValue]))</f>
        <v>0</v>
      </c>
    </row>
    <row r="287" spans="1:16" x14ac:dyDescent="0.25">
      <c r="A287" t="s">
        <v>67</v>
      </c>
      <c r="B287" t="s">
        <v>70</v>
      </c>
      <c r="C287">
        <v>11</v>
      </c>
      <c r="D287" t="s">
        <v>130</v>
      </c>
      <c r="E287" t="s">
        <v>114</v>
      </c>
      <c r="F287" t="s">
        <v>73</v>
      </c>
      <c r="G287">
        <v>0</v>
      </c>
      <c r="H287">
        <v>0</v>
      </c>
      <c r="I287" s="5" t="str">
        <f>OutputTable[[#This Row],[ProjectName]]&amp;OutputTable[[#This Row],[Name]]&amp;OutputTable[[#This Row],[Type]]&amp;OutputTable[[#This Row],[Source]]</f>
        <v>Unnamed Projectpaintingoperator.NumberSeizedTotal Number SeizedResource</v>
      </c>
      <c r="J287" s="5">
        <f t="array" ref="J287">MAX(IF((ProjectInfoTable[ProjectName]=OutputTable[[#This Row],[ProjectName]]),(ProjectInfoTable[ProjectName]=OutputTable[[#This Row],[ProjectName]])*ProjectInfoTable[NumberOfReplications]))</f>
        <v>15</v>
      </c>
      <c r="K287" s="5">
        <f t="array" ref="K287">IFERROR(AVERAGE(IF((OutputTable[GroupByKey]=OutputTable[[#This Row],[GroupByKey]]),(OutputTable[GroupByKey]=OutputTable[[#This Row],[GroupByKey]])*OutputTable[RecordedValue])),0)</f>
        <v>0</v>
      </c>
      <c r="L287" s="5">
        <f t="array" ref="L287">IFERROR(_xlfn.STDEV.S(IF((OutputTable[GroupByKey]=OutputTable[[#This Row],[GroupByKey]]),(OutputTable[GroupByKey]=OutputTable[[#This Row],[GroupByKey]])*OutputTable[RecordedValue])),0)</f>
        <v>0</v>
      </c>
      <c r="M287" s="5">
        <f t="array" ref="M287">MAX(IF((ProjectInfoTable[ProjectName]=OutputTable[[#This Row],[ProjectName]]),(ProjectInfoTable[ProjectName]=OutputTable[[#This Row],[ProjectName]])*ProjectInfoTable[ConfidenceInterval]))</f>
        <v>0.95</v>
      </c>
      <c r="N2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7" s="5">
        <f t="array" ref="O287">MIN(IF((OutputTable[GroupByKey]=OutputTable[[#This Row],[GroupByKey]]),(OutputTable[GroupByKey]=OutputTable[[#This Row],[GroupByKey]])*OutputTable[RecordedValue]))</f>
        <v>0</v>
      </c>
      <c r="P287" s="5">
        <f t="array" ref="P287">MAX(IF((OutputTable[GroupByKey]=OutputTable[[#This Row],[GroupByKey]]),(OutputTable[GroupByKey]=OutputTable[[#This Row],[GroupByKey]])*OutputTable[RecordedValue]))</f>
        <v>0</v>
      </c>
    </row>
    <row r="288" spans="1:16" x14ac:dyDescent="0.25">
      <c r="A288" t="s">
        <v>67</v>
      </c>
      <c r="B288" t="s">
        <v>70</v>
      </c>
      <c r="C288">
        <v>11</v>
      </c>
      <c r="D288" t="s">
        <v>131</v>
      </c>
      <c r="E288" t="s">
        <v>116</v>
      </c>
      <c r="F288" t="s">
        <v>73</v>
      </c>
      <c r="G288">
        <v>0</v>
      </c>
      <c r="H288">
        <v>0</v>
      </c>
      <c r="I288" s="5" t="str">
        <f>OutputTable[[#This Row],[ProjectName]]&amp;OutputTable[[#This Row],[Name]]&amp;OutputTable[[#This Row],[Type]]&amp;OutputTable[[#This Row],[Source]]</f>
        <v>Unnamed Projectpaintingoperator.ScheduledUtilizationScheduled UtilizationResource</v>
      </c>
      <c r="J288" s="5">
        <f t="array" ref="J288">MAX(IF((ProjectInfoTable[ProjectName]=OutputTable[[#This Row],[ProjectName]]),(ProjectInfoTable[ProjectName]=OutputTable[[#This Row],[ProjectName]])*ProjectInfoTable[NumberOfReplications]))</f>
        <v>15</v>
      </c>
      <c r="K288" s="5">
        <f t="array" ref="K288">IFERROR(AVERAGE(IF((OutputTable[GroupByKey]=OutputTable[[#This Row],[GroupByKey]]),(OutputTable[GroupByKey]=OutputTable[[#This Row],[GroupByKey]])*OutputTable[RecordedValue])),0)</f>
        <v>0</v>
      </c>
      <c r="L288" s="5">
        <f t="array" ref="L288">IFERROR(_xlfn.STDEV.S(IF((OutputTable[GroupByKey]=OutputTable[[#This Row],[GroupByKey]]),(OutputTable[GroupByKey]=OutputTable[[#This Row],[GroupByKey]])*OutputTable[RecordedValue])),0)</f>
        <v>0</v>
      </c>
      <c r="M288" s="5">
        <f t="array" ref="M288">MAX(IF((ProjectInfoTable[ProjectName]=OutputTable[[#This Row],[ProjectName]]),(ProjectInfoTable[ProjectName]=OutputTable[[#This Row],[ProjectName]])*ProjectInfoTable[ConfidenceInterval]))</f>
        <v>0.95</v>
      </c>
      <c r="N2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8" s="5">
        <f t="array" ref="O288">MIN(IF((OutputTable[GroupByKey]=OutputTable[[#This Row],[GroupByKey]]),(OutputTable[GroupByKey]=OutputTable[[#This Row],[GroupByKey]])*OutputTable[RecordedValue]))</f>
        <v>0</v>
      </c>
      <c r="P288" s="5">
        <f t="array" ref="P288">MAX(IF((OutputTable[GroupByKey]=OutputTable[[#This Row],[GroupByKey]]),(OutputTable[GroupByKey]=OutputTable[[#This Row],[GroupByKey]])*OutputTable[RecordedValue]))</f>
        <v>0</v>
      </c>
    </row>
    <row r="289" spans="1:16" x14ac:dyDescent="0.25">
      <c r="A289" t="s">
        <v>67</v>
      </c>
      <c r="B289" t="s">
        <v>70</v>
      </c>
      <c r="C289">
        <v>11</v>
      </c>
      <c r="D289" t="s">
        <v>132</v>
      </c>
      <c r="E289" t="s">
        <v>114</v>
      </c>
      <c r="F289" t="s">
        <v>73</v>
      </c>
      <c r="G289">
        <v>0</v>
      </c>
      <c r="H289">
        <v>0</v>
      </c>
      <c r="I289" s="5" t="str">
        <f>OutputTable[[#This Row],[ProjectName]]&amp;OutputTable[[#This Row],[Name]]&amp;OutputTable[[#This Row],[Type]]&amp;OutputTable[[#This Row],[Source]]</f>
        <v>Unnamed Projectsandblastmachine.NumberSeizedTotal Number SeizedResource</v>
      </c>
      <c r="J289" s="5">
        <f t="array" ref="J289">MAX(IF((ProjectInfoTable[ProjectName]=OutputTable[[#This Row],[ProjectName]]),(ProjectInfoTable[ProjectName]=OutputTable[[#This Row],[ProjectName]])*ProjectInfoTable[NumberOfReplications]))</f>
        <v>15</v>
      </c>
      <c r="K289" s="5">
        <f t="array" ref="K289">IFERROR(AVERAGE(IF((OutputTable[GroupByKey]=OutputTable[[#This Row],[GroupByKey]]),(OutputTable[GroupByKey]=OutputTable[[#This Row],[GroupByKey]])*OutputTable[RecordedValue])),0)</f>
        <v>0</v>
      </c>
      <c r="L289" s="5">
        <f t="array" ref="L289">IFERROR(_xlfn.STDEV.S(IF((OutputTable[GroupByKey]=OutputTable[[#This Row],[GroupByKey]]),(OutputTable[GroupByKey]=OutputTable[[#This Row],[GroupByKey]])*OutputTable[RecordedValue])),0)</f>
        <v>0</v>
      </c>
      <c r="M289" s="5">
        <f t="array" ref="M289">MAX(IF((ProjectInfoTable[ProjectName]=OutputTable[[#This Row],[ProjectName]]),(ProjectInfoTable[ProjectName]=OutputTable[[#This Row],[ProjectName]])*ProjectInfoTable[ConfidenceInterval]))</f>
        <v>0.95</v>
      </c>
      <c r="N2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89" s="5">
        <f t="array" ref="O289">MIN(IF((OutputTable[GroupByKey]=OutputTable[[#This Row],[GroupByKey]]),(OutputTable[GroupByKey]=OutputTable[[#This Row],[GroupByKey]])*OutputTable[RecordedValue]))</f>
        <v>0</v>
      </c>
      <c r="P289" s="5">
        <f t="array" ref="P289">MAX(IF((OutputTable[GroupByKey]=OutputTable[[#This Row],[GroupByKey]]),(OutputTable[GroupByKey]=OutputTable[[#This Row],[GroupByKey]])*OutputTable[RecordedValue]))</f>
        <v>0</v>
      </c>
    </row>
    <row r="290" spans="1:16" x14ac:dyDescent="0.25">
      <c r="A290" t="s">
        <v>67</v>
      </c>
      <c r="B290" t="s">
        <v>70</v>
      </c>
      <c r="C290">
        <v>11</v>
      </c>
      <c r="D290" t="s">
        <v>133</v>
      </c>
      <c r="E290" t="s">
        <v>116</v>
      </c>
      <c r="F290" t="s">
        <v>73</v>
      </c>
      <c r="G290">
        <v>0</v>
      </c>
      <c r="H290">
        <v>0</v>
      </c>
      <c r="I290" s="5" t="str">
        <f>OutputTable[[#This Row],[ProjectName]]&amp;OutputTable[[#This Row],[Name]]&amp;OutputTable[[#This Row],[Type]]&amp;OutputTable[[#This Row],[Source]]</f>
        <v>Unnamed Projectsandblastmachine.ScheduledUtilizationScheduled UtilizationResource</v>
      </c>
      <c r="J290" s="5">
        <f t="array" ref="J290">MAX(IF((ProjectInfoTable[ProjectName]=OutputTable[[#This Row],[ProjectName]]),(ProjectInfoTable[ProjectName]=OutputTable[[#This Row],[ProjectName]])*ProjectInfoTable[NumberOfReplications]))</f>
        <v>15</v>
      </c>
      <c r="K290" s="5">
        <f t="array" ref="K290">IFERROR(AVERAGE(IF((OutputTable[GroupByKey]=OutputTable[[#This Row],[GroupByKey]]),(OutputTable[GroupByKey]=OutputTable[[#This Row],[GroupByKey]])*OutputTable[RecordedValue])),0)</f>
        <v>0</v>
      </c>
      <c r="L290" s="5">
        <f t="array" ref="L290">IFERROR(_xlfn.STDEV.S(IF((OutputTable[GroupByKey]=OutputTable[[#This Row],[GroupByKey]]),(OutputTable[GroupByKey]=OutputTable[[#This Row],[GroupByKey]])*OutputTable[RecordedValue])),0)</f>
        <v>0</v>
      </c>
      <c r="M290" s="5">
        <f t="array" ref="M290">MAX(IF((ProjectInfoTable[ProjectName]=OutputTable[[#This Row],[ProjectName]]),(ProjectInfoTable[ProjectName]=OutputTable[[#This Row],[ProjectName]])*ProjectInfoTable[ConfidenceInterval]))</f>
        <v>0.95</v>
      </c>
      <c r="N2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0" s="5">
        <f t="array" ref="O290">MIN(IF((OutputTable[GroupByKey]=OutputTable[[#This Row],[GroupByKey]]),(OutputTable[GroupByKey]=OutputTable[[#This Row],[GroupByKey]])*OutputTable[RecordedValue]))</f>
        <v>0</v>
      </c>
      <c r="P290" s="5">
        <f t="array" ref="P290">MAX(IF((OutputTable[GroupByKey]=OutputTable[[#This Row],[GroupByKey]]),(OutputTable[GroupByKey]=OutputTable[[#This Row],[GroupByKey]])*OutputTable[RecordedValue]))</f>
        <v>0</v>
      </c>
    </row>
    <row r="291" spans="1:16" x14ac:dyDescent="0.25">
      <c r="A291" t="s">
        <v>67</v>
      </c>
      <c r="B291" t="s">
        <v>70</v>
      </c>
      <c r="C291">
        <v>11</v>
      </c>
      <c r="D291" t="s">
        <v>134</v>
      </c>
      <c r="E291" t="s">
        <v>114</v>
      </c>
      <c r="F291" t="s">
        <v>73</v>
      </c>
      <c r="G291">
        <v>0</v>
      </c>
      <c r="H291">
        <v>0</v>
      </c>
      <c r="I291" s="5" t="str">
        <f>OutputTable[[#This Row],[ProjectName]]&amp;OutputTable[[#This Row],[Name]]&amp;OutputTable[[#This Row],[Type]]&amp;OutputTable[[#This Row],[Source]]</f>
        <v>Unnamed Projectsandblastoperator.NumberSeizedTotal Number SeizedResource</v>
      </c>
      <c r="J291" s="5">
        <f t="array" ref="J291">MAX(IF((ProjectInfoTable[ProjectName]=OutputTable[[#This Row],[ProjectName]]),(ProjectInfoTable[ProjectName]=OutputTable[[#This Row],[ProjectName]])*ProjectInfoTable[NumberOfReplications]))</f>
        <v>15</v>
      </c>
      <c r="K291" s="5">
        <f t="array" ref="K291">IFERROR(AVERAGE(IF((OutputTable[GroupByKey]=OutputTable[[#This Row],[GroupByKey]]),(OutputTable[GroupByKey]=OutputTable[[#This Row],[GroupByKey]])*OutputTable[RecordedValue])),0)</f>
        <v>0</v>
      </c>
      <c r="L291" s="5">
        <f t="array" ref="L291">IFERROR(_xlfn.STDEV.S(IF((OutputTable[GroupByKey]=OutputTable[[#This Row],[GroupByKey]]),(OutputTable[GroupByKey]=OutputTable[[#This Row],[GroupByKey]])*OutputTable[RecordedValue])),0)</f>
        <v>0</v>
      </c>
      <c r="M291" s="5">
        <f t="array" ref="M291">MAX(IF((ProjectInfoTable[ProjectName]=OutputTable[[#This Row],[ProjectName]]),(ProjectInfoTable[ProjectName]=OutputTable[[#This Row],[ProjectName]])*ProjectInfoTable[ConfidenceInterval]))</f>
        <v>0.95</v>
      </c>
      <c r="N2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1" s="5">
        <f t="array" ref="O291">MIN(IF((OutputTable[GroupByKey]=OutputTable[[#This Row],[GroupByKey]]),(OutputTable[GroupByKey]=OutputTable[[#This Row],[GroupByKey]])*OutputTable[RecordedValue]))</f>
        <v>0</v>
      </c>
      <c r="P291" s="5">
        <f t="array" ref="P291">MAX(IF((OutputTable[GroupByKey]=OutputTable[[#This Row],[GroupByKey]]),(OutputTable[GroupByKey]=OutputTable[[#This Row],[GroupByKey]])*OutputTable[RecordedValue]))</f>
        <v>0</v>
      </c>
    </row>
    <row r="292" spans="1:16" x14ac:dyDescent="0.25">
      <c r="A292" t="s">
        <v>67</v>
      </c>
      <c r="B292" t="s">
        <v>70</v>
      </c>
      <c r="C292">
        <v>11</v>
      </c>
      <c r="D292" t="s">
        <v>135</v>
      </c>
      <c r="E292" t="s">
        <v>116</v>
      </c>
      <c r="F292" t="s">
        <v>73</v>
      </c>
      <c r="G292">
        <v>0</v>
      </c>
      <c r="H292">
        <v>0</v>
      </c>
      <c r="I292" s="5" t="str">
        <f>OutputTable[[#This Row],[ProjectName]]&amp;OutputTable[[#This Row],[Name]]&amp;OutputTable[[#This Row],[Type]]&amp;OutputTable[[#This Row],[Source]]</f>
        <v>Unnamed Projectsandblastoperator.ScheduledUtilizationScheduled UtilizationResource</v>
      </c>
      <c r="J292" s="5">
        <f t="array" ref="J292">MAX(IF((ProjectInfoTable[ProjectName]=OutputTable[[#This Row],[ProjectName]]),(ProjectInfoTable[ProjectName]=OutputTable[[#This Row],[ProjectName]])*ProjectInfoTable[NumberOfReplications]))</f>
        <v>15</v>
      </c>
      <c r="K292" s="5">
        <f t="array" ref="K292">IFERROR(AVERAGE(IF((OutputTable[GroupByKey]=OutputTable[[#This Row],[GroupByKey]]),(OutputTable[GroupByKey]=OutputTable[[#This Row],[GroupByKey]])*OutputTable[RecordedValue])),0)</f>
        <v>0</v>
      </c>
      <c r="L292" s="5">
        <f t="array" ref="L292">IFERROR(_xlfn.STDEV.S(IF((OutputTable[GroupByKey]=OutputTable[[#This Row],[GroupByKey]]),(OutputTable[GroupByKey]=OutputTable[[#This Row],[GroupByKey]])*OutputTable[RecordedValue])),0)</f>
        <v>0</v>
      </c>
      <c r="M292" s="5">
        <f t="array" ref="M292">MAX(IF((ProjectInfoTable[ProjectName]=OutputTable[[#This Row],[ProjectName]]),(ProjectInfoTable[ProjectName]=OutputTable[[#This Row],[ProjectName]])*ProjectInfoTable[ConfidenceInterval]))</f>
        <v>0.95</v>
      </c>
      <c r="N2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2" s="5">
        <f t="array" ref="O292">MIN(IF((OutputTable[GroupByKey]=OutputTable[[#This Row],[GroupByKey]]),(OutputTable[GroupByKey]=OutputTable[[#This Row],[GroupByKey]])*OutputTable[RecordedValue]))</f>
        <v>0</v>
      </c>
      <c r="P292" s="5">
        <f t="array" ref="P292">MAX(IF((OutputTable[GroupByKey]=OutputTable[[#This Row],[GroupByKey]]),(OutputTable[GroupByKey]=OutputTable[[#This Row],[GroupByKey]])*OutputTable[RecordedValue]))</f>
        <v>0</v>
      </c>
    </row>
    <row r="293" spans="1:16" x14ac:dyDescent="0.25">
      <c r="A293" t="s">
        <v>67</v>
      </c>
      <c r="B293" t="s">
        <v>70</v>
      </c>
      <c r="C293">
        <v>11</v>
      </c>
      <c r="D293" t="s">
        <v>136</v>
      </c>
      <c r="E293" t="s">
        <v>120</v>
      </c>
      <c r="F293" t="s">
        <v>79</v>
      </c>
      <c r="G293">
        <v>0</v>
      </c>
      <c r="H293">
        <v>0</v>
      </c>
      <c r="I293" s="5" t="str">
        <f>OutputTable[[#This Row],[ProjectName]]&amp;OutputTable[[#This Row],[Name]]&amp;OutputTable[[#This Row],[Type]]&amp;OutputTable[[#This Row],[Source]]</f>
        <v>Unnamed Projectsteelsheet.NumberInNumber InEntity</v>
      </c>
      <c r="J293" s="5">
        <f t="array" ref="J293">MAX(IF((ProjectInfoTable[ProjectName]=OutputTable[[#This Row],[ProjectName]]),(ProjectInfoTable[ProjectName]=OutputTable[[#This Row],[ProjectName]])*ProjectInfoTable[NumberOfReplications]))</f>
        <v>15</v>
      </c>
      <c r="K293" s="5">
        <f t="array" ref="K293">IFERROR(AVERAGE(IF((OutputTable[GroupByKey]=OutputTable[[#This Row],[GroupByKey]]),(OutputTable[GroupByKey]=OutputTable[[#This Row],[GroupByKey]])*OutputTable[RecordedValue])),0)</f>
        <v>0</v>
      </c>
      <c r="L293" s="5">
        <f t="array" ref="L293">IFERROR(_xlfn.STDEV.S(IF((OutputTable[GroupByKey]=OutputTable[[#This Row],[GroupByKey]]),(OutputTable[GroupByKey]=OutputTable[[#This Row],[GroupByKey]])*OutputTable[RecordedValue])),0)</f>
        <v>0</v>
      </c>
      <c r="M293" s="5">
        <f t="array" ref="M293">MAX(IF((ProjectInfoTable[ProjectName]=OutputTable[[#This Row],[ProjectName]]),(ProjectInfoTable[ProjectName]=OutputTable[[#This Row],[ProjectName]])*ProjectInfoTable[ConfidenceInterval]))</f>
        <v>0.95</v>
      </c>
      <c r="N2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3" s="5">
        <f t="array" ref="O293">MIN(IF((OutputTable[GroupByKey]=OutputTable[[#This Row],[GroupByKey]]),(OutputTable[GroupByKey]=OutputTable[[#This Row],[GroupByKey]])*OutputTable[RecordedValue]))</f>
        <v>0</v>
      </c>
      <c r="P293" s="5">
        <f t="array" ref="P293">MAX(IF((OutputTable[GroupByKey]=OutputTable[[#This Row],[GroupByKey]]),(OutputTable[GroupByKey]=OutputTable[[#This Row],[GroupByKey]])*OutputTable[RecordedValue]))</f>
        <v>0</v>
      </c>
    </row>
    <row r="294" spans="1:16" x14ac:dyDescent="0.25">
      <c r="A294" t="s">
        <v>67</v>
      </c>
      <c r="B294" t="s">
        <v>70</v>
      </c>
      <c r="C294">
        <v>11</v>
      </c>
      <c r="D294" t="s">
        <v>137</v>
      </c>
      <c r="E294" t="s">
        <v>111</v>
      </c>
      <c r="F294" t="s">
        <v>79</v>
      </c>
      <c r="G294">
        <v>0</v>
      </c>
      <c r="H294">
        <v>0</v>
      </c>
      <c r="I294" s="5" t="str">
        <f>OutputTable[[#This Row],[ProjectName]]&amp;OutputTable[[#This Row],[Name]]&amp;OutputTable[[#This Row],[Type]]&amp;OutputTable[[#This Row],[Source]]</f>
        <v>Unnamed Projectsteelsheet.NumberOutNumber OutEntity</v>
      </c>
      <c r="J294" s="5">
        <f t="array" ref="J294">MAX(IF((ProjectInfoTable[ProjectName]=OutputTable[[#This Row],[ProjectName]]),(ProjectInfoTable[ProjectName]=OutputTable[[#This Row],[ProjectName]])*ProjectInfoTable[NumberOfReplications]))</f>
        <v>15</v>
      </c>
      <c r="K294" s="5">
        <f t="array" ref="K294">IFERROR(AVERAGE(IF((OutputTable[GroupByKey]=OutputTable[[#This Row],[GroupByKey]]),(OutputTable[GroupByKey]=OutputTable[[#This Row],[GroupByKey]])*OutputTable[RecordedValue])),0)</f>
        <v>0</v>
      </c>
      <c r="L294" s="5">
        <f t="array" ref="L294">IFERROR(_xlfn.STDEV.S(IF((OutputTable[GroupByKey]=OutputTable[[#This Row],[GroupByKey]]),(OutputTable[GroupByKey]=OutputTable[[#This Row],[GroupByKey]])*OutputTable[RecordedValue])),0)</f>
        <v>0</v>
      </c>
      <c r="M294" s="5">
        <f t="array" ref="M294">MAX(IF((ProjectInfoTable[ProjectName]=OutputTable[[#This Row],[ProjectName]]),(ProjectInfoTable[ProjectName]=OutputTable[[#This Row],[ProjectName]])*ProjectInfoTable[ConfidenceInterval]))</f>
        <v>0.95</v>
      </c>
      <c r="N2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4" s="5">
        <f t="array" ref="O294">MIN(IF((OutputTable[GroupByKey]=OutputTable[[#This Row],[GroupByKey]]),(OutputTable[GroupByKey]=OutputTable[[#This Row],[GroupByKey]])*OutputTable[RecordedValue]))</f>
        <v>0</v>
      </c>
      <c r="P294" s="5">
        <f t="array" ref="P294">MAX(IF((OutputTable[GroupByKey]=OutputTable[[#This Row],[GroupByKey]]),(OutputTable[GroupByKey]=OutputTable[[#This Row],[GroupByKey]])*OutputTable[RecordedValue]))</f>
        <v>0</v>
      </c>
    </row>
    <row r="295" spans="1:16" x14ac:dyDescent="0.25">
      <c r="A295" t="s">
        <v>67</v>
      </c>
      <c r="B295" t="s">
        <v>70</v>
      </c>
      <c r="C295">
        <v>11</v>
      </c>
      <c r="D295" t="s">
        <v>138</v>
      </c>
      <c r="E295" t="s">
        <v>114</v>
      </c>
      <c r="F295" t="s">
        <v>73</v>
      </c>
      <c r="G295">
        <v>0</v>
      </c>
      <c r="H295">
        <v>0</v>
      </c>
      <c r="I295" s="5" t="str">
        <f>OutputTable[[#This Row],[ProjectName]]&amp;OutputTable[[#This Row],[Name]]&amp;OutputTable[[#This Row],[Type]]&amp;OutputTable[[#This Row],[Source]]</f>
        <v>Unnamed Projectwelder.NumberSeizedTotal Number SeizedResource</v>
      </c>
      <c r="J295" s="5">
        <f t="array" ref="J295">MAX(IF((ProjectInfoTable[ProjectName]=OutputTable[[#This Row],[ProjectName]]),(ProjectInfoTable[ProjectName]=OutputTable[[#This Row],[ProjectName]])*ProjectInfoTable[NumberOfReplications]))</f>
        <v>15</v>
      </c>
      <c r="K295" s="5">
        <f t="array" ref="K295">IFERROR(AVERAGE(IF((OutputTable[GroupByKey]=OutputTable[[#This Row],[GroupByKey]]),(OutputTable[GroupByKey]=OutputTable[[#This Row],[GroupByKey]])*OutputTable[RecordedValue])),0)</f>
        <v>0</v>
      </c>
      <c r="L295" s="5">
        <f t="array" ref="L295">IFERROR(_xlfn.STDEV.S(IF((OutputTable[GroupByKey]=OutputTable[[#This Row],[GroupByKey]]),(OutputTable[GroupByKey]=OutputTable[[#This Row],[GroupByKey]])*OutputTable[RecordedValue])),0)</f>
        <v>0</v>
      </c>
      <c r="M295" s="5">
        <f t="array" ref="M295">MAX(IF((ProjectInfoTable[ProjectName]=OutputTable[[#This Row],[ProjectName]]),(ProjectInfoTable[ProjectName]=OutputTable[[#This Row],[ProjectName]])*ProjectInfoTable[ConfidenceInterval]))</f>
        <v>0.95</v>
      </c>
      <c r="N2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5" s="5">
        <f t="array" ref="O295">MIN(IF((OutputTable[GroupByKey]=OutputTable[[#This Row],[GroupByKey]]),(OutputTable[GroupByKey]=OutputTable[[#This Row],[GroupByKey]])*OutputTable[RecordedValue]))</f>
        <v>0</v>
      </c>
      <c r="P295" s="5">
        <f t="array" ref="P295">MAX(IF((OutputTable[GroupByKey]=OutputTable[[#This Row],[GroupByKey]]),(OutputTable[GroupByKey]=OutputTable[[#This Row],[GroupByKey]])*OutputTable[RecordedValue]))</f>
        <v>0</v>
      </c>
    </row>
    <row r="296" spans="1:16" x14ac:dyDescent="0.25">
      <c r="A296" t="s">
        <v>67</v>
      </c>
      <c r="B296" t="s">
        <v>70</v>
      </c>
      <c r="C296">
        <v>11</v>
      </c>
      <c r="D296" t="s">
        <v>139</v>
      </c>
      <c r="E296" t="s">
        <v>116</v>
      </c>
      <c r="F296" t="s">
        <v>73</v>
      </c>
      <c r="G296">
        <v>0</v>
      </c>
      <c r="H296">
        <v>0</v>
      </c>
      <c r="I296" s="5" t="str">
        <f>OutputTable[[#This Row],[ProjectName]]&amp;OutputTable[[#This Row],[Name]]&amp;OutputTable[[#This Row],[Type]]&amp;OutputTable[[#This Row],[Source]]</f>
        <v>Unnamed Projectwelder.ScheduledUtilizationScheduled UtilizationResource</v>
      </c>
      <c r="J296" s="5">
        <f t="array" ref="J296">MAX(IF((ProjectInfoTable[ProjectName]=OutputTable[[#This Row],[ProjectName]]),(ProjectInfoTable[ProjectName]=OutputTable[[#This Row],[ProjectName]])*ProjectInfoTable[NumberOfReplications]))</f>
        <v>15</v>
      </c>
      <c r="K296" s="5">
        <f t="array" ref="K296">IFERROR(AVERAGE(IF((OutputTable[GroupByKey]=OutputTable[[#This Row],[GroupByKey]]),(OutputTable[GroupByKey]=OutputTable[[#This Row],[GroupByKey]])*OutputTable[RecordedValue])),0)</f>
        <v>0</v>
      </c>
      <c r="L296" s="5">
        <f t="array" ref="L296">IFERROR(_xlfn.STDEV.S(IF((OutputTable[GroupByKey]=OutputTable[[#This Row],[GroupByKey]]),(OutputTable[GroupByKey]=OutputTable[[#This Row],[GroupByKey]])*OutputTable[RecordedValue])),0)</f>
        <v>0</v>
      </c>
      <c r="M296" s="5">
        <f t="array" ref="M296">MAX(IF((ProjectInfoTable[ProjectName]=OutputTable[[#This Row],[ProjectName]]),(ProjectInfoTable[ProjectName]=OutputTable[[#This Row],[ProjectName]])*ProjectInfoTable[ConfidenceInterval]))</f>
        <v>0.95</v>
      </c>
      <c r="N2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6" s="5">
        <f t="array" ref="O296">MIN(IF((OutputTable[GroupByKey]=OutputTable[[#This Row],[GroupByKey]]),(OutputTable[GroupByKey]=OutputTable[[#This Row],[GroupByKey]])*OutputTable[RecordedValue]))</f>
        <v>0</v>
      </c>
      <c r="P296" s="5">
        <f t="array" ref="P296">MAX(IF((OutputTable[GroupByKey]=OutputTable[[#This Row],[GroupByKey]]),(OutputTable[GroupByKey]=OutputTable[[#This Row],[GroupByKey]])*OutputTable[RecordedValue]))</f>
        <v>0</v>
      </c>
    </row>
    <row r="297" spans="1:16" x14ac:dyDescent="0.25">
      <c r="A297" t="s">
        <v>67</v>
      </c>
      <c r="B297" t="s">
        <v>70</v>
      </c>
      <c r="C297">
        <v>11</v>
      </c>
      <c r="D297" t="s">
        <v>140</v>
      </c>
      <c r="E297" t="s">
        <v>114</v>
      </c>
      <c r="F297" t="s">
        <v>73</v>
      </c>
      <c r="G297">
        <v>0</v>
      </c>
      <c r="H297">
        <v>0</v>
      </c>
      <c r="I297" s="5" t="str">
        <f>OutputTable[[#This Row],[ProjectName]]&amp;OutputTable[[#This Row],[Name]]&amp;OutputTable[[#This Row],[Type]]&amp;OutputTable[[#This Row],[Source]]</f>
        <v>Unnamed Projectweldingqcworker.NumberSeizedTotal Number SeizedResource</v>
      </c>
      <c r="J297" s="5">
        <f t="array" ref="J297">MAX(IF((ProjectInfoTable[ProjectName]=OutputTable[[#This Row],[ProjectName]]),(ProjectInfoTable[ProjectName]=OutputTable[[#This Row],[ProjectName]])*ProjectInfoTable[NumberOfReplications]))</f>
        <v>15</v>
      </c>
      <c r="K297" s="5">
        <f t="array" ref="K297">IFERROR(AVERAGE(IF((OutputTable[GroupByKey]=OutputTable[[#This Row],[GroupByKey]]),(OutputTable[GroupByKey]=OutputTable[[#This Row],[GroupByKey]])*OutputTable[RecordedValue])),0)</f>
        <v>0</v>
      </c>
      <c r="L297" s="5">
        <f t="array" ref="L297">IFERROR(_xlfn.STDEV.S(IF((OutputTable[GroupByKey]=OutputTable[[#This Row],[GroupByKey]]),(OutputTable[GroupByKey]=OutputTable[[#This Row],[GroupByKey]])*OutputTable[RecordedValue])),0)</f>
        <v>0</v>
      </c>
      <c r="M297" s="5">
        <f t="array" ref="M297">MAX(IF((ProjectInfoTable[ProjectName]=OutputTable[[#This Row],[ProjectName]]),(ProjectInfoTable[ProjectName]=OutputTable[[#This Row],[ProjectName]])*ProjectInfoTable[ConfidenceInterval]))</f>
        <v>0.95</v>
      </c>
      <c r="N2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7" s="5">
        <f t="array" ref="O297">MIN(IF((OutputTable[GroupByKey]=OutputTable[[#This Row],[GroupByKey]]),(OutputTable[GroupByKey]=OutputTable[[#This Row],[GroupByKey]])*OutputTable[RecordedValue]))</f>
        <v>0</v>
      </c>
      <c r="P297" s="5">
        <f t="array" ref="P297">MAX(IF((OutputTable[GroupByKey]=OutputTable[[#This Row],[GroupByKey]]),(OutputTable[GroupByKey]=OutputTable[[#This Row],[GroupByKey]])*OutputTable[RecordedValue]))</f>
        <v>0</v>
      </c>
    </row>
    <row r="298" spans="1:16" x14ac:dyDescent="0.25">
      <c r="A298" t="s">
        <v>67</v>
      </c>
      <c r="B298" t="s">
        <v>70</v>
      </c>
      <c r="C298">
        <v>11</v>
      </c>
      <c r="D298" t="s">
        <v>141</v>
      </c>
      <c r="E298" t="s">
        <v>116</v>
      </c>
      <c r="F298" t="s">
        <v>73</v>
      </c>
      <c r="G298">
        <v>0</v>
      </c>
      <c r="H298">
        <v>0</v>
      </c>
      <c r="I298" s="5" t="str">
        <f>OutputTable[[#This Row],[ProjectName]]&amp;OutputTable[[#This Row],[Name]]&amp;OutputTable[[#This Row],[Type]]&amp;OutputTable[[#This Row],[Source]]</f>
        <v>Unnamed Projectweldingqcworker.ScheduledUtilizationScheduled UtilizationResource</v>
      </c>
      <c r="J298" s="5">
        <f t="array" ref="J298">MAX(IF((ProjectInfoTable[ProjectName]=OutputTable[[#This Row],[ProjectName]]),(ProjectInfoTable[ProjectName]=OutputTable[[#This Row],[ProjectName]])*ProjectInfoTable[NumberOfReplications]))</f>
        <v>15</v>
      </c>
      <c r="K298" s="5">
        <f t="array" ref="K298">IFERROR(AVERAGE(IF((OutputTable[GroupByKey]=OutputTable[[#This Row],[GroupByKey]]),(OutputTable[GroupByKey]=OutputTable[[#This Row],[GroupByKey]])*OutputTable[RecordedValue])),0)</f>
        <v>0</v>
      </c>
      <c r="L298" s="5">
        <f t="array" ref="L298">IFERROR(_xlfn.STDEV.S(IF((OutputTable[GroupByKey]=OutputTable[[#This Row],[GroupByKey]]),(OutputTable[GroupByKey]=OutputTable[[#This Row],[GroupByKey]])*OutputTable[RecordedValue])),0)</f>
        <v>0</v>
      </c>
      <c r="M298" s="5">
        <f t="array" ref="M298">MAX(IF((ProjectInfoTable[ProjectName]=OutputTable[[#This Row],[ProjectName]]),(ProjectInfoTable[ProjectName]=OutputTable[[#This Row],[ProjectName]])*ProjectInfoTable[ConfidenceInterval]))</f>
        <v>0.95</v>
      </c>
      <c r="N2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8" s="5">
        <f t="array" ref="O298">MIN(IF((OutputTable[GroupByKey]=OutputTable[[#This Row],[GroupByKey]]),(OutputTable[GroupByKey]=OutputTable[[#This Row],[GroupByKey]])*OutputTable[RecordedValue]))</f>
        <v>0</v>
      </c>
      <c r="P298" s="5">
        <f t="array" ref="P298">MAX(IF((OutputTable[GroupByKey]=OutputTable[[#This Row],[GroupByKey]]),(OutputTable[GroupByKey]=OutputTable[[#This Row],[GroupByKey]])*OutputTable[RecordedValue]))</f>
        <v>0</v>
      </c>
    </row>
    <row r="299" spans="1:16" x14ac:dyDescent="0.25">
      <c r="A299" t="s">
        <v>67</v>
      </c>
      <c r="B299" t="s">
        <v>70</v>
      </c>
      <c r="C299">
        <v>12</v>
      </c>
      <c r="D299" t="s">
        <v>110</v>
      </c>
      <c r="E299" t="s">
        <v>111</v>
      </c>
      <c r="F299" t="s">
        <v>112</v>
      </c>
      <c r="G299">
        <v>0</v>
      </c>
      <c r="H299">
        <v>0</v>
      </c>
      <c r="I299" s="5" t="str">
        <f>OutputTable[[#This Row],[ProjectName]]&amp;OutputTable[[#This Row],[Name]]&amp;OutputTable[[#This Row],[Type]]&amp;OutputTable[[#This Row],[Source]]</f>
        <v>Unnamed ProjectSystem.NumberOutNumber OutSystem</v>
      </c>
      <c r="J299" s="5">
        <f t="array" ref="J299">MAX(IF((ProjectInfoTable[ProjectName]=OutputTable[[#This Row],[ProjectName]]),(ProjectInfoTable[ProjectName]=OutputTable[[#This Row],[ProjectName]])*ProjectInfoTable[NumberOfReplications]))</f>
        <v>15</v>
      </c>
      <c r="K299" s="5">
        <f t="array" ref="K299">IFERROR(AVERAGE(IF((OutputTable[GroupByKey]=OutputTable[[#This Row],[GroupByKey]]),(OutputTable[GroupByKey]=OutputTable[[#This Row],[GroupByKey]])*OutputTable[RecordedValue])),0)</f>
        <v>0</v>
      </c>
      <c r="L299" s="5">
        <f t="array" ref="L299">IFERROR(_xlfn.STDEV.S(IF((OutputTable[GroupByKey]=OutputTable[[#This Row],[GroupByKey]]),(OutputTable[GroupByKey]=OutputTable[[#This Row],[GroupByKey]])*OutputTable[RecordedValue])),0)</f>
        <v>0</v>
      </c>
      <c r="M299" s="5">
        <f t="array" ref="M299">MAX(IF((ProjectInfoTable[ProjectName]=OutputTable[[#This Row],[ProjectName]]),(ProjectInfoTable[ProjectName]=OutputTable[[#This Row],[ProjectName]])*ProjectInfoTable[ConfidenceInterval]))</f>
        <v>0.95</v>
      </c>
      <c r="N2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99" s="5">
        <f t="array" ref="O299">MIN(IF((OutputTable[GroupByKey]=OutputTable[[#This Row],[GroupByKey]]),(OutputTable[GroupByKey]=OutputTable[[#This Row],[GroupByKey]])*OutputTable[RecordedValue]))</f>
        <v>0</v>
      </c>
      <c r="P299" s="5">
        <f t="array" ref="P299">MAX(IF((OutputTable[GroupByKey]=OutputTable[[#This Row],[GroupByKey]]),(OutputTable[GroupByKey]=OutputTable[[#This Row],[GroupByKey]])*OutputTable[RecordedValue]))</f>
        <v>0</v>
      </c>
    </row>
    <row r="300" spans="1:16" x14ac:dyDescent="0.25">
      <c r="A300" t="s">
        <v>67</v>
      </c>
      <c r="B300" t="s">
        <v>70</v>
      </c>
      <c r="C300">
        <v>12</v>
      </c>
      <c r="D300" t="s">
        <v>113</v>
      </c>
      <c r="E300" t="s">
        <v>114</v>
      </c>
      <c r="F300" t="s">
        <v>73</v>
      </c>
      <c r="G300">
        <v>0</v>
      </c>
      <c r="H300">
        <v>0</v>
      </c>
      <c r="I300" s="5" t="str">
        <f>OutputTable[[#This Row],[ProjectName]]&amp;OutputTable[[#This Row],[Name]]&amp;OutputTable[[#This Row],[Type]]&amp;OutputTable[[#This Row],[Source]]</f>
        <v>Unnamed Projectassembler.NumberSeizedTotal Number SeizedResource</v>
      </c>
      <c r="J300" s="5">
        <f t="array" ref="J300">MAX(IF((ProjectInfoTable[ProjectName]=OutputTable[[#This Row],[ProjectName]]),(ProjectInfoTable[ProjectName]=OutputTable[[#This Row],[ProjectName]])*ProjectInfoTable[NumberOfReplications]))</f>
        <v>15</v>
      </c>
      <c r="K300" s="5">
        <f t="array" ref="K300">IFERROR(AVERAGE(IF((OutputTable[GroupByKey]=OutputTable[[#This Row],[GroupByKey]]),(OutputTable[GroupByKey]=OutputTable[[#This Row],[GroupByKey]])*OutputTable[RecordedValue])),0)</f>
        <v>0</v>
      </c>
      <c r="L300" s="5">
        <f t="array" ref="L300">IFERROR(_xlfn.STDEV.S(IF((OutputTable[GroupByKey]=OutputTable[[#This Row],[GroupByKey]]),(OutputTable[GroupByKey]=OutputTable[[#This Row],[GroupByKey]])*OutputTable[RecordedValue])),0)</f>
        <v>0</v>
      </c>
      <c r="M300" s="5">
        <f t="array" ref="M300">MAX(IF((ProjectInfoTable[ProjectName]=OutputTable[[#This Row],[ProjectName]]),(ProjectInfoTable[ProjectName]=OutputTable[[#This Row],[ProjectName]])*ProjectInfoTable[ConfidenceInterval]))</f>
        <v>0.95</v>
      </c>
      <c r="N3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0" s="5">
        <f t="array" ref="O300">MIN(IF((OutputTable[GroupByKey]=OutputTable[[#This Row],[GroupByKey]]),(OutputTable[GroupByKey]=OutputTable[[#This Row],[GroupByKey]])*OutputTable[RecordedValue]))</f>
        <v>0</v>
      </c>
      <c r="P300" s="5">
        <f t="array" ref="P300">MAX(IF((OutputTable[GroupByKey]=OutputTable[[#This Row],[GroupByKey]]),(OutputTable[GroupByKey]=OutputTable[[#This Row],[GroupByKey]])*OutputTable[RecordedValue]))</f>
        <v>0</v>
      </c>
    </row>
    <row r="301" spans="1:16" x14ac:dyDescent="0.25">
      <c r="A301" t="s">
        <v>67</v>
      </c>
      <c r="B301" t="s">
        <v>70</v>
      </c>
      <c r="C301">
        <v>12</v>
      </c>
      <c r="D301" t="s">
        <v>115</v>
      </c>
      <c r="E301" t="s">
        <v>116</v>
      </c>
      <c r="F301" t="s">
        <v>73</v>
      </c>
      <c r="G301">
        <v>0</v>
      </c>
      <c r="H301">
        <v>0</v>
      </c>
      <c r="I301" s="5" t="str">
        <f>OutputTable[[#This Row],[ProjectName]]&amp;OutputTable[[#This Row],[Name]]&amp;OutputTable[[#This Row],[Type]]&amp;OutputTable[[#This Row],[Source]]</f>
        <v>Unnamed Projectassembler.ScheduledUtilizationScheduled UtilizationResource</v>
      </c>
      <c r="J301" s="5">
        <f t="array" ref="J301">MAX(IF((ProjectInfoTable[ProjectName]=OutputTable[[#This Row],[ProjectName]]),(ProjectInfoTable[ProjectName]=OutputTable[[#This Row],[ProjectName]])*ProjectInfoTable[NumberOfReplications]))</f>
        <v>15</v>
      </c>
      <c r="K301" s="5">
        <f t="array" ref="K301">IFERROR(AVERAGE(IF((OutputTable[GroupByKey]=OutputTable[[#This Row],[GroupByKey]]),(OutputTable[GroupByKey]=OutputTable[[#This Row],[GroupByKey]])*OutputTable[RecordedValue])),0)</f>
        <v>0</v>
      </c>
      <c r="L301" s="5">
        <f t="array" ref="L301">IFERROR(_xlfn.STDEV.S(IF((OutputTable[GroupByKey]=OutputTable[[#This Row],[GroupByKey]]),(OutputTable[GroupByKey]=OutputTable[[#This Row],[GroupByKey]])*OutputTable[RecordedValue])),0)</f>
        <v>0</v>
      </c>
      <c r="M301" s="5">
        <f t="array" ref="M301">MAX(IF((ProjectInfoTable[ProjectName]=OutputTable[[#This Row],[ProjectName]]),(ProjectInfoTable[ProjectName]=OutputTable[[#This Row],[ProjectName]])*ProjectInfoTable[ConfidenceInterval]))</f>
        <v>0.95</v>
      </c>
      <c r="N3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1" s="5">
        <f t="array" ref="O301">MIN(IF((OutputTable[GroupByKey]=OutputTable[[#This Row],[GroupByKey]]),(OutputTable[GroupByKey]=OutputTable[[#This Row],[GroupByKey]])*OutputTable[RecordedValue]))</f>
        <v>0</v>
      </c>
      <c r="P301" s="5">
        <f t="array" ref="P301">MAX(IF((OutputTable[GroupByKey]=OutputTable[[#This Row],[GroupByKey]]),(OutputTable[GroupByKey]=OutputTable[[#This Row],[GroupByKey]])*OutputTable[RecordedValue]))</f>
        <v>0</v>
      </c>
    </row>
    <row r="302" spans="1:16" x14ac:dyDescent="0.25">
      <c r="A302" t="s">
        <v>67</v>
      </c>
      <c r="B302" t="s">
        <v>70</v>
      </c>
      <c r="C302">
        <v>12</v>
      </c>
      <c r="D302" t="s">
        <v>117</v>
      </c>
      <c r="E302" t="s">
        <v>114</v>
      </c>
      <c r="F302" t="s">
        <v>73</v>
      </c>
      <c r="G302">
        <v>0</v>
      </c>
      <c r="H302">
        <v>0</v>
      </c>
      <c r="I302" s="5" t="str">
        <f>OutputTable[[#This Row],[ProjectName]]&amp;OutputTable[[#This Row],[Name]]&amp;OutputTable[[#This Row],[Type]]&amp;OutputTable[[#This Row],[Source]]</f>
        <v>Unnamed Projectassemblyqcworker.NumberSeizedTotal Number SeizedResource</v>
      </c>
      <c r="J302" s="5">
        <f t="array" ref="J302">MAX(IF((ProjectInfoTable[ProjectName]=OutputTable[[#This Row],[ProjectName]]),(ProjectInfoTable[ProjectName]=OutputTable[[#This Row],[ProjectName]])*ProjectInfoTable[NumberOfReplications]))</f>
        <v>15</v>
      </c>
      <c r="K302" s="5">
        <f t="array" ref="K302">IFERROR(AVERAGE(IF((OutputTable[GroupByKey]=OutputTable[[#This Row],[GroupByKey]]),(OutputTable[GroupByKey]=OutputTable[[#This Row],[GroupByKey]])*OutputTable[RecordedValue])),0)</f>
        <v>0</v>
      </c>
      <c r="L302" s="5">
        <f t="array" ref="L302">IFERROR(_xlfn.STDEV.S(IF((OutputTable[GroupByKey]=OutputTable[[#This Row],[GroupByKey]]),(OutputTable[GroupByKey]=OutputTable[[#This Row],[GroupByKey]])*OutputTable[RecordedValue])),0)</f>
        <v>0</v>
      </c>
      <c r="M302" s="5">
        <f t="array" ref="M302">MAX(IF((ProjectInfoTable[ProjectName]=OutputTable[[#This Row],[ProjectName]]),(ProjectInfoTable[ProjectName]=OutputTable[[#This Row],[ProjectName]])*ProjectInfoTable[ConfidenceInterval]))</f>
        <v>0.95</v>
      </c>
      <c r="N3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2" s="5">
        <f t="array" ref="O302">MIN(IF((OutputTable[GroupByKey]=OutputTable[[#This Row],[GroupByKey]]),(OutputTable[GroupByKey]=OutputTable[[#This Row],[GroupByKey]])*OutputTable[RecordedValue]))</f>
        <v>0</v>
      </c>
      <c r="P302" s="5">
        <f t="array" ref="P302">MAX(IF((OutputTable[GroupByKey]=OutputTable[[#This Row],[GroupByKey]]),(OutputTable[GroupByKey]=OutputTable[[#This Row],[GroupByKey]])*OutputTable[RecordedValue]))</f>
        <v>0</v>
      </c>
    </row>
    <row r="303" spans="1:16" x14ac:dyDescent="0.25">
      <c r="A303" t="s">
        <v>67</v>
      </c>
      <c r="B303" t="s">
        <v>70</v>
      </c>
      <c r="C303">
        <v>12</v>
      </c>
      <c r="D303" t="s">
        <v>118</v>
      </c>
      <c r="E303" t="s">
        <v>116</v>
      </c>
      <c r="F303" t="s">
        <v>73</v>
      </c>
      <c r="G303">
        <v>0</v>
      </c>
      <c r="H303">
        <v>0</v>
      </c>
      <c r="I303" s="5" t="str">
        <f>OutputTable[[#This Row],[ProjectName]]&amp;OutputTable[[#This Row],[Name]]&amp;OutputTable[[#This Row],[Type]]&amp;OutputTable[[#This Row],[Source]]</f>
        <v>Unnamed Projectassemblyqcworker.ScheduledUtilizationScheduled UtilizationResource</v>
      </c>
      <c r="J303" s="5">
        <f t="array" ref="J303">MAX(IF((ProjectInfoTable[ProjectName]=OutputTable[[#This Row],[ProjectName]]),(ProjectInfoTable[ProjectName]=OutputTable[[#This Row],[ProjectName]])*ProjectInfoTable[NumberOfReplications]))</f>
        <v>15</v>
      </c>
      <c r="K303" s="5">
        <f t="array" ref="K303">IFERROR(AVERAGE(IF((OutputTable[GroupByKey]=OutputTable[[#This Row],[GroupByKey]]),(OutputTable[GroupByKey]=OutputTable[[#This Row],[GroupByKey]])*OutputTable[RecordedValue])),0)</f>
        <v>0</v>
      </c>
      <c r="L303" s="5">
        <f t="array" ref="L303">IFERROR(_xlfn.STDEV.S(IF((OutputTable[GroupByKey]=OutputTable[[#This Row],[GroupByKey]]),(OutputTable[GroupByKey]=OutputTable[[#This Row],[GroupByKey]])*OutputTable[RecordedValue])),0)</f>
        <v>0</v>
      </c>
      <c r="M303" s="5">
        <f t="array" ref="M303">MAX(IF((ProjectInfoTable[ProjectName]=OutputTable[[#This Row],[ProjectName]]),(ProjectInfoTable[ProjectName]=OutputTable[[#This Row],[ProjectName]])*ProjectInfoTable[ConfidenceInterval]))</f>
        <v>0.95</v>
      </c>
      <c r="N3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3" s="5">
        <f t="array" ref="O303">MIN(IF((OutputTable[GroupByKey]=OutputTable[[#This Row],[GroupByKey]]),(OutputTable[GroupByKey]=OutputTable[[#This Row],[GroupByKey]])*OutputTable[RecordedValue]))</f>
        <v>0</v>
      </c>
      <c r="P303" s="5">
        <f t="array" ref="P303">MAX(IF((OutputTable[GroupByKey]=OutputTable[[#This Row],[GroupByKey]]),(OutputTable[GroupByKey]=OutputTable[[#This Row],[GroupByKey]])*OutputTable[RecordedValue]))</f>
        <v>0</v>
      </c>
    </row>
    <row r="304" spans="1:16" x14ac:dyDescent="0.25">
      <c r="A304" t="s">
        <v>67</v>
      </c>
      <c r="B304" t="s">
        <v>70</v>
      </c>
      <c r="C304">
        <v>12</v>
      </c>
      <c r="D304" t="s">
        <v>119</v>
      </c>
      <c r="E304" t="s">
        <v>120</v>
      </c>
      <c r="F304" t="s">
        <v>79</v>
      </c>
      <c r="G304">
        <v>0</v>
      </c>
      <c r="H304">
        <v>0</v>
      </c>
      <c r="I304" s="5" t="str">
        <f>OutputTable[[#This Row],[ProjectName]]&amp;OutputTable[[#This Row],[Name]]&amp;OutputTable[[#This Row],[Type]]&amp;OutputTable[[#This Row],[Source]]</f>
        <v>Unnamed Projectbatched_parts.NumberInNumber InEntity</v>
      </c>
      <c r="J304" s="5">
        <f t="array" ref="J304">MAX(IF((ProjectInfoTable[ProjectName]=OutputTable[[#This Row],[ProjectName]]),(ProjectInfoTable[ProjectName]=OutputTable[[#This Row],[ProjectName]])*ProjectInfoTable[NumberOfReplications]))</f>
        <v>15</v>
      </c>
      <c r="K304" s="5">
        <f t="array" ref="K304">IFERROR(AVERAGE(IF((OutputTable[GroupByKey]=OutputTable[[#This Row],[GroupByKey]]),(OutputTable[GroupByKey]=OutputTable[[#This Row],[GroupByKey]])*OutputTable[RecordedValue])),0)</f>
        <v>0</v>
      </c>
      <c r="L304" s="5">
        <f t="array" ref="L304">IFERROR(_xlfn.STDEV.S(IF((OutputTable[GroupByKey]=OutputTable[[#This Row],[GroupByKey]]),(OutputTable[GroupByKey]=OutputTable[[#This Row],[GroupByKey]])*OutputTable[RecordedValue])),0)</f>
        <v>0</v>
      </c>
      <c r="M304" s="5">
        <f t="array" ref="M304">MAX(IF((ProjectInfoTable[ProjectName]=OutputTable[[#This Row],[ProjectName]]),(ProjectInfoTable[ProjectName]=OutputTable[[#This Row],[ProjectName]])*ProjectInfoTable[ConfidenceInterval]))</f>
        <v>0.95</v>
      </c>
      <c r="N3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4" s="5">
        <f t="array" ref="O304">MIN(IF((OutputTable[GroupByKey]=OutputTable[[#This Row],[GroupByKey]]),(OutputTable[GroupByKey]=OutputTable[[#This Row],[GroupByKey]])*OutputTable[RecordedValue]))</f>
        <v>0</v>
      </c>
      <c r="P304" s="5">
        <f t="array" ref="P304">MAX(IF((OutputTable[GroupByKey]=OutputTable[[#This Row],[GroupByKey]]),(OutputTable[GroupByKey]=OutputTable[[#This Row],[GroupByKey]])*OutputTable[RecordedValue]))</f>
        <v>0</v>
      </c>
    </row>
    <row r="305" spans="1:16" x14ac:dyDescent="0.25">
      <c r="A305" t="s">
        <v>67</v>
      </c>
      <c r="B305" t="s">
        <v>70</v>
      </c>
      <c r="C305">
        <v>12</v>
      </c>
      <c r="D305" t="s">
        <v>121</v>
      </c>
      <c r="E305" t="s">
        <v>111</v>
      </c>
      <c r="F305" t="s">
        <v>79</v>
      </c>
      <c r="G305">
        <v>0</v>
      </c>
      <c r="H305">
        <v>0</v>
      </c>
      <c r="I305" s="5" t="str">
        <f>OutputTable[[#This Row],[ProjectName]]&amp;OutputTable[[#This Row],[Name]]&amp;OutputTable[[#This Row],[Type]]&amp;OutputTable[[#This Row],[Source]]</f>
        <v>Unnamed Projectbatched_parts.NumberOutNumber OutEntity</v>
      </c>
      <c r="J305" s="5">
        <f t="array" ref="J305">MAX(IF((ProjectInfoTable[ProjectName]=OutputTable[[#This Row],[ProjectName]]),(ProjectInfoTable[ProjectName]=OutputTable[[#This Row],[ProjectName]])*ProjectInfoTable[NumberOfReplications]))</f>
        <v>15</v>
      </c>
      <c r="K305" s="5">
        <f t="array" ref="K305">IFERROR(AVERAGE(IF((OutputTable[GroupByKey]=OutputTable[[#This Row],[GroupByKey]]),(OutputTable[GroupByKey]=OutputTable[[#This Row],[GroupByKey]])*OutputTable[RecordedValue])),0)</f>
        <v>0</v>
      </c>
      <c r="L305" s="5">
        <f t="array" ref="L305">IFERROR(_xlfn.STDEV.S(IF((OutputTable[GroupByKey]=OutputTable[[#This Row],[GroupByKey]]),(OutputTable[GroupByKey]=OutputTable[[#This Row],[GroupByKey]])*OutputTable[RecordedValue])),0)</f>
        <v>0</v>
      </c>
      <c r="M305" s="5">
        <f t="array" ref="M305">MAX(IF((ProjectInfoTable[ProjectName]=OutputTable[[#This Row],[ProjectName]]),(ProjectInfoTable[ProjectName]=OutputTable[[#This Row],[ProjectName]])*ProjectInfoTable[ConfidenceInterval]))</f>
        <v>0.95</v>
      </c>
      <c r="N3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5" s="5">
        <f t="array" ref="O305">MIN(IF((OutputTable[GroupByKey]=OutputTable[[#This Row],[GroupByKey]]),(OutputTable[GroupByKey]=OutputTable[[#This Row],[GroupByKey]])*OutputTable[RecordedValue]))</f>
        <v>0</v>
      </c>
      <c r="P305" s="5">
        <f t="array" ref="P305">MAX(IF((OutputTable[GroupByKey]=OutputTable[[#This Row],[GroupByKey]]),(OutputTable[GroupByKey]=OutputTable[[#This Row],[GroupByKey]])*OutputTable[RecordedValue]))</f>
        <v>0</v>
      </c>
    </row>
    <row r="306" spans="1:16" x14ac:dyDescent="0.25">
      <c r="A306" t="s">
        <v>67</v>
      </c>
      <c r="B306" t="s">
        <v>70</v>
      </c>
      <c r="C306">
        <v>12</v>
      </c>
      <c r="D306" t="s">
        <v>122</v>
      </c>
      <c r="E306" t="s">
        <v>114</v>
      </c>
      <c r="F306" t="s">
        <v>73</v>
      </c>
      <c r="G306">
        <v>0</v>
      </c>
      <c r="H306">
        <v>0</v>
      </c>
      <c r="I306" s="5" t="str">
        <f>OutputTable[[#This Row],[ProjectName]]&amp;OutputTable[[#This Row],[Name]]&amp;OutputTable[[#This Row],[Type]]&amp;OutputTable[[#This Row],[Source]]</f>
        <v>Unnamed Projectcleaner.NumberSeizedTotal Number SeizedResource</v>
      </c>
      <c r="J306" s="5">
        <f t="array" ref="J306">MAX(IF((ProjectInfoTable[ProjectName]=OutputTable[[#This Row],[ProjectName]]),(ProjectInfoTable[ProjectName]=OutputTable[[#This Row],[ProjectName]])*ProjectInfoTable[NumberOfReplications]))</f>
        <v>15</v>
      </c>
      <c r="K306" s="5">
        <f t="array" ref="K306">IFERROR(AVERAGE(IF((OutputTable[GroupByKey]=OutputTable[[#This Row],[GroupByKey]]),(OutputTable[GroupByKey]=OutputTable[[#This Row],[GroupByKey]])*OutputTable[RecordedValue])),0)</f>
        <v>0</v>
      </c>
      <c r="L306" s="5">
        <f t="array" ref="L306">IFERROR(_xlfn.STDEV.S(IF((OutputTable[GroupByKey]=OutputTable[[#This Row],[GroupByKey]]),(OutputTable[GroupByKey]=OutputTable[[#This Row],[GroupByKey]])*OutputTable[RecordedValue])),0)</f>
        <v>0</v>
      </c>
      <c r="M306" s="5">
        <f t="array" ref="M306">MAX(IF((ProjectInfoTable[ProjectName]=OutputTable[[#This Row],[ProjectName]]),(ProjectInfoTable[ProjectName]=OutputTable[[#This Row],[ProjectName]])*ProjectInfoTable[ConfidenceInterval]))</f>
        <v>0.95</v>
      </c>
      <c r="N3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6" s="5">
        <f t="array" ref="O306">MIN(IF((OutputTable[GroupByKey]=OutputTable[[#This Row],[GroupByKey]]),(OutputTable[GroupByKey]=OutputTable[[#This Row],[GroupByKey]])*OutputTable[RecordedValue]))</f>
        <v>0</v>
      </c>
      <c r="P306" s="5">
        <f t="array" ref="P306">MAX(IF((OutputTable[GroupByKey]=OutputTable[[#This Row],[GroupByKey]]),(OutputTable[GroupByKey]=OutputTable[[#This Row],[GroupByKey]])*OutputTable[RecordedValue]))</f>
        <v>0</v>
      </c>
    </row>
    <row r="307" spans="1:16" x14ac:dyDescent="0.25">
      <c r="A307" t="s">
        <v>67</v>
      </c>
      <c r="B307" t="s">
        <v>70</v>
      </c>
      <c r="C307">
        <v>12</v>
      </c>
      <c r="D307" t="s">
        <v>123</v>
      </c>
      <c r="E307" t="s">
        <v>116</v>
      </c>
      <c r="F307" t="s">
        <v>73</v>
      </c>
      <c r="G307">
        <v>0</v>
      </c>
      <c r="H307">
        <v>0</v>
      </c>
      <c r="I307" s="5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307" s="5">
        <f t="array" ref="J307">MAX(IF((ProjectInfoTable[ProjectName]=OutputTable[[#This Row],[ProjectName]]),(ProjectInfoTable[ProjectName]=OutputTable[[#This Row],[ProjectName]])*ProjectInfoTable[NumberOfReplications]))</f>
        <v>15</v>
      </c>
      <c r="K307" s="5">
        <f t="array" ref="K307">IFERROR(AVERAGE(IF((OutputTable[GroupByKey]=OutputTable[[#This Row],[GroupByKey]]),(OutputTable[GroupByKey]=OutputTable[[#This Row],[GroupByKey]])*OutputTable[RecordedValue])),0)</f>
        <v>0</v>
      </c>
      <c r="L307" s="5">
        <f t="array" ref="L307">IFERROR(_xlfn.STDEV.S(IF((OutputTable[GroupByKey]=OutputTable[[#This Row],[GroupByKey]]),(OutputTable[GroupByKey]=OutputTable[[#This Row],[GroupByKey]])*OutputTable[RecordedValue])),0)</f>
        <v>0</v>
      </c>
      <c r="M307" s="5">
        <f t="array" ref="M307">MAX(IF((ProjectInfoTable[ProjectName]=OutputTable[[#This Row],[ProjectName]]),(ProjectInfoTable[ProjectName]=OutputTable[[#This Row],[ProjectName]])*ProjectInfoTable[ConfidenceInterval]))</f>
        <v>0.95</v>
      </c>
      <c r="N3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7" s="5">
        <f t="array" ref="O307">MIN(IF((OutputTable[GroupByKey]=OutputTable[[#This Row],[GroupByKey]]),(OutputTable[GroupByKey]=OutputTable[[#This Row],[GroupByKey]])*OutputTable[RecordedValue]))</f>
        <v>0</v>
      </c>
      <c r="P307" s="5">
        <f t="array" ref="P307">MAX(IF((OutputTable[GroupByKey]=OutputTable[[#This Row],[GroupByKey]]),(OutputTable[GroupByKey]=OutputTable[[#This Row],[GroupByKey]])*OutputTable[RecordedValue]))</f>
        <v>0</v>
      </c>
    </row>
    <row r="308" spans="1:16" x14ac:dyDescent="0.25">
      <c r="A308" t="s">
        <v>67</v>
      </c>
      <c r="B308" t="s">
        <v>70</v>
      </c>
      <c r="C308">
        <v>12</v>
      </c>
      <c r="D308" t="s">
        <v>124</v>
      </c>
      <c r="E308" t="s">
        <v>114</v>
      </c>
      <c r="F308" t="s">
        <v>73</v>
      </c>
      <c r="G308">
        <v>0</v>
      </c>
      <c r="H308">
        <v>0</v>
      </c>
      <c r="I308" s="5" t="str">
        <f>OutputTable[[#This Row],[ProjectName]]&amp;OutputTable[[#This Row],[Name]]&amp;OutputTable[[#This Row],[Type]]&amp;OutputTable[[#This Row],[Source]]</f>
        <v>Unnamed Projectcutter.NumberSeizedTotal Number SeizedResource</v>
      </c>
      <c r="J308" s="5">
        <f t="array" ref="J308">MAX(IF((ProjectInfoTable[ProjectName]=OutputTable[[#This Row],[ProjectName]]),(ProjectInfoTable[ProjectName]=OutputTable[[#This Row],[ProjectName]])*ProjectInfoTable[NumberOfReplications]))</f>
        <v>15</v>
      </c>
      <c r="K308" s="5">
        <f t="array" ref="K308">IFERROR(AVERAGE(IF((OutputTable[GroupByKey]=OutputTable[[#This Row],[GroupByKey]]),(OutputTable[GroupByKey]=OutputTable[[#This Row],[GroupByKey]])*OutputTable[RecordedValue])),0)</f>
        <v>0</v>
      </c>
      <c r="L308" s="5">
        <f t="array" ref="L308">IFERROR(_xlfn.STDEV.S(IF((OutputTable[GroupByKey]=OutputTable[[#This Row],[GroupByKey]]),(OutputTable[GroupByKey]=OutputTable[[#This Row],[GroupByKey]])*OutputTable[RecordedValue])),0)</f>
        <v>0</v>
      </c>
      <c r="M308" s="5">
        <f t="array" ref="M308">MAX(IF((ProjectInfoTable[ProjectName]=OutputTable[[#This Row],[ProjectName]]),(ProjectInfoTable[ProjectName]=OutputTable[[#This Row],[ProjectName]])*ProjectInfoTable[ConfidenceInterval]))</f>
        <v>0.95</v>
      </c>
      <c r="N3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8" s="5">
        <f t="array" ref="O308">MIN(IF((OutputTable[GroupByKey]=OutputTable[[#This Row],[GroupByKey]]),(OutputTable[GroupByKey]=OutputTable[[#This Row],[GroupByKey]])*OutputTable[RecordedValue]))</f>
        <v>0</v>
      </c>
      <c r="P308" s="5">
        <f t="array" ref="P308">MAX(IF((OutputTable[GroupByKey]=OutputTable[[#This Row],[GroupByKey]]),(OutputTable[GroupByKey]=OutputTable[[#This Row],[GroupByKey]])*OutputTable[RecordedValue]))</f>
        <v>0</v>
      </c>
    </row>
    <row r="309" spans="1:16" x14ac:dyDescent="0.25">
      <c r="A309" t="s">
        <v>67</v>
      </c>
      <c r="B309" t="s">
        <v>70</v>
      </c>
      <c r="C309">
        <v>12</v>
      </c>
      <c r="D309" t="s">
        <v>125</v>
      </c>
      <c r="E309" t="s">
        <v>116</v>
      </c>
      <c r="F309" t="s">
        <v>73</v>
      </c>
      <c r="G309">
        <v>0</v>
      </c>
      <c r="H309">
        <v>0</v>
      </c>
      <c r="I309" s="5" t="str">
        <f>OutputTable[[#This Row],[ProjectName]]&amp;OutputTable[[#This Row],[Name]]&amp;OutputTable[[#This Row],[Type]]&amp;OutputTable[[#This Row],[Source]]</f>
        <v>Unnamed Projectcutter.ScheduledUtilizationScheduled UtilizationResource</v>
      </c>
      <c r="J309" s="5">
        <f t="array" ref="J309">MAX(IF((ProjectInfoTable[ProjectName]=OutputTable[[#This Row],[ProjectName]]),(ProjectInfoTable[ProjectName]=OutputTable[[#This Row],[ProjectName]])*ProjectInfoTable[NumberOfReplications]))</f>
        <v>15</v>
      </c>
      <c r="K309" s="5">
        <f t="array" ref="K309">IFERROR(AVERAGE(IF((OutputTable[GroupByKey]=OutputTable[[#This Row],[GroupByKey]]),(OutputTable[GroupByKey]=OutputTable[[#This Row],[GroupByKey]])*OutputTable[RecordedValue])),0)</f>
        <v>0</v>
      </c>
      <c r="L309" s="5">
        <f t="array" ref="L309">IFERROR(_xlfn.STDEV.S(IF((OutputTable[GroupByKey]=OutputTable[[#This Row],[GroupByKey]]),(OutputTable[GroupByKey]=OutputTable[[#This Row],[GroupByKey]])*OutputTable[RecordedValue])),0)</f>
        <v>0</v>
      </c>
      <c r="M309" s="5">
        <f t="array" ref="M309">MAX(IF((ProjectInfoTable[ProjectName]=OutputTable[[#This Row],[ProjectName]]),(ProjectInfoTable[ProjectName]=OutputTable[[#This Row],[ProjectName]])*ProjectInfoTable[ConfidenceInterval]))</f>
        <v>0.95</v>
      </c>
      <c r="N3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09" s="5">
        <f t="array" ref="O309">MIN(IF((OutputTable[GroupByKey]=OutputTable[[#This Row],[GroupByKey]]),(OutputTable[GroupByKey]=OutputTable[[#This Row],[GroupByKey]])*OutputTable[RecordedValue]))</f>
        <v>0</v>
      </c>
      <c r="P309" s="5">
        <f t="array" ref="P309">MAX(IF((OutputTable[GroupByKey]=OutputTable[[#This Row],[GroupByKey]]),(OutputTable[GroupByKey]=OutputTable[[#This Row],[GroupByKey]])*OutputTable[RecordedValue]))</f>
        <v>0</v>
      </c>
    </row>
    <row r="310" spans="1:16" x14ac:dyDescent="0.25">
      <c r="A310" t="s">
        <v>67</v>
      </c>
      <c r="B310" t="s">
        <v>70</v>
      </c>
      <c r="C310">
        <v>12</v>
      </c>
      <c r="D310" t="s">
        <v>126</v>
      </c>
      <c r="E310" t="s">
        <v>114</v>
      </c>
      <c r="F310" t="s">
        <v>73</v>
      </c>
      <c r="G310">
        <v>0</v>
      </c>
      <c r="H310">
        <v>0</v>
      </c>
      <c r="I310" s="5" t="str">
        <f>OutputTable[[#This Row],[ProjectName]]&amp;OutputTable[[#This Row],[Name]]&amp;OutputTable[[#This Row],[Type]]&amp;OutputTable[[#This Row],[Source]]</f>
        <v>Unnamed Projectfinalqcman.NumberSeizedTotal Number SeizedResource</v>
      </c>
      <c r="J310" s="5">
        <f t="array" ref="J310">MAX(IF((ProjectInfoTable[ProjectName]=OutputTable[[#This Row],[ProjectName]]),(ProjectInfoTable[ProjectName]=OutputTable[[#This Row],[ProjectName]])*ProjectInfoTable[NumberOfReplications]))</f>
        <v>15</v>
      </c>
      <c r="K310" s="5">
        <f t="array" ref="K310">IFERROR(AVERAGE(IF((OutputTable[GroupByKey]=OutputTable[[#This Row],[GroupByKey]]),(OutputTable[GroupByKey]=OutputTable[[#This Row],[GroupByKey]])*OutputTable[RecordedValue])),0)</f>
        <v>0</v>
      </c>
      <c r="L310" s="5">
        <f t="array" ref="L310">IFERROR(_xlfn.STDEV.S(IF((OutputTable[GroupByKey]=OutputTable[[#This Row],[GroupByKey]]),(OutputTable[GroupByKey]=OutputTable[[#This Row],[GroupByKey]])*OutputTable[RecordedValue])),0)</f>
        <v>0</v>
      </c>
      <c r="M310" s="5">
        <f t="array" ref="M310">MAX(IF((ProjectInfoTable[ProjectName]=OutputTable[[#This Row],[ProjectName]]),(ProjectInfoTable[ProjectName]=OutputTable[[#This Row],[ProjectName]])*ProjectInfoTable[ConfidenceInterval]))</f>
        <v>0.95</v>
      </c>
      <c r="N3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0" s="5">
        <f t="array" ref="O310">MIN(IF((OutputTable[GroupByKey]=OutputTable[[#This Row],[GroupByKey]]),(OutputTable[GroupByKey]=OutputTable[[#This Row],[GroupByKey]])*OutputTable[RecordedValue]))</f>
        <v>0</v>
      </c>
      <c r="P310" s="5">
        <f t="array" ref="P310">MAX(IF((OutputTable[GroupByKey]=OutputTable[[#This Row],[GroupByKey]]),(OutputTable[GroupByKey]=OutputTable[[#This Row],[GroupByKey]])*OutputTable[RecordedValue]))</f>
        <v>0</v>
      </c>
    </row>
    <row r="311" spans="1:16" x14ac:dyDescent="0.25">
      <c r="A311" t="s">
        <v>67</v>
      </c>
      <c r="B311" t="s">
        <v>70</v>
      </c>
      <c r="C311">
        <v>12</v>
      </c>
      <c r="D311" t="s">
        <v>127</v>
      </c>
      <c r="E311" t="s">
        <v>116</v>
      </c>
      <c r="F311" t="s">
        <v>73</v>
      </c>
      <c r="G311">
        <v>0</v>
      </c>
      <c r="H311">
        <v>0</v>
      </c>
      <c r="I311" s="5" t="str">
        <f>OutputTable[[#This Row],[ProjectName]]&amp;OutputTable[[#This Row],[Name]]&amp;OutputTable[[#This Row],[Type]]&amp;OutputTable[[#This Row],[Source]]</f>
        <v>Unnamed Projectfinalqcman.ScheduledUtilizationScheduled UtilizationResource</v>
      </c>
      <c r="J311" s="5">
        <f t="array" ref="J311">MAX(IF((ProjectInfoTable[ProjectName]=OutputTable[[#This Row],[ProjectName]]),(ProjectInfoTable[ProjectName]=OutputTable[[#This Row],[ProjectName]])*ProjectInfoTable[NumberOfReplications]))</f>
        <v>15</v>
      </c>
      <c r="K311" s="5">
        <f t="array" ref="K311">IFERROR(AVERAGE(IF((OutputTable[GroupByKey]=OutputTable[[#This Row],[GroupByKey]]),(OutputTable[GroupByKey]=OutputTable[[#This Row],[GroupByKey]])*OutputTable[RecordedValue])),0)</f>
        <v>0</v>
      </c>
      <c r="L311" s="5">
        <f t="array" ref="L311">IFERROR(_xlfn.STDEV.S(IF((OutputTable[GroupByKey]=OutputTable[[#This Row],[GroupByKey]]),(OutputTable[GroupByKey]=OutputTable[[#This Row],[GroupByKey]])*OutputTable[RecordedValue])),0)</f>
        <v>0</v>
      </c>
      <c r="M311" s="5">
        <f t="array" ref="M311">MAX(IF((ProjectInfoTable[ProjectName]=OutputTable[[#This Row],[ProjectName]]),(ProjectInfoTable[ProjectName]=OutputTable[[#This Row],[ProjectName]])*ProjectInfoTable[ConfidenceInterval]))</f>
        <v>0.95</v>
      </c>
      <c r="N3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1" s="5">
        <f t="array" ref="O311">MIN(IF((OutputTable[GroupByKey]=OutputTable[[#This Row],[GroupByKey]]),(OutputTable[GroupByKey]=OutputTable[[#This Row],[GroupByKey]])*OutputTable[RecordedValue]))</f>
        <v>0</v>
      </c>
      <c r="P311" s="5">
        <f t="array" ref="P311">MAX(IF((OutputTable[GroupByKey]=OutputTable[[#This Row],[GroupByKey]]),(OutputTable[GroupByKey]=OutputTable[[#This Row],[GroupByKey]])*OutputTable[RecordedValue]))</f>
        <v>0</v>
      </c>
    </row>
    <row r="312" spans="1:16" x14ac:dyDescent="0.25">
      <c r="A312" t="s">
        <v>67</v>
      </c>
      <c r="B312" t="s">
        <v>70</v>
      </c>
      <c r="C312">
        <v>12</v>
      </c>
      <c r="D312" t="s">
        <v>128</v>
      </c>
      <c r="E312" t="s">
        <v>114</v>
      </c>
      <c r="F312" t="s">
        <v>73</v>
      </c>
      <c r="G312">
        <v>0</v>
      </c>
      <c r="H312">
        <v>0</v>
      </c>
      <c r="I312" s="5" t="str">
        <f>OutputTable[[#This Row],[ProjectName]]&amp;OutputTable[[#This Row],[Name]]&amp;OutputTable[[#This Row],[Type]]&amp;OutputTable[[#This Row],[Source]]</f>
        <v>Unnamed Projectpaintingmachine.NumberSeizedTotal Number SeizedResource</v>
      </c>
      <c r="J312" s="5">
        <f t="array" ref="J312">MAX(IF((ProjectInfoTable[ProjectName]=OutputTable[[#This Row],[ProjectName]]),(ProjectInfoTable[ProjectName]=OutputTable[[#This Row],[ProjectName]])*ProjectInfoTable[NumberOfReplications]))</f>
        <v>15</v>
      </c>
      <c r="K312" s="5">
        <f t="array" ref="K312">IFERROR(AVERAGE(IF((OutputTable[GroupByKey]=OutputTable[[#This Row],[GroupByKey]]),(OutputTable[GroupByKey]=OutputTable[[#This Row],[GroupByKey]])*OutputTable[RecordedValue])),0)</f>
        <v>0</v>
      </c>
      <c r="L312" s="5">
        <f t="array" ref="L312">IFERROR(_xlfn.STDEV.S(IF((OutputTable[GroupByKey]=OutputTable[[#This Row],[GroupByKey]]),(OutputTable[GroupByKey]=OutputTable[[#This Row],[GroupByKey]])*OutputTable[RecordedValue])),0)</f>
        <v>0</v>
      </c>
      <c r="M312" s="5">
        <f t="array" ref="M312">MAX(IF((ProjectInfoTable[ProjectName]=OutputTable[[#This Row],[ProjectName]]),(ProjectInfoTable[ProjectName]=OutputTable[[#This Row],[ProjectName]])*ProjectInfoTable[ConfidenceInterval]))</f>
        <v>0.95</v>
      </c>
      <c r="N3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2" s="5">
        <f t="array" ref="O312">MIN(IF((OutputTable[GroupByKey]=OutputTable[[#This Row],[GroupByKey]]),(OutputTable[GroupByKey]=OutputTable[[#This Row],[GroupByKey]])*OutputTable[RecordedValue]))</f>
        <v>0</v>
      </c>
      <c r="P312" s="5">
        <f t="array" ref="P312">MAX(IF((OutputTable[GroupByKey]=OutputTable[[#This Row],[GroupByKey]]),(OutputTable[GroupByKey]=OutputTable[[#This Row],[GroupByKey]])*OutputTable[RecordedValue]))</f>
        <v>0</v>
      </c>
    </row>
    <row r="313" spans="1:16" x14ac:dyDescent="0.25">
      <c r="A313" t="s">
        <v>67</v>
      </c>
      <c r="B313" t="s">
        <v>70</v>
      </c>
      <c r="C313">
        <v>12</v>
      </c>
      <c r="D313" t="s">
        <v>129</v>
      </c>
      <c r="E313" t="s">
        <v>116</v>
      </c>
      <c r="F313" t="s">
        <v>73</v>
      </c>
      <c r="G313">
        <v>0</v>
      </c>
      <c r="H313">
        <v>0</v>
      </c>
      <c r="I313" s="5" t="str">
        <f>OutputTable[[#This Row],[ProjectName]]&amp;OutputTable[[#This Row],[Name]]&amp;OutputTable[[#This Row],[Type]]&amp;OutputTable[[#This Row],[Source]]</f>
        <v>Unnamed Projectpaintingmachine.ScheduledUtilizationScheduled UtilizationResource</v>
      </c>
      <c r="J313" s="5">
        <f t="array" ref="J313">MAX(IF((ProjectInfoTable[ProjectName]=OutputTable[[#This Row],[ProjectName]]),(ProjectInfoTable[ProjectName]=OutputTable[[#This Row],[ProjectName]])*ProjectInfoTable[NumberOfReplications]))</f>
        <v>15</v>
      </c>
      <c r="K313" s="5">
        <f t="array" ref="K313">IFERROR(AVERAGE(IF((OutputTable[GroupByKey]=OutputTable[[#This Row],[GroupByKey]]),(OutputTable[GroupByKey]=OutputTable[[#This Row],[GroupByKey]])*OutputTable[RecordedValue])),0)</f>
        <v>0</v>
      </c>
      <c r="L313" s="5">
        <f t="array" ref="L313">IFERROR(_xlfn.STDEV.S(IF((OutputTable[GroupByKey]=OutputTable[[#This Row],[GroupByKey]]),(OutputTable[GroupByKey]=OutputTable[[#This Row],[GroupByKey]])*OutputTable[RecordedValue])),0)</f>
        <v>0</v>
      </c>
      <c r="M313" s="5">
        <f t="array" ref="M313">MAX(IF((ProjectInfoTable[ProjectName]=OutputTable[[#This Row],[ProjectName]]),(ProjectInfoTable[ProjectName]=OutputTable[[#This Row],[ProjectName]])*ProjectInfoTable[ConfidenceInterval]))</f>
        <v>0.95</v>
      </c>
      <c r="N3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3" s="5">
        <f t="array" ref="O313">MIN(IF((OutputTable[GroupByKey]=OutputTable[[#This Row],[GroupByKey]]),(OutputTable[GroupByKey]=OutputTable[[#This Row],[GroupByKey]])*OutputTable[RecordedValue]))</f>
        <v>0</v>
      </c>
      <c r="P313" s="5">
        <f t="array" ref="P313">MAX(IF((OutputTable[GroupByKey]=OutputTable[[#This Row],[GroupByKey]]),(OutputTable[GroupByKey]=OutputTable[[#This Row],[GroupByKey]])*OutputTable[RecordedValue]))</f>
        <v>0</v>
      </c>
    </row>
    <row r="314" spans="1:16" x14ac:dyDescent="0.25">
      <c r="A314" t="s">
        <v>67</v>
      </c>
      <c r="B314" t="s">
        <v>70</v>
      </c>
      <c r="C314">
        <v>12</v>
      </c>
      <c r="D314" t="s">
        <v>130</v>
      </c>
      <c r="E314" t="s">
        <v>114</v>
      </c>
      <c r="F314" t="s">
        <v>73</v>
      </c>
      <c r="G314">
        <v>0</v>
      </c>
      <c r="H314">
        <v>0</v>
      </c>
      <c r="I314" s="5" t="str">
        <f>OutputTable[[#This Row],[ProjectName]]&amp;OutputTable[[#This Row],[Name]]&amp;OutputTable[[#This Row],[Type]]&amp;OutputTable[[#This Row],[Source]]</f>
        <v>Unnamed Projectpaintingoperator.NumberSeizedTotal Number SeizedResource</v>
      </c>
      <c r="J314" s="5">
        <f t="array" ref="J314">MAX(IF((ProjectInfoTable[ProjectName]=OutputTable[[#This Row],[ProjectName]]),(ProjectInfoTable[ProjectName]=OutputTable[[#This Row],[ProjectName]])*ProjectInfoTable[NumberOfReplications]))</f>
        <v>15</v>
      </c>
      <c r="K314" s="5">
        <f t="array" ref="K314">IFERROR(AVERAGE(IF((OutputTable[GroupByKey]=OutputTable[[#This Row],[GroupByKey]]),(OutputTable[GroupByKey]=OutputTable[[#This Row],[GroupByKey]])*OutputTable[RecordedValue])),0)</f>
        <v>0</v>
      </c>
      <c r="L314" s="5">
        <f t="array" ref="L314">IFERROR(_xlfn.STDEV.S(IF((OutputTable[GroupByKey]=OutputTable[[#This Row],[GroupByKey]]),(OutputTable[GroupByKey]=OutputTable[[#This Row],[GroupByKey]])*OutputTable[RecordedValue])),0)</f>
        <v>0</v>
      </c>
      <c r="M314" s="5">
        <f t="array" ref="M314">MAX(IF((ProjectInfoTable[ProjectName]=OutputTable[[#This Row],[ProjectName]]),(ProjectInfoTable[ProjectName]=OutputTable[[#This Row],[ProjectName]])*ProjectInfoTable[ConfidenceInterval]))</f>
        <v>0.95</v>
      </c>
      <c r="N3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4" s="5">
        <f t="array" ref="O314">MIN(IF((OutputTable[GroupByKey]=OutputTable[[#This Row],[GroupByKey]]),(OutputTable[GroupByKey]=OutputTable[[#This Row],[GroupByKey]])*OutputTable[RecordedValue]))</f>
        <v>0</v>
      </c>
      <c r="P314" s="5">
        <f t="array" ref="P314">MAX(IF((OutputTable[GroupByKey]=OutputTable[[#This Row],[GroupByKey]]),(OutputTable[GroupByKey]=OutputTable[[#This Row],[GroupByKey]])*OutputTable[RecordedValue]))</f>
        <v>0</v>
      </c>
    </row>
    <row r="315" spans="1:16" x14ac:dyDescent="0.25">
      <c r="A315" t="s">
        <v>67</v>
      </c>
      <c r="B315" t="s">
        <v>70</v>
      </c>
      <c r="C315">
        <v>12</v>
      </c>
      <c r="D315" t="s">
        <v>131</v>
      </c>
      <c r="E315" t="s">
        <v>116</v>
      </c>
      <c r="F315" t="s">
        <v>73</v>
      </c>
      <c r="G315">
        <v>0</v>
      </c>
      <c r="H315">
        <v>0</v>
      </c>
      <c r="I315" s="5" t="str">
        <f>OutputTable[[#This Row],[ProjectName]]&amp;OutputTable[[#This Row],[Name]]&amp;OutputTable[[#This Row],[Type]]&amp;OutputTable[[#This Row],[Source]]</f>
        <v>Unnamed Projectpaintingoperator.ScheduledUtilizationScheduled UtilizationResource</v>
      </c>
      <c r="J315" s="5">
        <f t="array" ref="J315">MAX(IF((ProjectInfoTable[ProjectName]=OutputTable[[#This Row],[ProjectName]]),(ProjectInfoTable[ProjectName]=OutputTable[[#This Row],[ProjectName]])*ProjectInfoTable[NumberOfReplications]))</f>
        <v>15</v>
      </c>
      <c r="K315" s="5">
        <f t="array" ref="K315">IFERROR(AVERAGE(IF((OutputTable[GroupByKey]=OutputTable[[#This Row],[GroupByKey]]),(OutputTable[GroupByKey]=OutputTable[[#This Row],[GroupByKey]])*OutputTable[RecordedValue])),0)</f>
        <v>0</v>
      </c>
      <c r="L315" s="5">
        <f t="array" ref="L315">IFERROR(_xlfn.STDEV.S(IF((OutputTable[GroupByKey]=OutputTable[[#This Row],[GroupByKey]]),(OutputTable[GroupByKey]=OutputTable[[#This Row],[GroupByKey]])*OutputTable[RecordedValue])),0)</f>
        <v>0</v>
      </c>
      <c r="M315" s="5">
        <f t="array" ref="M315">MAX(IF((ProjectInfoTable[ProjectName]=OutputTable[[#This Row],[ProjectName]]),(ProjectInfoTable[ProjectName]=OutputTable[[#This Row],[ProjectName]])*ProjectInfoTable[ConfidenceInterval]))</f>
        <v>0.95</v>
      </c>
      <c r="N3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5" s="5">
        <f t="array" ref="O315">MIN(IF((OutputTable[GroupByKey]=OutputTable[[#This Row],[GroupByKey]]),(OutputTable[GroupByKey]=OutputTable[[#This Row],[GroupByKey]])*OutputTable[RecordedValue]))</f>
        <v>0</v>
      </c>
      <c r="P315" s="5">
        <f t="array" ref="P315">MAX(IF((OutputTable[GroupByKey]=OutputTable[[#This Row],[GroupByKey]]),(OutputTable[GroupByKey]=OutputTable[[#This Row],[GroupByKey]])*OutputTable[RecordedValue]))</f>
        <v>0</v>
      </c>
    </row>
    <row r="316" spans="1:16" x14ac:dyDescent="0.25">
      <c r="A316" t="s">
        <v>67</v>
      </c>
      <c r="B316" t="s">
        <v>70</v>
      </c>
      <c r="C316">
        <v>12</v>
      </c>
      <c r="D316" t="s">
        <v>132</v>
      </c>
      <c r="E316" t="s">
        <v>114</v>
      </c>
      <c r="F316" t="s">
        <v>73</v>
      </c>
      <c r="G316">
        <v>0</v>
      </c>
      <c r="H316">
        <v>0</v>
      </c>
      <c r="I316" s="5" t="str">
        <f>OutputTable[[#This Row],[ProjectName]]&amp;OutputTable[[#This Row],[Name]]&amp;OutputTable[[#This Row],[Type]]&amp;OutputTable[[#This Row],[Source]]</f>
        <v>Unnamed Projectsandblastmachine.NumberSeizedTotal Number SeizedResource</v>
      </c>
      <c r="J316" s="5">
        <f t="array" ref="J316">MAX(IF((ProjectInfoTable[ProjectName]=OutputTable[[#This Row],[ProjectName]]),(ProjectInfoTable[ProjectName]=OutputTable[[#This Row],[ProjectName]])*ProjectInfoTable[NumberOfReplications]))</f>
        <v>15</v>
      </c>
      <c r="K316" s="5">
        <f t="array" ref="K316">IFERROR(AVERAGE(IF((OutputTable[GroupByKey]=OutputTable[[#This Row],[GroupByKey]]),(OutputTable[GroupByKey]=OutputTable[[#This Row],[GroupByKey]])*OutputTable[RecordedValue])),0)</f>
        <v>0</v>
      </c>
      <c r="L316" s="5">
        <f t="array" ref="L316">IFERROR(_xlfn.STDEV.S(IF((OutputTable[GroupByKey]=OutputTable[[#This Row],[GroupByKey]]),(OutputTable[GroupByKey]=OutputTable[[#This Row],[GroupByKey]])*OutputTable[RecordedValue])),0)</f>
        <v>0</v>
      </c>
      <c r="M316" s="5">
        <f t="array" ref="M316">MAX(IF((ProjectInfoTable[ProjectName]=OutputTable[[#This Row],[ProjectName]]),(ProjectInfoTable[ProjectName]=OutputTable[[#This Row],[ProjectName]])*ProjectInfoTable[ConfidenceInterval]))</f>
        <v>0.95</v>
      </c>
      <c r="N3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6" s="5">
        <f t="array" ref="O316">MIN(IF((OutputTable[GroupByKey]=OutputTable[[#This Row],[GroupByKey]]),(OutputTable[GroupByKey]=OutputTable[[#This Row],[GroupByKey]])*OutputTable[RecordedValue]))</f>
        <v>0</v>
      </c>
      <c r="P316" s="5">
        <f t="array" ref="P316">MAX(IF((OutputTable[GroupByKey]=OutputTable[[#This Row],[GroupByKey]]),(OutputTable[GroupByKey]=OutputTable[[#This Row],[GroupByKey]])*OutputTable[RecordedValue]))</f>
        <v>0</v>
      </c>
    </row>
    <row r="317" spans="1:16" x14ac:dyDescent="0.25">
      <c r="A317" t="s">
        <v>67</v>
      </c>
      <c r="B317" t="s">
        <v>70</v>
      </c>
      <c r="C317">
        <v>12</v>
      </c>
      <c r="D317" t="s">
        <v>133</v>
      </c>
      <c r="E317" t="s">
        <v>116</v>
      </c>
      <c r="F317" t="s">
        <v>73</v>
      </c>
      <c r="G317">
        <v>0</v>
      </c>
      <c r="H317">
        <v>0</v>
      </c>
      <c r="I317" s="5" t="str">
        <f>OutputTable[[#This Row],[ProjectName]]&amp;OutputTable[[#This Row],[Name]]&amp;OutputTable[[#This Row],[Type]]&amp;OutputTable[[#This Row],[Source]]</f>
        <v>Unnamed Projectsandblastmachine.ScheduledUtilizationScheduled UtilizationResource</v>
      </c>
      <c r="J317" s="5">
        <f t="array" ref="J317">MAX(IF((ProjectInfoTable[ProjectName]=OutputTable[[#This Row],[ProjectName]]),(ProjectInfoTable[ProjectName]=OutputTable[[#This Row],[ProjectName]])*ProjectInfoTable[NumberOfReplications]))</f>
        <v>15</v>
      </c>
      <c r="K317" s="5">
        <f t="array" ref="K317">IFERROR(AVERAGE(IF((OutputTable[GroupByKey]=OutputTable[[#This Row],[GroupByKey]]),(OutputTable[GroupByKey]=OutputTable[[#This Row],[GroupByKey]])*OutputTable[RecordedValue])),0)</f>
        <v>0</v>
      </c>
      <c r="L317" s="5">
        <f t="array" ref="L317">IFERROR(_xlfn.STDEV.S(IF((OutputTable[GroupByKey]=OutputTable[[#This Row],[GroupByKey]]),(OutputTable[GroupByKey]=OutputTable[[#This Row],[GroupByKey]])*OutputTable[RecordedValue])),0)</f>
        <v>0</v>
      </c>
      <c r="M317" s="5">
        <f t="array" ref="M317">MAX(IF((ProjectInfoTable[ProjectName]=OutputTable[[#This Row],[ProjectName]]),(ProjectInfoTable[ProjectName]=OutputTable[[#This Row],[ProjectName]])*ProjectInfoTable[ConfidenceInterval]))</f>
        <v>0.95</v>
      </c>
      <c r="N3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7" s="5">
        <f t="array" ref="O317">MIN(IF((OutputTable[GroupByKey]=OutputTable[[#This Row],[GroupByKey]]),(OutputTable[GroupByKey]=OutputTable[[#This Row],[GroupByKey]])*OutputTable[RecordedValue]))</f>
        <v>0</v>
      </c>
      <c r="P317" s="5">
        <f t="array" ref="P317">MAX(IF((OutputTable[GroupByKey]=OutputTable[[#This Row],[GroupByKey]]),(OutputTable[GroupByKey]=OutputTable[[#This Row],[GroupByKey]])*OutputTable[RecordedValue]))</f>
        <v>0</v>
      </c>
    </row>
    <row r="318" spans="1:16" x14ac:dyDescent="0.25">
      <c r="A318" t="s">
        <v>67</v>
      </c>
      <c r="B318" t="s">
        <v>70</v>
      </c>
      <c r="C318">
        <v>12</v>
      </c>
      <c r="D318" t="s">
        <v>134</v>
      </c>
      <c r="E318" t="s">
        <v>114</v>
      </c>
      <c r="F318" t="s">
        <v>73</v>
      </c>
      <c r="G318">
        <v>0</v>
      </c>
      <c r="H318">
        <v>0</v>
      </c>
      <c r="I318" s="5" t="str">
        <f>OutputTable[[#This Row],[ProjectName]]&amp;OutputTable[[#This Row],[Name]]&amp;OutputTable[[#This Row],[Type]]&amp;OutputTable[[#This Row],[Source]]</f>
        <v>Unnamed Projectsandblastoperator.NumberSeizedTotal Number SeizedResource</v>
      </c>
      <c r="J318" s="5">
        <f t="array" ref="J318">MAX(IF((ProjectInfoTable[ProjectName]=OutputTable[[#This Row],[ProjectName]]),(ProjectInfoTable[ProjectName]=OutputTable[[#This Row],[ProjectName]])*ProjectInfoTable[NumberOfReplications]))</f>
        <v>15</v>
      </c>
      <c r="K318" s="5">
        <f t="array" ref="K318">IFERROR(AVERAGE(IF((OutputTable[GroupByKey]=OutputTable[[#This Row],[GroupByKey]]),(OutputTable[GroupByKey]=OutputTable[[#This Row],[GroupByKey]])*OutputTable[RecordedValue])),0)</f>
        <v>0</v>
      </c>
      <c r="L318" s="5">
        <f t="array" ref="L318">IFERROR(_xlfn.STDEV.S(IF((OutputTable[GroupByKey]=OutputTable[[#This Row],[GroupByKey]]),(OutputTable[GroupByKey]=OutputTable[[#This Row],[GroupByKey]])*OutputTable[RecordedValue])),0)</f>
        <v>0</v>
      </c>
      <c r="M318" s="5">
        <f t="array" ref="M318">MAX(IF((ProjectInfoTable[ProjectName]=OutputTable[[#This Row],[ProjectName]]),(ProjectInfoTable[ProjectName]=OutputTable[[#This Row],[ProjectName]])*ProjectInfoTable[ConfidenceInterval]))</f>
        <v>0.95</v>
      </c>
      <c r="N3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8" s="5">
        <f t="array" ref="O318">MIN(IF((OutputTable[GroupByKey]=OutputTable[[#This Row],[GroupByKey]]),(OutputTable[GroupByKey]=OutputTable[[#This Row],[GroupByKey]])*OutputTable[RecordedValue]))</f>
        <v>0</v>
      </c>
      <c r="P318" s="5">
        <f t="array" ref="P318">MAX(IF((OutputTable[GroupByKey]=OutputTable[[#This Row],[GroupByKey]]),(OutputTable[GroupByKey]=OutputTable[[#This Row],[GroupByKey]])*OutputTable[RecordedValue]))</f>
        <v>0</v>
      </c>
    </row>
    <row r="319" spans="1:16" x14ac:dyDescent="0.25">
      <c r="A319" t="s">
        <v>67</v>
      </c>
      <c r="B319" t="s">
        <v>70</v>
      </c>
      <c r="C319">
        <v>12</v>
      </c>
      <c r="D319" t="s">
        <v>135</v>
      </c>
      <c r="E319" t="s">
        <v>116</v>
      </c>
      <c r="F319" t="s">
        <v>73</v>
      </c>
      <c r="G319">
        <v>0</v>
      </c>
      <c r="H319">
        <v>0</v>
      </c>
      <c r="I319" s="5" t="str">
        <f>OutputTable[[#This Row],[ProjectName]]&amp;OutputTable[[#This Row],[Name]]&amp;OutputTable[[#This Row],[Type]]&amp;OutputTable[[#This Row],[Source]]</f>
        <v>Unnamed Projectsandblastoperator.ScheduledUtilizationScheduled UtilizationResource</v>
      </c>
      <c r="J319" s="5">
        <f t="array" ref="J319">MAX(IF((ProjectInfoTable[ProjectName]=OutputTable[[#This Row],[ProjectName]]),(ProjectInfoTable[ProjectName]=OutputTable[[#This Row],[ProjectName]])*ProjectInfoTable[NumberOfReplications]))</f>
        <v>15</v>
      </c>
      <c r="K319" s="5">
        <f t="array" ref="K319">IFERROR(AVERAGE(IF((OutputTable[GroupByKey]=OutputTable[[#This Row],[GroupByKey]]),(OutputTable[GroupByKey]=OutputTable[[#This Row],[GroupByKey]])*OutputTable[RecordedValue])),0)</f>
        <v>0</v>
      </c>
      <c r="L319" s="5">
        <f t="array" ref="L319">IFERROR(_xlfn.STDEV.S(IF((OutputTable[GroupByKey]=OutputTable[[#This Row],[GroupByKey]]),(OutputTable[GroupByKey]=OutputTable[[#This Row],[GroupByKey]])*OutputTable[RecordedValue])),0)</f>
        <v>0</v>
      </c>
      <c r="M319" s="5">
        <f t="array" ref="M319">MAX(IF((ProjectInfoTable[ProjectName]=OutputTable[[#This Row],[ProjectName]]),(ProjectInfoTable[ProjectName]=OutputTable[[#This Row],[ProjectName]])*ProjectInfoTable[ConfidenceInterval]))</f>
        <v>0.95</v>
      </c>
      <c r="N3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19" s="5">
        <f t="array" ref="O319">MIN(IF((OutputTable[GroupByKey]=OutputTable[[#This Row],[GroupByKey]]),(OutputTable[GroupByKey]=OutputTable[[#This Row],[GroupByKey]])*OutputTable[RecordedValue]))</f>
        <v>0</v>
      </c>
      <c r="P319" s="5">
        <f t="array" ref="P319">MAX(IF((OutputTable[GroupByKey]=OutputTable[[#This Row],[GroupByKey]]),(OutputTable[GroupByKey]=OutputTable[[#This Row],[GroupByKey]])*OutputTable[RecordedValue]))</f>
        <v>0</v>
      </c>
    </row>
    <row r="320" spans="1:16" x14ac:dyDescent="0.25">
      <c r="A320" t="s">
        <v>67</v>
      </c>
      <c r="B320" t="s">
        <v>70</v>
      </c>
      <c r="C320">
        <v>12</v>
      </c>
      <c r="D320" t="s">
        <v>136</v>
      </c>
      <c r="E320" t="s">
        <v>120</v>
      </c>
      <c r="F320" t="s">
        <v>79</v>
      </c>
      <c r="G320">
        <v>0</v>
      </c>
      <c r="H320">
        <v>0</v>
      </c>
      <c r="I320" s="5" t="str">
        <f>OutputTable[[#This Row],[ProjectName]]&amp;OutputTable[[#This Row],[Name]]&amp;OutputTable[[#This Row],[Type]]&amp;OutputTable[[#This Row],[Source]]</f>
        <v>Unnamed Projectsteelsheet.NumberInNumber InEntity</v>
      </c>
      <c r="J320" s="5">
        <f t="array" ref="J320">MAX(IF((ProjectInfoTable[ProjectName]=OutputTable[[#This Row],[ProjectName]]),(ProjectInfoTable[ProjectName]=OutputTable[[#This Row],[ProjectName]])*ProjectInfoTable[NumberOfReplications]))</f>
        <v>15</v>
      </c>
      <c r="K320" s="5">
        <f t="array" ref="K320">IFERROR(AVERAGE(IF((OutputTable[GroupByKey]=OutputTable[[#This Row],[GroupByKey]]),(OutputTable[GroupByKey]=OutputTable[[#This Row],[GroupByKey]])*OutputTable[RecordedValue])),0)</f>
        <v>0</v>
      </c>
      <c r="L320" s="5">
        <f t="array" ref="L320">IFERROR(_xlfn.STDEV.S(IF((OutputTable[GroupByKey]=OutputTable[[#This Row],[GroupByKey]]),(OutputTable[GroupByKey]=OutputTable[[#This Row],[GroupByKey]])*OutputTable[RecordedValue])),0)</f>
        <v>0</v>
      </c>
      <c r="M320" s="5">
        <f t="array" ref="M320">MAX(IF((ProjectInfoTable[ProjectName]=OutputTable[[#This Row],[ProjectName]]),(ProjectInfoTable[ProjectName]=OutputTable[[#This Row],[ProjectName]])*ProjectInfoTable[ConfidenceInterval]))</f>
        <v>0.95</v>
      </c>
      <c r="N3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0" s="5">
        <f t="array" ref="O320">MIN(IF((OutputTable[GroupByKey]=OutputTable[[#This Row],[GroupByKey]]),(OutputTable[GroupByKey]=OutputTable[[#This Row],[GroupByKey]])*OutputTable[RecordedValue]))</f>
        <v>0</v>
      </c>
      <c r="P320" s="5">
        <f t="array" ref="P320">MAX(IF((OutputTable[GroupByKey]=OutputTable[[#This Row],[GroupByKey]]),(OutputTable[GroupByKey]=OutputTable[[#This Row],[GroupByKey]])*OutputTable[RecordedValue]))</f>
        <v>0</v>
      </c>
    </row>
    <row r="321" spans="1:16" x14ac:dyDescent="0.25">
      <c r="A321" t="s">
        <v>67</v>
      </c>
      <c r="B321" t="s">
        <v>70</v>
      </c>
      <c r="C321">
        <v>12</v>
      </c>
      <c r="D321" t="s">
        <v>137</v>
      </c>
      <c r="E321" t="s">
        <v>111</v>
      </c>
      <c r="F321" t="s">
        <v>79</v>
      </c>
      <c r="G321">
        <v>0</v>
      </c>
      <c r="H321">
        <v>0</v>
      </c>
      <c r="I321" s="5" t="str">
        <f>OutputTable[[#This Row],[ProjectName]]&amp;OutputTable[[#This Row],[Name]]&amp;OutputTable[[#This Row],[Type]]&amp;OutputTable[[#This Row],[Source]]</f>
        <v>Unnamed Projectsteelsheet.NumberOutNumber OutEntity</v>
      </c>
      <c r="J321" s="5">
        <f t="array" ref="J321">MAX(IF((ProjectInfoTable[ProjectName]=OutputTable[[#This Row],[ProjectName]]),(ProjectInfoTable[ProjectName]=OutputTable[[#This Row],[ProjectName]])*ProjectInfoTable[NumberOfReplications]))</f>
        <v>15</v>
      </c>
      <c r="K321" s="5">
        <f t="array" ref="K321">IFERROR(AVERAGE(IF((OutputTable[GroupByKey]=OutputTable[[#This Row],[GroupByKey]]),(OutputTable[GroupByKey]=OutputTable[[#This Row],[GroupByKey]])*OutputTable[RecordedValue])),0)</f>
        <v>0</v>
      </c>
      <c r="L321" s="5">
        <f t="array" ref="L321">IFERROR(_xlfn.STDEV.S(IF((OutputTable[GroupByKey]=OutputTable[[#This Row],[GroupByKey]]),(OutputTable[GroupByKey]=OutputTable[[#This Row],[GroupByKey]])*OutputTable[RecordedValue])),0)</f>
        <v>0</v>
      </c>
      <c r="M321" s="5">
        <f t="array" ref="M321">MAX(IF((ProjectInfoTable[ProjectName]=OutputTable[[#This Row],[ProjectName]]),(ProjectInfoTable[ProjectName]=OutputTable[[#This Row],[ProjectName]])*ProjectInfoTable[ConfidenceInterval]))</f>
        <v>0.95</v>
      </c>
      <c r="N3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1" s="5">
        <f t="array" ref="O321">MIN(IF((OutputTable[GroupByKey]=OutputTable[[#This Row],[GroupByKey]]),(OutputTable[GroupByKey]=OutputTable[[#This Row],[GroupByKey]])*OutputTable[RecordedValue]))</f>
        <v>0</v>
      </c>
      <c r="P321" s="5">
        <f t="array" ref="P321">MAX(IF((OutputTable[GroupByKey]=OutputTable[[#This Row],[GroupByKey]]),(OutputTable[GroupByKey]=OutputTable[[#This Row],[GroupByKey]])*OutputTable[RecordedValue]))</f>
        <v>0</v>
      </c>
    </row>
    <row r="322" spans="1:16" x14ac:dyDescent="0.25">
      <c r="A322" t="s">
        <v>67</v>
      </c>
      <c r="B322" t="s">
        <v>70</v>
      </c>
      <c r="C322">
        <v>12</v>
      </c>
      <c r="D322" t="s">
        <v>138</v>
      </c>
      <c r="E322" t="s">
        <v>114</v>
      </c>
      <c r="F322" t="s">
        <v>73</v>
      </c>
      <c r="G322">
        <v>0</v>
      </c>
      <c r="H322">
        <v>0</v>
      </c>
      <c r="I322" s="5" t="str">
        <f>OutputTable[[#This Row],[ProjectName]]&amp;OutputTable[[#This Row],[Name]]&amp;OutputTable[[#This Row],[Type]]&amp;OutputTable[[#This Row],[Source]]</f>
        <v>Unnamed Projectwelder.NumberSeizedTotal Number SeizedResource</v>
      </c>
      <c r="J322" s="5">
        <f t="array" ref="J322">MAX(IF((ProjectInfoTable[ProjectName]=OutputTable[[#This Row],[ProjectName]]),(ProjectInfoTable[ProjectName]=OutputTable[[#This Row],[ProjectName]])*ProjectInfoTable[NumberOfReplications]))</f>
        <v>15</v>
      </c>
      <c r="K322" s="5">
        <f t="array" ref="K322">IFERROR(AVERAGE(IF((OutputTable[GroupByKey]=OutputTable[[#This Row],[GroupByKey]]),(OutputTable[GroupByKey]=OutputTable[[#This Row],[GroupByKey]])*OutputTable[RecordedValue])),0)</f>
        <v>0</v>
      </c>
      <c r="L322" s="5">
        <f t="array" ref="L322">IFERROR(_xlfn.STDEV.S(IF((OutputTable[GroupByKey]=OutputTable[[#This Row],[GroupByKey]]),(OutputTable[GroupByKey]=OutputTable[[#This Row],[GroupByKey]])*OutputTable[RecordedValue])),0)</f>
        <v>0</v>
      </c>
      <c r="M322" s="5">
        <f t="array" ref="M322">MAX(IF((ProjectInfoTable[ProjectName]=OutputTable[[#This Row],[ProjectName]]),(ProjectInfoTable[ProjectName]=OutputTable[[#This Row],[ProjectName]])*ProjectInfoTable[ConfidenceInterval]))</f>
        <v>0.95</v>
      </c>
      <c r="N3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2" s="5">
        <f t="array" ref="O322">MIN(IF((OutputTable[GroupByKey]=OutputTable[[#This Row],[GroupByKey]]),(OutputTable[GroupByKey]=OutputTable[[#This Row],[GroupByKey]])*OutputTable[RecordedValue]))</f>
        <v>0</v>
      </c>
      <c r="P322" s="5">
        <f t="array" ref="P322">MAX(IF((OutputTable[GroupByKey]=OutputTable[[#This Row],[GroupByKey]]),(OutputTable[GroupByKey]=OutputTable[[#This Row],[GroupByKey]])*OutputTable[RecordedValue]))</f>
        <v>0</v>
      </c>
    </row>
    <row r="323" spans="1:16" x14ac:dyDescent="0.25">
      <c r="A323" t="s">
        <v>67</v>
      </c>
      <c r="B323" t="s">
        <v>70</v>
      </c>
      <c r="C323">
        <v>12</v>
      </c>
      <c r="D323" t="s">
        <v>139</v>
      </c>
      <c r="E323" t="s">
        <v>116</v>
      </c>
      <c r="F323" t="s">
        <v>73</v>
      </c>
      <c r="G323">
        <v>0</v>
      </c>
      <c r="H323">
        <v>0</v>
      </c>
      <c r="I323" s="5" t="str">
        <f>OutputTable[[#This Row],[ProjectName]]&amp;OutputTable[[#This Row],[Name]]&amp;OutputTable[[#This Row],[Type]]&amp;OutputTable[[#This Row],[Source]]</f>
        <v>Unnamed Projectwelder.ScheduledUtilizationScheduled UtilizationResource</v>
      </c>
      <c r="J323" s="5">
        <f t="array" ref="J323">MAX(IF((ProjectInfoTable[ProjectName]=OutputTable[[#This Row],[ProjectName]]),(ProjectInfoTable[ProjectName]=OutputTable[[#This Row],[ProjectName]])*ProjectInfoTable[NumberOfReplications]))</f>
        <v>15</v>
      </c>
      <c r="K323" s="5">
        <f t="array" ref="K323">IFERROR(AVERAGE(IF((OutputTable[GroupByKey]=OutputTable[[#This Row],[GroupByKey]]),(OutputTable[GroupByKey]=OutputTable[[#This Row],[GroupByKey]])*OutputTable[RecordedValue])),0)</f>
        <v>0</v>
      </c>
      <c r="L323" s="5">
        <f t="array" ref="L323">IFERROR(_xlfn.STDEV.S(IF((OutputTable[GroupByKey]=OutputTable[[#This Row],[GroupByKey]]),(OutputTable[GroupByKey]=OutputTable[[#This Row],[GroupByKey]])*OutputTable[RecordedValue])),0)</f>
        <v>0</v>
      </c>
      <c r="M323" s="5">
        <f t="array" ref="M323">MAX(IF((ProjectInfoTable[ProjectName]=OutputTable[[#This Row],[ProjectName]]),(ProjectInfoTable[ProjectName]=OutputTable[[#This Row],[ProjectName]])*ProjectInfoTable[ConfidenceInterval]))</f>
        <v>0.95</v>
      </c>
      <c r="N3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3" s="5">
        <f t="array" ref="O323">MIN(IF((OutputTable[GroupByKey]=OutputTable[[#This Row],[GroupByKey]]),(OutputTable[GroupByKey]=OutputTable[[#This Row],[GroupByKey]])*OutputTable[RecordedValue]))</f>
        <v>0</v>
      </c>
      <c r="P323" s="5">
        <f t="array" ref="P323">MAX(IF((OutputTable[GroupByKey]=OutputTable[[#This Row],[GroupByKey]]),(OutputTable[GroupByKey]=OutputTable[[#This Row],[GroupByKey]])*OutputTable[RecordedValue]))</f>
        <v>0</v>
      </c>
    </row>
    <row r="324" spans="1:16" x14ac:dyDescent="0.25">
      <c r="A324" t="s">
        <v>67</v>
      </c>
      <c r="B324" t="s">
        <v>70</v>
      </c>
      <c r="C324">
        <v>12</v>
      </c>
      <c r="D324" t="s">
        <v>140</v>
      </c>
      <c r="E324" t="s">
        <v>114</v>
      </c>
      <c r="F324" t="s">
        <v>73</v>
      </c>
      <c r="G324">
        <v>0</v>
      </c>
      <c r="H324">
        <v>0</v>
      </c>
      <c r="I324" s="5" t="str">
        <f>OutputTable[[#This Row],[ProjectName]]&amp;OutputTable[[#This Row],[Name]]&amp;OutputTable[[#This Row],[Type]]&amp;OutputTable[[#This Row],[Source]]</f>
        <v>Unnamed Projectweldingqcworker.NumberSeizedTotal Number SeizedResource</v>
      </c>
      <c r="J324" s="5">
        <f t="array" ref="J324">MAX(IF((ProjectInfoTable[ProjectName]=OutputTable[[#This Row],[ProjectName]]),(ProjectInfoTable[ProjectName]=OutputTable[[#This Row],[ProjectName]])*ProjectInfoTable[NumberOfReplications]))</f>
        <v>15</v>
      </c>
      <c r="K324" s="5">
        <f t="array" ref="K324">IFERROR(AVERAGE(IF((OutputTable[GroupByKey]=OutputTable[[#This Row],[GroupByKey]]),(OutputTable[GroupByKey]=OutputTable[[#This Row],[GroupByKey]])*OutputTable[RecordedValue])),0)</f>
        <v>0</v>
      </c>
      <c r="L324" s="5">
        <f t="array" ref="L324">IFERROR(_xlfn.STDEV.S(IF((OutputTable[GroupByKey]=OutputTable[[#This Row],[GroupByKey]]),(OutputTable[GroupByKey]=OutputTable[[#This Row],[GroupByKey]])*OutputTable[RecordedValue])),0)</f>
        <v>0</v>
      </c>
      <c r="M324" s="5">
        <f t="array" ref="M324">MAX(IF((ProjectInfoTable[ProjectName]=OutputTable[[#This Row],[ProjectName]]),(ProjectInfoTable[ProjectName]=OutputTable[[#This Row],[ProjectName]])*ProjectInfoTable[ConfidenceInterval]))</f>
        <v>0.95</v>
      </c>
      <c r="N3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4" s="5">
        <f t="array" ref="O324">MIN(IF((OutputTable[GroupByKey]=OutputTable[[#This Row],[GroupByKey]]),(OutputTable[GroupByKey]=OutputTable[[#This Row],[GroupByKey]])*OutputTable[RecordedValue]))</f>
        <v>0</v>
      </c>
      <c r="P324" s="5">
        <f t="array" ref="P324">MAX(IF((OutputTable[GroupByKey]=OutputTable[[#This Row],[GroupByKey]]),(OutputTable[GroupByKey]=OutputTable[[#This Row],[GroupByKey]])*OutputTable[RecordedValue]))</f>
        <v>0</v>
      </c>
    </row>
    <row r="325" spans="1:16" x14ac:dyDescent="0.25">
      <c r="A325" t="s">
        <v>67</v>
      </c>
      <c r="B325" t="s">
        <v>70</v>
      </c>
      <c r="C325">
        <v>12</v>
      </c>
      <c r="D325" t="s">
        <v>141</v>
      </c>
      <c r="E325" t="s">
        <v>116</v>
      </c>
      <c r="F325" t="s">
        <v>73</v>
      </c>
      <c r="G325">
        <v>0</v>
      </c>
      <c r="H325">
        <v>0</v>
      </c>
      <c r="I325" s="5" t="str">
        <f>OutputTable[[#This Row],[ProjectName]]&amp;OutputTable[[#This Row],[Name]]&amp;OutputTable[[#This Row],[Type]]&amp;OutputTable[[#This Row],[Source]]</f>
        <v>Unnamed Projectweldingqcworker.ScheduledUtilizationScheduled UtilizationResource</v>
      </c>
      <c r="J325" s="5">
        <f t="array" ref="J325">MAX(IF((ProjectInfoTable[ProjectName]=OutputTable[[#This Row],[ProjectName]]),(ProjectInfoTable[ProjectName]=OutputTable[[#This Row],[ProjectName]])*ProjectInfoTable[NumberOfReplications]))</f>
        <v>15</v>
      </c>
      <c r="K325" s="5">
        <f t="array" ref="K325">IFERROR(AVERAGE(IF((OutputTable[GroupByKey]=OutputTable[[#This Row],[GroupByKey]]),(OutputTable[GroupByKey]=OutputTable[[#This Row],[GroupByKey]])*OutputTable[RecordedValue])),0)</f>
        <v>0</v>
      </c>
      <c r="L325" s="5">
        <f t="array" ref="L325">IFERROR(_xlfn.STDEV.S(IF((OutputTable[GroupByKey]=OutputTable[[#This Row],[GroupByKey]]),(OutputTable[GroupByKey]=OutputTable[[#This Row],[GroupByKey]])*OutputTable[RecordedValue])),0)</f>
        <v>0</v>
      </c>
      <c r="M325" s="5">
        <f t="array" ref="M325">MAX(IF((ProjectInfoTable[ProjectName]=OutputTable[[#This Row],[ProjectName]]),(ProjectInfoTable[ProjectName]=OutputTable[[#This Row],[ProjectName]])*ProjectInfoTable[ConfidenceInterval]))</f>
        <v>0.95</v>
      </c>
      <c r="N3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5" s="5">
        <f t="array" ref="O325">MIN(IF((OutputTable[GroupByKey]=OutputTable[[#This Row],[GroupByKey]]),(OutputTable[GroupByKey]=OutputTable[[#This Row],[GroupByKey]])*OutputTable[RecordedValue]))</f>
        <v>0</v>
      </c>
      <c r="P325" s="5">
        <f t="array" ref="P325">MAX(IF((OutputTable[GroupByKey]=OutputTable[[#This Row],[GroupByKey]]),(OutputTable[GroupByKey]=OutputTable[[#This Row],[GroupByKey]])*OutputTable[RecordedValue]))</f>
        <v>0</v>
      </c>
    </row>
    <row r="326" spans="1:16" x14ac:dyDescent="0.25">
      <c r="A326" t="s">
        <v>67</v>
      </c>
      <c r="B326" t="s">
        <v>70</v>
      </c>
      <c r="C326">
        <v>13</v>
      </c>
      <c r="D326" t="s">
        <v>110</v>
      </c>
      <c r="E326" t="s">
        <v>111</v>
      </c>
      <c r="F326" t="s">
        <v>112</v>
      </c>
      <c r="G326">
        <v>0</v>
      </c>
      <c r="H326">
        <v>0</v>
      </c>
      <c r="I326" s="5" t="str">
        <f>OutputTable[[#This Row],[ProjectName]]&amp;OutputTable[[#This Row],[Name]]&amp;OutputTable[[#This Row],[Type]]&amp;OutputTable[[#This Row],[Source]]</f>
        <v>Unnamed ProjectSystem.NumberOutNumber OutSystem</v>
      </c>
      <c r="J326" s="5">
        <f t="array" ref="J326">MAX(IF((ProjectInfoTable[ProjectName]=OutputTable[[#This Row],[ProjectName]]),(ProjectInfoTable[ProjectName]=OutputTable[[#This Row],[ProjectName]])*ProjectInfoTable[NumberOfReplications]))</f>
        <v>15</v>
      </c>
      <c r="K326" s="5">
        <f t="array" ref="K326">IFERROR(AVERAGE(IF((OutputTable[GroupByKey]=OutputTable[[#This Row],[GroupByKey]]),(OutputTable[GroupByKey]=OutputTable[[#This Row],[GroupByKey]])*OutputTable[RecordedValue])),0)</f>
        <v>0</v>
      </c>
      <c r="L326" s="5">
        <f t="array" ref="L326">IFERROR(_xlfn.STDEV.S(IF((OutputTable[GroupByKey]=OutputTable[[#This Row],[GroupByKey]]),(OutputTable[GroupByKey]=OutputTable[[#This Row],[GroupByKey]])*OutputTable[RecordedValue])),0)</f>
        <v>0</v>
      </c>
      <c r="M326" s="5">
        <f t="array" ref="M326">MAX(IF((ProjectInfoTable[ProjectName]=OutputTable[[#This Row],[ProjectName]]),(ProjectInfoTable[ProjectName]=OutputTable[[#This Row],[ProjectName]])*ProjectInfoTable[ConfidenceInterval]))</f>
        <v>0.95</v>
      </c>
      <c r="N3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6" s="5">
        <f t="array" ref="O326">MIN(IF((OutputTable[GroupByKey]=OutputTable[[#This Row],[GroupByKey]]),(OutputTable[GroupByKey]=OutputTable[[#This Row],[GroupByKey]])*OutputTable[RecordedValue]))</f>
        <v>0</v>
      </c>
      <c r="P326" s="5">
        <f t="array" ref="P326">MAX(IF((OutputTable[GroupByKey]=OutputTable[[#This Row],[GroupByKey]]),(OutputTable[GroupByKey]=OutputTable[[#This Row],[GroupByKey]])*OutputTable[RecordedValue]))</f>
        <v>0</v>
      </c>
    </row>
    <row r="327" spans="1:16" x14ac:dyDescent="0.25">
      <c r="A327" t="s">
        <v>67</v>
      </c>
      <c r="B327" t="s">
        <v>70</v>
      </c>
      <c r="C327">
        <v>13</v>
      </c>
      <c r="D327" t="s">
        <v>113</v>
      </c>
      <c r="E327" t="s">
        <v>114</v>
      </c>
      <c r="F327" t="s">
        <v>73</v>
      </c>
      <c r="G327">
        <v>0</v>
      </c>
      <c r="H327">
        <v>0</v>
      </c>
      <c r="I327" s="5" t="str">
        <f>OutputTable[[#This Row],[ProjectName]]&amp;OutputTable[[#This Row],[Name]]&amp;OutputTable[[#This Row],[Type]]&amp;OutputTable[[#This Row],[Source]]</f>
        <v>Unnamed Projectassembler.NumberSeizedTotal Number SeizedResource</v>
      </c>
      <c r="J327" s="5">
        <f t="array" ref="J327">MAX(IF((ProjectInfoTable[ProjectName]=OutputTable[[#This Row],[ProjectName]]),(ProjectInfoTable[ProjectName]=OutputTable[[#This Row],[ProjectName]])*ProjectInfoTable[NumberOfReplications]))</f>
        <v>15</v>
      </c>
      <c r="K327" s="5">
        <f t="array" ref="K327">IFERROR(AVERAGE(IF((OutputTable[GroupByKey]=OutputTable[[#This Row],[GroupByKey]]),(OutputTable[GroupByKey]=OutputTable[[#This Row],[GroupByKey]])*OutputTable[RecordedValue])),0)</f>
        <v>0</v>
      </c>
      <c r="L327" s="5">
        <f t="array" ref="L327">IFERROR(_xlfn.STDEV.S(IF((OutputTable[GroupByKey]=OutputTable[[#This Row],[GroupByKey]]),(OutputTable[GroupByKey]=OutputTable[[#This Row],[GroupByKey]])*OutputTable[RecordedValue])),0)</f>
        <v>0</v>
      </c>
      <c r="M327" s="5">
        <f t="array" ref="M327">MAX(IF((ProjectInfoTable[ProjectName]=OutputTable[[#This Row],[ProjectName]]),(ProjectInfoTable[ProjectName]=OutputTable[[#This Row],[ProjectName]])*ProjectInfoTable[ConfidenceInterval]))</f>
        <v>0.95</v>
      </c>
      <c r="N3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7" s="5">
        <f t="array" ref="O327">MIN(IF((OutputTable[GroupByKey]=OutputTable[[#This Row],[GroupByKey]]),(OutputTable[GroupByKey]=OutputTable[[#This Row],[GroupByKey]])*OutputTable[RecordedValue]))</f>
        <v>0</v>
      </c>
      <c r="P327" s="5">
        <f t="array" ref="P327">MAX(IF((OutputTable[GroupByKey]=OutputTable[[#This Row],[GroupByKey]]),(OutputTable[GroupByKey]=OutputTable[[#This Row],[GroupByKey]])*OutputTable[RecordedValue]))</f>
        <v>0</v>
      </c>
    </row>
    <row r="328" spans="1:16" x14ac:dyDescent="0.25">
      <c r="A328" t="s">
        <v>67</v>
      </c>
      <c r="B328" t="s">
        <v>70</v>
      </c>
      <c r="C328">
        <v>13</v>
      </c>
      <c r="D328" t="s">
        <v>115</v>
      </c>
      <c r="E328" t="s">
        <v>116</v>
      </c>
      <c r="F328" t="s">
        <v>73</v>
      </c>
      <c r="G328">
        <v>0</v>
      </c>
      <c r="H328">
        <v>0</v>
      </c>
      <c r="I328" s="5" t="str">
        <f>OutputTable[[#This Row],[ProjectName]]&amp;OutputTable[[#This Row],[Name]]&amp;OutputTable[[#This Row],[Type]]&amp;OutputTable[[#This Row],[Source]]</f>
        <v>Unnamed Projectassembler.ScheduledUtilizationScheduled UtilizationResource</v>
      </c>
      <c r="J328" s="5">
        <f t="array" ref="J328">MAX(IF((ProjectInfoTable[ProjectName]=OutputTable[[#This Row],[ProjectName]]),(ProjectInfoTable[ProjectName]=OutputTable[[#This Row],[ProjectName]])*ProjectInfoTable[NumberOfReplications]))</f>
        <v>15</v>
      </c>
      <c r="K328" s="5">
        <f t="array" ref="K328">IFERROR(AVERAGE(IF((OutputTable[GroupByKey]=OutputTable[[#This Row],[GroupByKey]]),(OutputTable[GroupByKey]=OutputTable[[#This Row],[GroupByKey]])*OutputTable[RecordedValue])),0)</f>
        <v>0</v>
      </c>
      <c r="L328" s="5">
        <f t="array" ref="L328">IFERROR(_xlfn.STDEV.S(IF((OutputTable[GroupByKey]=OutputTable[[#This Row],[GroupByKey]]),(OutputTable[GroupByKey]=OutputTable[[#This Row],[GroupByKey]])*OutputTable[RecordedValue])),0)</f>
        <v>0</v>
      </c>
      <c r="M328" s="5">
        <f t="array" ref="M328">MAX(IF((ProjectInfoTable[ProjectName]=OutputTable[[#This Row],[ProjectName]]),(ProjectInfoTable[ProjectName]=OutputTable[[#This Row],[ProjectName]])*ProjectInfoTable[ConfidenceInterval]))</f>
        <v>0.95</v>
      </c>
      <c r="N3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8" s="5">
        <f t="array" ref="O328">MIN(IF((OutputTable[GroupByKey]=OutputTable[[#This Row],[GroupByKey]]),(OutputTable[GroupByKey]=OutputTable[[#This Row],[GroupByKey]])*OutputTable[RecordedValue]))</f>
        <v>0</v>
      </c>
      <c r="P328" s="5">
        <f t="array" ref="P328">MAX(IF((OutputTable[GroupByKey]=OutputTable[[#This Row],[GroupByKey]]),(OutputTable[GroupByKey]=OutputTable[[#This Row],[GroupByKey]])*OutputTable[RecordedValue]))</f>
        <v>0</v>
      </c>
    </row>
    <row r="329" spans="1:16" x14ac:dyDescent="0.25">
      <c r="A329" t="s">
        <v>67</v>
      </c>
      <c r="B329" t="s">
        <v>70</v>
      </c>
      <c r="C329">
        <v>13</v>
      </c>
      <c r="D329" t="s">
        <v>117</v>
      </c>
      <c r="E329" t="s">
        <v>114</v>
      </c>
      <c r="F329" t="s">
        <v>73</v>
      </c>
      <c r="G329">
        <v>0</v>
      </c>
      <c r="H329">
        <v>0</v>
      </c>
      <c r="I329" s="5" t="str">
        <f>OutputTable[[#This Row],[ProjectName]]&amp;OutputTable[[#This Row],[Name]]&amp;OutputTable[[#This Row],[Type]]&amp;OutputTable[[#This Row],[Source]]</f>
        <v>Unnamed Projectassemblyqcworker.NumberSeizedTotal Number SeizedResource</v>
      </c>
      <c r="J329" s="5">
        <f t="array" ref="J329">MAX(IF((ProjectInfoTable[ProjectName]=OutputTable[[#This Row],[ProjectName]]),(ProjectInfoTable[ProjectName]=OutputTable[[#This Row],[ProjectName]])*ProjectInfoTable[NumberOfReplications]))</f>
        <v>15</v>
      </c>
      <c r="K329" s="5">
        <f t="array" ref="K329">IFERROR(AVERAGE(IF((OutputTable[GroupByKey]=OutputTable[[#This Row],[GroupByKey]]),(OutputTable[GroupByKey]=OutputTable[[#This Row],[GroupByKey]])*OutputTable[RecordedValue])),0)</f>
        <v>0</v>
      </c>
      <c r="L329" s="5">
        <f t="array" ref="L329">IFERROR(_xlfn.STDEV.S(IF((OutputTable[GroupByKey]=OutputTable[[#This Row],[GroupByKey]]),(OutputTable[GroupByKey]=OutputTable[[#This Row],[GroupByKey]])*OutputTable[RecordedValue])),0)</f>
        <v>0</v>
      </c>
      <c r="M329" s="5">
        <f t="array" ref="M329">MAX(IF((ProjectInfoTable[ProjectName]=OutputTable[[#This Row],[ProjectName]]),(ProjectInfoTable[ProjectName]=OutputTable[[#This Row],[ProjectName]])*ProjectInfoTable[ConfidenceInterval]))</f>
        <v>0.95</v>
      </c>
      <c r="N3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29" s="5">
        <f t="array" ref="O329">MIN(IF((OutputTable[GroupByKey]=OutputTable[[#This Row],[GroupByKey]]),(OutputTable[GroupByKey]=OutputTable[[#This Row],[GroupByKey]])*OutputTable[RecordedValue]))</f>
        <v>0</v>
      </c>
      <c r="P329" s="5">
        <f t="array" ref="P329">MAX(IF((OutputTable[GroupByKey]=OutputTable[[#This Row],[GroupByKey]]),(OutputTable[GroupByKey]=OutputTable[[#This Row],[GroupByKey]])*OutputTable[RecordedValue]))</f>
        <v>0</v>
      </c>
    </row>
    <row r="330" spans="1:16" x14ac:dyDescent="0.25">
      <c r="A330" t="s">
        <v>67</v>
      </c>
      <c r="B330" t="s">
        <v>70</v>
      </c>
      <c r="C330">
        <v>13</v>
      </c>
      <c r="D330" t="s">
        <v>118</v>
      </c>
      <c r="E330" t="s">
        <v>116</v>
      </c>
      <c r="F330" t="s">
        <v>73</v>
      </c>
      <c r="G330">
        <v>0</v>
      </c>
      <c r="H330">
        <v>0</v>
      </c>
      <c r="I330" s="5" t="str">
        <f>OutputTable[[#This Row],[ProjectName]]&amp;OutputTable[[#This Row],[Name]]&amp;OutputTable[[#This Row],[Type]]&amp;OutputTable[[#This Row],[Source]]</f>
        <v>Unnamed Projectassemblyqcworker.ScheduledUtilizationScheduled UtilizationResource</v>
      </c>
      <c r="J330" s="5">
        <f t="array" ref="J330">MAX(IF((ProjectInfoTable[ProjectName]=OutputTable[[#This Row],[ProjectName]]),(ProjectInfoTable[ProjectName]=OutputTable[[#This Row],[ProjectName]])*ProjectInfoTable[NumberOfReplications]))</f>
        <v>15</v>
      </c>
      <c r="K330" s="5">
        <f t="array" ref="K330">IFERROR(AVERAGE(IF((OutputTable[GroupByKey]=OutputTable[[#This Row],[GroupByKey]]),(OutputTable[GroupByKey]=OutputTable[[#This Row],[GroupByKey]])*OutputTable[RecordedValue])),0)</f>
        <v>0</v>
      </c>
      <c r="L330" s="5">
        <f t="array" ref="L330">IFERROR(_xlfn.STDEV.S(IF((OutputTable[GroupByKey]=OutputTable[[#This Row],[GroupByKey]]),(OutputTable[GroupByKey]=OutputTable[[#This Row],[GroupByKey]])*OutputTable[RecordedValue])),0)</f>
        <v>0</v>
      </c>
      <c r="M330" s="5">
        <f t="array" ref="M330">MAX(IF((ProjectInfoTable[ProjectName]=OutputTable[[#This Row],[ProjectName]]),(ProjectInfoTable[ProjectName]=OutputTable[[#This Row],[ProjectName]])*ProjectInfoTable[ConfidenceInterval]))</f>
        <v>0.95</v>
      </c>
      <c r="N3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0" s="5">
        <f t="array" ref="O330">MIN(IF((OutputTable[GroupByKey]=OutputTable[[#This Row],[GroupByKey]]),(OutputTable[GroupByKey]=OutputTable[[#This Row],[GroupByKey]])*OutputTable[RecordedValue]))</f>
        <v>0</v>
      </c>
      <c r="P330" s="5">
        <f t="array" ref="P330">MAX(IF((OutputTable[GroupByKey]=OutputTable[[#This Row],[GroupByKey]]),(OutputTable[GroupByKey]=OutputTable[[#This Row],[GroupByKey]])*OutputTable[RecordedValue]))</f>
        <v>0</v>
      </c>
    </row>
    <row r="331" spans="1:16" x14ac:dyDescent="0.25">
      <c r="A331" t="s">
        <v>67</v>
      </c>
      <c r="B331" t="s">
        <v>70</v>
      </c>
      <c r="C331">
        <v>13</v>
      </c>
      <c r="D331" t="s">
        <v>119</v>
      </c>
      <c r="E331" t="s">
        <v>120</v>
      </c>
      <c r="F331" t="s">
        <v>79</v>
      </c>
      <c r="G331">
        <v>0</v>
      </c>
      <c r="H331">
        <v>0</v>
      </c>
      <c r="I331" s="5" t="str">
        <f>OutputTable[[#This Row],[ProjectName]]&amp;OutputTable[[#This Row],[Name]]&amp;OutputTable[[#This Row],[Type]]&amp;OutputTable[[#This Row],[Source]]</f>
        <v>Unnamed Projectbatched_parts.NumberInNumber InEntity</v>
      </c>
      <c r="J331" s="5">
        <f t="array" ref="J331">MAX(IF((ProjectInfoTable[ProjectName]=OutputTable[[#This Row],[ProjectName]]),(ProjectInfoTable[ProjectName]=OutputTable[[#This Row],[ProjectName]])*ProjectInfoTable[NumberOfReplications]))</f>
        <v>15</v>
      </c>
      <c r="K331" s="5">
        <f t="array" ref="K331">IFERROR(AVERAGE(IF((OutputTable[GroupByKey]=OutputTable[[#This Row],[GroupByKey]]),(OutputTable[GroupByKey]=OutputTable[[#This Row],[GroupByKey]])*OutputTable[RecordedValue])),0)</f>
        <v>0</v>
      </c>
      <c r="L331" s="5">
        <f t="array" ref="L331">IFERROR(_xlfn.STDEV.S(IF((OutputTable[GroupByKey]=OutputTable[[#This Row],[GroupByKey]]),(OutputTable[GroupByKey]=OutputTable[[#This Row],[GroupByKey]])*OutputTable[RecordedValue])),0)</f>
        <v>0</v>
      </c>
      <c r="M331" s="5">
        <f t="array" ref="M331">MAX(IF((ProjectInfoTable[ProjectName]=OutputTable[[#This Row],[ProjectName]]),(ProjectInfoTable[ProjectName]=OutputTable[[#This Row],[ProjectName]])*ProjectInfoTable[ConfidenceInterval]))</f>
        <v>0.95</v>
      </c>
      <c r="N3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1" s="5">
        <f t="array" ref="O331">MIN(IF((OutputTable[GroupByKey]=OutputTable[[#This Row],[GroupByKey]]),(OutputTable[GroupByKey]=OutputTable[[#This Row],[GroupByKey]])*OutputTable[RecordedValue]))</f>
        <v>0</v>
      </c>
      <c r="P331" s="5">
        <f t="array" ref="P331">MAX(IF((OutputTable[GroupByKey]=OutputTable[[#This Row],[GroupByKey]]),(OutputTable[GroupByKey]=OutputTable[[#This Row],[GroupByKey]])*OutputTable[RecordedValue]))</f>
        <v>0</v>
      </c>
    </row>
    <row r="332" spans="1:16" x14ac:dyDescent="0.25">
      <c r="A332" t="s">
        <v>67</v>
      </c>
      <c r="B332" t="s">
        <v>70</v>
      </c>
      <c r="C332">
        <v>13</v>
      </c>
      <c r="D332" t="s">
        <v>121</v>
      </c>
      <c r="E332" t="s">
        <v>111</v>
      </c>
      <c r="F332" t="s">
        <v>79</v>
      </c>
      <c r="G332">
        <v>0</v>
      </c>
      <c r="H332">
        <v>0</v>
      </c>
      <c r="I332" s="5" t="str">
        <f>OutputTable[[#This Row],[ProjectName]]&amp;OutputTable[[#This Row],[Name]]&amp;OutputTable[[#This Row],[Type]]&amp;OutputTable[[#This Row],[Source]]</f>
        <v>Unnamed Projectbatched_parts.NumberOutNumber OutEntity</v>
      </c>
      <c r="J332" s="5">
        <f t="array" ref="J332">MAX(IF((ProjectInfoTable[ProjectName]=OutputTable[[#This Row],[ProjectName]]),(ProjectInfoTable[ProjectName]=OutputTable[[#This Row],[ProjectName]])*ProjectInfoTable[NumberOfReplications]))</f>
        <v>15</v>
      </c>
      <c r="K332" s="5">
        <f t="array" ref="K332">IFERROR(AVERAGE(IF((OutputTable[GroupByKey]=OutputTable[[#This Row],[GroupByKey]]),(OutputTable[GroupByKey]=OutputTable[[#This Row],[GroupByKey]])*OutputTable[RecordedValue])),0)</f>
        <v>0</v>
      </c>
      <c r="L332" s="5">
        <f t="array" ref="L332">IFERROR(_xlfn.STDEV.S(IF((OutputTable[GroupByKey]=OutputTable[[#This Row],[GroupByKey]]),(OutputTable[GroupByKey]=OutputTable[[#This Row],[GroupByKey]])*OutputTable[RecordedValue])),0)</f>
        <v>0</v>
      </c>
      <c r="M332" s="5">
        <f t="array" ref="M332">MAX(IF((ProjectInfoTable[ProjectName]=OutputTable[[#This Row],[ProjectName]]),(ProjectInfoTable[ProjectName]=OutputTable[[#This Row],[ProjectName]])*ProjectInfoTable[ConfidenceInterval]))</f>
        <v>0.95</v>
      </c>
      <c r="N3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2" s="5">
        <f t="array" ref="O332">MIN(IF((OutputTable[GroupByKey]=OutputTable[[#This Row],[GroupByKey]]),(OutputTable[GroupByKey]=OutputTable[[#This Row],[GroupByKey]])*OutputTable[RecordedValue]))</f>
        <v>0</v>
      </c>
      <c r="P332" s="5">
        <f t="array" ref="P332">MAX(IF((OutputTable[GroupByKey]=OutputTable[[#This Row],[GroupByKey]]),(OutputTable[GroupByKey]=OutputTable[[#This Row],[GroupByKey]])*OutputTable[RecordedValue]))</f>
        <v>0</v>
      </c>
    </row>
    <row r="333" spans="1:16" x14ac:dyDescent="0.25">
      <c r="A333" t="s">
        <v>67</v>
      </c>
      <c r="B333" t="s">
        <v>70</v>
      </c>
      <c r="C333">
        <v>13</v>
      </c>
      <c r="D333" t="s">
        <v>122</v>
      </c>
      <c r="E333" t="s">
        <v>114</v>
      </c>
      <c r="F333" t="s">
        <v>73</v>
      </c>
      <c r="G333">
        <v>0</v>
      </c>
      <c r="H333">
        <v>0</v>
      </c>
      <c r="I333" s="5" t="str">
        <f>OutputTable[[#This Row],[ProjectName]]&amp;OutputTable[[#This Row],[Name]]&amp;OutputTable[[#This Row],[Type]]&amp;OutputTable[[#This Row],[Source]]</f>
        <v>Unnamed Projectcleaner.NumberSeizedTotal Number SeizedResource</v>
      </c>
      <c r="J333" s="5">
        <f t="array" ref="J333">MAX(IF((ProjectInfoTable[ProjectName]=OutputTable[[#This Row],[ProjectName]]),(ProjectInfoTable[ProjectName]=OutputTable[[#This Row],[ProjectName]])*ProjectInfoTable[NumberOfReplications]))</f>
        <v>15</v>
      </c>
      <c r="K333" s="5">
        <f t="array" ref="K333">IFERROR(AVERAGE(IF((OutputTable[GroupByKey]=OutputTable[[#This Row],[GroupByKey]]),(OutputTable[GroupByKey]=OutputTable[[#This Row],[GroupByKey]])*OutputTable[RecordedValue])),0)</f>
        <v>0</v>
      </c>
      <c r="L333" s="5">
        <f t="array" ref="L333">IFERROR(_xlfn.STDEV.S(IF((OutputTable[GroupByKey]=OutputTable[[#This Row],[GroupByKey]]),(OutputTable[GroupByKey]=OutputTable[[#This Row],[GroupByKey]])*OutputTable[RecordedValue])),0)</f>
        <v>0</v>
      </c>
      <c r="M333" s="5">
        <f t="array" ref="M333">MAX(IF((ProjectInfoTable[ProjectName]=OutputTable[[#This Row],[ProjectName]]),(ProjectInfoTable[ProjectName]=OutputTable[[#This Row],[ProjectName]])*ProjectInfoTable[ConfidenceInterval]))</f>
        <v>0.95</v>
      </c>
      <c r="N3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3" s="5">
        <f t="array" ref="O333">MIN(IF((OutputTable[GroupByKey]=OutputTable[[#This Row],[GroupByKey]]),(OutputTable[GroupByKey]=OutputTable[[#This Row],[GroupByKey]])*OutputTable[RecordedValue]))</f>
        <v>0</v>
      </c>
      <c r="P333" s="5">
        <f t="array" ref="P333">MAX(IF((OutputTable[GroupByKey]=OutputTable[[#This Row],[GroupByKey]]),(OutputTable[GroupByKey]=OutputTable[[#This Row],[GroupByKey]])*OutputTable[RecordedValue]))</f>
        <v>0</v>
      </c>
    </row>
    <row r="334" spans="1:16" x14ac:dyDescent="0.25">
      <c r="A334" t="s">
        <v>67</v>
      </c>
      <c r="B334" t="s">
        <v>70</v>
      </c>
      <c r="C334">
        <v>13</v>
      </c>
      <c r="D334" t="s">
        <v>123</v>
      </c>
      <c r="E334" t="s">
        <v>116</v>
      </c>
      <c r="F334" t="s">
        <v>73</v>
      </c>
      <c r="G334">
        <v>0</v>
      </c>
      <c r="H334">
        <v>0</v>
      </c>
      <c r="I334" s="5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334" s="5">
        <f t="array" ref="J334">MAX(IF((ProjectInfoTable[ProjectName]=OutputTable[[#This Row],[ProjectName]]),(ProjectInfoTable[ProjectName]=OutputTable[[#This Row],[ProjectName]])*ProjectInfoTable[NumberOfReplications]))</f>
        <v>15</v>
      </c>
      <c r="K334" s="5">
        <f t="array" ref="K334">IFERROR(AVERAGE(IF((OutputTable[GroupByKey]=OutputTable[[#This Row],[GroupByKey]]),(OutputTable[GroupByKey]=OutputTable[[#This Row],[GroupByKey]])*OutputTable[RecordedValue])),0)</f>
        <v>0</v>
      </c>
      <c r="L334" s="5">
        <f t="array" ref="L334">IFERROR(_xlfn.STDEV.S(IF((OutputTable[GroupByKey]=OutputTable[[#This Row],[GroupByKey]]),(OutputTable[GroupByKey]=OutputTable[[#This Row],[GroupByKey]])*OutputTable[RecordedValue])),0)</f>
        <v>0</v>
      </c>
      <c r="M334" s="5">
        <f t="array" ref="M334">MAX(IF((ProjectInfoTable[ProjectName]=OutputTable[[#This Row],[ProjectName]]),(ProjectInfoTable[ProjectName]=OutputTable[[#This Row],[ProjectName]])*ProjectInfoTable[ConfidenceInterval]))</f>
        <v>0.95</v>
      </c>
      <c r="N3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4" s="5">
        <f t="array" ref="O334">MIN(IF((OutputTable[GroupByKey]=OutputTable[[#This Row],[GroupByKey]]),(OutputTable[GroupByKey]=OutputTable[[#This Row],[GroupByKey]])*OutputTable[RecordedValue]))</f>
        <v>0</v>
      </c>
      <c r="P334" s="5">
        <f t="array" ref="P334">MAX(IF((OutputTable[GroupByKey]=OutputTable[[#This Row],[GroupByKey]]),(OutputTable[GroupByKey]=OutputTable[[#This Row],[GroupByKey]])*OutputTable[RecordedValue]))</f>
        <v>0</v>
      </c>
    </row>
    <row r="335" spans="1:16" x14ac:dyDescent="0.25">
      <c r="A335" t="s">
        <v>67</v>
      </c>
      <c r="B335" t="s">
        <v>70</v>
      </c>
      <c r="C335">
        <v>13</v>
      </c>
      <c r="D335" t="s">
        <v>124</v>
      </c>
      <c r="E335" t="s">
        <v>114</v>
      </c>
      <c r="F335" t="s">
        <v>73</v>
      </c>
      <c r="G335">
        <v>0</v>
      </c>
      <c r="H335">
        <v>0</v>
      </c>
      <c r="I335" s="5" t="str">
        <f>OutputTable[[#This Row],[ProjectName]]&amp;OutputTable[[#This Row],[Name]]&amp;OutputTable[[#This Row],[Type]]&amp;OutputTable[[#This Row],[Source]]</f>
        <v>Unnamed Projectcutter.NumberSeizedTotal Number SeizedResource</v>
      </c>
      <c r="J335" s="5">
        <f t="array" ref="J335">MAX(IF((ProjectInfoTable[ProjectName]=OutputTable[[#This Row],[ProjectName]]),(ProjectInfoTable[ProjectName]=OutputTable[[#This Row],[ProjectName]])*ProjectInfoTable[NumberOfReplications]))</f>
        <v>15</v>
      </c>
      <c r="K335" s="5">
        <f t="array" ref="K335">IFERROR(AVERAGE(IF((OutputTable[GroupByKey]=OutputTable[[#This Row],[GroupByKey]]),(OutputTable[GroupByKey]=OutputTable[[#This Row],[GroupByKey]])*OutputTable[RecordedValue])),0)</f>
        <v>0</v>
      </c>
      <c r="L335" s="5">
        <f t="array" ref="L335">IFERROR(_xlfn.STDEV.S(IF((OutputTable[GroupByKey]=OutputTable[[#This Row],[GroupByKey]]),(OutputTable[GroupByKey]=OutputTable[[#This Row],[GroupByKey]])*OutputTable[RecordedValue])),0)</f>
        <v>0</v>
      </c>
      <c r="M335" s="5">
        <f t="array" ref="M335">MAX(IF((ProjectInfoTable[ProjectName]=OutputTable[[#This Row],[ProjectName]]),(ProjectInfoTable[ProjectName]=OutputTable[[#This Row],[ProjectName]])*ProjectInfoTable[ConfidenceInterval]))</f>
        <v>0.95</v>
      </c>
      <c r="N3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5" s="5">
        <f t="array" ref="O335">MIN(IF((OutputTable[GroupByKey]=OutputTable[[#This Row],[GroupByKey]]),(OutputTable[GroupByKey]=OutputTable[[#This Row],[GroupByKey]])*OutputTable[RecordedValue]))</f>
        <v>0</v>
      </c>
      <c r="P335" s="5">
        <f t="array" ref="P335">MAX(IF((OutputTable[GroupByKey]=OutputTable[[#This Row],[GroupByKey]]),(OutputTable[GroupByKey]=OutputTable[[#This Row],[GroupByKey]])*OutputTable[RecordedValue]))</f>
        <v>0</v>
      </c>
    </row>
    <row r="336" spans="1:16" x14ac:dyDescent="0.25">
      <c r="A336" t="s">
        <v>67</v>
      </c>
      <c r="B336" t="s">
        <v>70</v>
      </c>
      <c r="C336">
        <v>13</v>
      </c>
      <c r="D336" t="s">
        <v>125</v>
      </c>
      <c r="E336" t="s">
        <v>116</v>
      </c>
      <c r="F336" t="s">
        <v>73</v>
      </c>
      <c r="G336">
        <v>0</v>
      </c>
      <c r="H336">
        <v>0</v>
      </c>
      <c r="I336" s="5" t="str">
        <f>OutputTable[[#This Row],[ProjectName]]&amp;OutputTable[[#This Row],[Name]]&amp;OutputTable[[#This Row],[Type]]&amp;OutputTable[[#This Row],[Source]]</f>
        <v>Unnamed Projectcutter.ScheduledUtilizationScheduled UtilizationResource</v>
      </c>
      <c r="J336" s="5">
        <f t="array" ref="J336">MAX(IF((ProjectInfoTable[ProjectName]=OutputTable[[#This Row],[ProjectName]]),(ProjectInfoTable[ProjectName]=OutputTable[[#This Row],[ProjectName]])*ProjectInfoTable[NumberOfReplications]))</f>
        <v>15</v>
      </c>
      <c r="K336" s="5">
        <f t="array" ref="K336">IFERROR(AVERAGE(IF((OutputTable[GroupByKey]=OutputTable[[#This Row],[GroupByKey]]),(OutputTable[GroupByKey]=OutputTable[[#This Row],[GroupByKey]])*OutputTable[RecordedValue])),0)</f>
        <v>0</v>
      </c>
      <c r="L336" s="5">
        <f t="array" ref="L336">IFERROR(_xlfn.STDEV.S(IF((OutputTable[GroupByKey]=OutputTable[[#This Row],[GroupByKey]]),(OutputTable[GroupByKey]=OutputTable[[#This Row],[GroupByKey]])*OutputTable[RecordedValue])),0)</f>
        <v>0</v>
      </c>
      <c r="M336" s="5">
        <f t="array" ref="M336">MAX(IF((ProjectInfoTable[ProjectName]=OutputTable[[#This Row],[ProjectName]]),(ProjectInfoTable[ProjectName]=OutputTable[[#This Row],[ProjectName]])*ProjectInfoTable[ConfidenceInterval]))</f>
        <v>0.95</v>
      </c>
      <c r="N3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6" s="5">
        <f t="array" ref="O336">MIN(IF((OutputTable[GroupByKey]=OutputTable[[#This Row],[GroupByKey]]),(OutputTable[GroupByKey]=OutputTable[[#This Row],[GroupByKey]])*OutputTable[RecordedValue]))</f>
        <v>0</v>
      </c>
      <c r="P336" s="5">
        <f t="array" ref="P336">MAX(IF((OutputTable[GroupByKey]=OutputTable[[#This Row],[GroupByKey]]),(OutputTable[GroupByKey]=OutputTable[[#This Row],[GroupByKey]])*OutputTable[RecordedValue]))</f>
        <v>0</v>
      </c>
    </row>
    <row r="337" spans="1:16" x14ac:dyDescent="0.25">
      <c r="A337" t="s">
        <v>67</v>
      </c>
      <c r="B337" t="s">
        <v>70</v>
      </c>
      <c r="C337">
        <v>13</v>
      </c>
      <c r="D337" t="s">
        <v>126</v>
      </c>
      <c r="E337" t="s">
        <v>114</v>
      </c>
      <c r="F337" t="s">
        <v>73</v>
      </c>
      <c r="G337">
        <v>0</v>
      </c>
      <c r="H337">
        <v>0</v>
      </c>
      <c r="I337" s="5" t="str">
        <f>OutputTable[[#This Row],[ProjectName]]&amp;OutputTable[[#This Row],[Name]]&amp;OutputTable[[#This Row],[Type]]&amp;OutputTable[[#This Row],[Source]]</f>
        <v>Unnamed Projectfinalqcman.NumberSeizedTotal Number SeizedResource</v>
      </c>
      <c r="J337" s="5">
        <f t="array" ref="J337">MAX(IF((ProjectInfoTable[ProjectName]=OutputTable[[#This Row],[ProjectName]]),(ProjectInfoTable[ProjectName]=OutputTable[[#This Row],[ProjectName]])*ProjectInfoTable[NumberOfReplications]))</f>
        <v>15</v>
      </c>
      <c r="K337" s="5">
        <f t="array" ref="K337">IFERROR(AVERAGE(IF((OutputTable[GroupByKey]=OutputTable[[#This Row],[GroupByKey]]),(OutputTable[GroupByKey]=OutputTable[[#This Row],[GroupByKey]])*OutputTable[RecordedValue])),0)</f>
        <v>0</v>
      </c>
      <c r="L337" s="5">
        <f t="array" ref="L337">IFERROR(_xlfn.STDEV.S(IF((OutputTable[GroupByKey]=OutputTable[[#This Row],[GroupByKey]]),(OutputTable[GroupByKey]=OutputTable[[#This Row],[GroupByKey]])*OutputTable[RecordedValue])),0)</f>
        <v>0</v>
      </c>
      <c r="M337" s="5">
        <f t="array" ref="M337">MAX(IF((ProjectInfoTable[ProjectName]=OutputTable[[#This Row],[ProjectName]]),(ProjectInfoTable[ProjectName]=OutputTable[[#This Row],[ProjectName]])*ProjectInfoTable[ConfidenceInterval]))</f>
        <v>0.95</v>
      </c>
      <c r="N3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7" s="5">
        <f t="array" ref="O337">MIN(IF((OutputTable[GroupByKey]=OutputTable[[#This Row],[GroupByKey]]),(OutputTable[GroupByKey]=OutputTable[[#This Row],[GroupByKey]])*OutputTable[RecordedValue]))</f>
        <v>0</v>
      </c>
      <c r="P337" s="5">
        <f t="array" ref="P337">MAX(IF((OutputTable[GroupByKey]=OutputTable[[#This Row],[GroupByKey]]),(OutputTable[GroupByKey]=OutputTable[[#This Row],[GroupByKey]])*OutputTable[RecordedValue]))</f>
        <v>0</v>
      </c>
    </row>
    <row r="338" spans="1:16" x14ac:dyDescent="0.25">
      <c r="A338" t="s">
        <v>67</v>
      </c>
      <c r="B338" t="s">
        <v>70</v>
      </c>
      <c r="C338">
        <v>13</v>
      </c>
      <c r="D338" t="s">
        <v>127</v>
      </c>
      <c r="E338" t="s">
        <v>116</v>
      </c>
      <c r="F338" t="s">
        <v>73</v>
      </c>
      <c r="G338">
        <v>0</v>
      </c>
      <c r="H338">
        <v>0</v>
      </c>
      <c r="I338" s="5" t="str">
        <f>OutputTable[[#This Row],[ProjectName]]&amp;OutputTable[[#This Row],[Name]]&amp;OutputTable[[#This Row],[Type]]&amp;OutputTable[[#This Row],[Source]]</f>
        <v>Unnamed Projectfinalqcman.ScheduledUtilizationScheduled UtilizationResource</v>
      </c>
      <c r="J338" s="5">
        <f t="array" ref="J338">MAX(IF((ProjectInfoTable[ProjectName]=OutputTable[[#This Row],[ProjectName]]),(ProjectInfoTable[ProjectName]=OutputTable[[#This Row],[ProjectName]])*ProjectInfoTable[NumberOfReplications]))</f>
        <v>15</v>
      </c>
      <c r="K338" s="5">
        <f t="array" ref="K338">IFERROR(AVERAGE(IF((OutputTable[GroupByKey]=OutputTable[[#This Row],[GroupByKey]]),(OutputTable[GroupByKey]=OutputTable[[#This Row],[GroupByKey]])*OutputTable[RecordedValue])),0)</f>
        <v>0</v>
      </c>
      <c r="L338" s="5">
        <f t="array" ref="L338">IFERROR(_xlfn.STDEV.S(IF((OutputTable[GroupByKey]=OutputTable[[#This Row],[GroupByKey]]),(OutputTable[GroupByKey]=OutputTable[[#This Row],[GroupByKey]])*OutputTable[RecordedValue])),0)</f>
        <v>0</v>
      </c>
      <c r="M338" s="5">
        <f t="array" ref="M338">MAX(IF((ProjectInfoTable[ProjectName]=OutputTable[[#This Row],[ProjectName]]),(ProjectInfoTable[ProjectName]=OutputTable[[#This Row],[ProjectName]])*ProjectInfoTable[ConfidenceInterval]))</f>
        <v>0.95</v>
      </c>
      <c r="N3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8" s="5">
        <f t="array" ref="O338">MIN(IF((OutputTable[GroupByKey]=OutputTable[[#This Row],[GroupByKey]]),(OutputTable[GroupByKey]=OutputTable[[#This Row],[GroupByKey]])*OutputTable[RecordedValue]))</f>
        <v>0</v>
      </c>
      <c r="P338" s="5">
        <f t="array" ref="P338">MAX(IF((OutputTable[GroupByKey]=OutputTable[[#This Row],[GroupByKey]]),(OutputTable[GroupByKey]=OutputTable[[#This Row],[GroupByKey]])*OutputTable[RecordedValue]))</f>
        <v>0</v>
      </c>
    </row>
    <row r="339" spans="1:16" x14ac:dyDescent="0.25">
      <c r="A339" t="s">
        <v>67</v>
      </c>
      <c r="B339" t="s">
        <v>70</v>
      </c>
      <c r="C339">
        <v>13</v>
      </c>
      <c r="D339" t="s">
        <v>128</v>
      </c>
      <c r="E339" t="s">
        <v>114</v>
      </c>
      <c r="F339" t="s">
        <v>73</v>
      </c>
      <c r="G339">
        <v>0</v>
      </c>
      <c r="H339">
        <v>0</v>
      </c>
      <c r="I339" s="5" t="str">
        <f>OutputTable[[#This Row],[ProjectName]]&amp;OutputTable[[#This Row],[Name]]&amp;OutputTable[[#This Row],[Type]]&amp;OutputTable[[#This Row],[Source]]</f>
        <v>Unnamed Projectpaintingmachine.NumberSeizedTotal Number SeizedResource</v>
      </c>
      <c r="J339" s="5">
        <f t="array" ref="J339">MAX(IF((ProjectInfoTable[ProjectName]=OutputTable[[#This Row],[ProjectName]]),(ProjectInfoTable[ProjectName]=OutputTable[[#This Row],[ProjectName]])*ProjectInfoTable[NumberOfReplications]))</f>
        <v>15</v>
      </c>
      <c r="K339" s="5">
        <f t="array" ref="K339">IFERROR(AVERAGE(IF((OutputTable[GroupByKey]=OutputTable[[#This Row],[GroupByKey]]),(OutputTable[GroupByKey]=OutputTable[[#This Row],[GroupByKey]])*OutputTable[RecordedValue])),0)</f>
        <v>0</v>
      </c>
      <c r="L339" s="5">
        <f t="array" ref="L339">IFERROR(_xlfn.STDEV.S(IF((OutputTable[GroupByKey]=OutputTable[[#This Row],[GroupByKey]]),(OutputTable[GroupByKey]=OutputTable[[#This Row],[GroupByKey]])*OutputTable[RecordedValue])),0)</f>
        <v>0</v>
      </c>
      <c r="M339" s="5">
        <f t="array" ref="M339">MAX(IF((ProjectInfoTable[ProjectName]=OutputTable[[#This Row],[ProjectName]]),(ProjectInfoTable[ProjectName]=OutputTable[[#This Row],[ProjectName]])*ProjectInfoTable[ConfidenceInterval]))</f>
        <v>0.95</v>
      </c>
      <c r="N3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39" s="5">
        <f t="array" ref="O339">MIN(IF((OutputTable[GroupByKey]=OutputTable[[#This Row],[GroupByKey]]),(OutputTable[GroupByKey]=OutputTable[[#This Row],[GroupByKey]])*OutputTable[RecordedValue]))</f>
        <v>0</v>
      </c>
      <c r="P339" s="5">
        <f t="array" ref="P339">MAX(IF((OutputTable[GroupByKey]=OutputTable[[#This Row],[GroupByKey]]),(OutputTable[GroupByKey]=OutputTable[[#This Row],[GroupByKey]])*OutputTable[RecordedValue]))</f>
        <v>0</v>
      </c>
    </row>
    <row r="340" spans="1:16" x14ac:dyDescent="0.25">
      <c r="A340" t="s">
        <v>67</v>
      </c>
      <c r="B340" t="s">
        <v>70</v>
      </c>
      <c r="C340">
        <v>13</v>
      </c>
      <c r="D340" t="s">
        <v>129</v>
      </c>
      <c r="E340" t="s">
        <v>116</v>
      </c>
      <c r="F340" t="s">
        <v>73</v>
      </c>
      <c r="G340">
        <v>0</v>
      </c>
      <c r="H340">
        <v>0</v>
      </c>
      <c r="I340" s="5" t="str">
        <f>OutputTable[[#This Row],[ProjectName]]&amp;OutputTable[[#This Row],[Name]]&amp;OutputTable[[#This Row],[Type]]&amp;OutputTable[[#This Row],[Source]]</f>
        <v>Unnamed Projectpaintingmachine.ScheduledUtilizationScheduled UtilizationResource</v>
      </c>
      <c r="J340" s="5">
        <f t="array" ref="J340">MAX(IF((ProjectInfoTable[ProjectName]=OutputTable[[#This Row],[ProjectName]]),(ProjectInfoTable[ProjectName]=OutputTable[[#This Row],[ProjectName]])*ProjectInfoTable[NumberOfReplications]))</f>
        <v>15</v>
      </c>
      <c r="K340" s="5">
        <f t="array" ref="K340">IFERROR(AVERAGE(IF((OutputTable[GroupByKey]=OutputTable[[#This Row],[GroupByKey]]),(OutputTable[GroupByKey]=OutputTable[[#This Row],[GroupByKey]])*OutputTable[RecordedValue])),0)</f>
        <v>0</v>
      </c>
      <c r="L340" s="5">
        <f t="array" ref="L340">IFERROR(_xlfn.STDEV.S(IF((OutputTable[GroupByKey]=OutputTable[[#This Row],[GroupByKey]]),(OutputTable[GroupByKey]=OutputTable[[#This Row],[GroupByKey]])*OutputTable[RecordedValue])),0)</f>
        <v>0</v>
      </c>
      <c r="M340" s="5">
        <f t="array" ref="M340">MAX(IF((ProjectInfoTable[ProjectName]=OutputTable[[#This Row],[ProjectName]]),(ProjectInfoTable[ProjectName]=OutputTable[[#This Row],[ProjectName]])*ProjectInfoTable[ConfidenceInterval]))</f>
        <v>0.95</v>
      </c>
      <c r="N3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0" s="5">
        <f t="array" ref="O340">MIN(IF((OutputTable[GroupByKey]=OutputTable[[#This Row],[GroupByKey]]),(OutputTable[GroupByKey]=OutputTable[[#This Row],[GroupByKey]])*OutputTable[RecordedValue]))</f>
        <v>0</v>
      </c>
      <c r="P340" s="5">
        <f t="array" ref="P340">MAX(IF((OutputTable[GroupByKey]=OutputTable[[#This Row],[GroupByKey]]),(OutputTable[GroupByKey]=OutputTable[[#This Row],[GroupByKey]])*OutputTable[RecordedValue]))</f>
        <v>0</v>
      </c>
    </row>
    <row r="341" spans="1:16" x14ac:dyDescent="0.25">
      <c r="A341" t="s">
        <v>67</v>
      </c>
      <c r="B341" t="s">
        <v>70</v>
      </c>
      <c r="C341">
        <v>13</v>
      </c>
      <c r="D341" t="s">
        <v>130</v>
      </c>
      <c r="E341" t="s">
        <v>114</v>
      </c>
      <c r="F341" t="s">
        <v>73</v>
      </c>
      <c r="G341">
        <v>0</v>
      </c>
      <c r="H341">
        <v>0</v>
      </c>
      <c r="I341" s="5" t="str">
        <f>OutputTable[[#This Row],[ProjectName]]&amp;OutputTable[[#This Row],[Name]]&amp;OutputTable[[#This Row],[Type]]&amp;OutputTable[[#This Row],[Source]]</f>
        <v>Unnamed Projectpaintingoperator.NumberSeizedTotal Number SeizedResource</v>
      </c>
      <c r="J341" s="5">
        <f t="array" ref="J341">MAX(IF((ProjectInfoTable[ProjectName]=OutputTable[[#This Row],[ProjectName]]),(ProjectInfoTable[ProjectName]=OutputTable[[#This Row],[ProjectName]])*ProjectInfoTable[NumberOfReplications]))</f>
        <v>15</v>
      </c>
      <c r="K341" s="5">
        <f t="array" ref="K341">IFERROR(AVERAGE(IF((OutputTable[GroupByKey]=OutputTable[[#This Row],[GroupByKey]]),(OutputTable[GroupByKey]=OutputTable[[#This Row],[GroupByKey]])*OutputTable[RecordedValue])),0)</f>
        <v>0</v>
      </c>
      <c r="L341" s="5">
        <f t="array" ref="L341">IFERROR(_xlfn.STDEV.S(IF((OutputTable[GroupByKey]=OutputTable[[#This Row],[GroupByKey]]),(OutputTable[GroupByKey]=OutputTable[[#This Row],[GroupByKey]])*OutputTable[RecordedValue])),0)</f>
        <v>0</v>
      </c>
      <c r="M341" s="5">
        <f t="array" ref="M341">MAX(IF((ProjectInfoTable[ProjectName]=OutputTable[[#This Row],[ProjectName]]),(ProjectInfoTable[ProjectName]=OutputTable[[#This Row],[ProjectName]])*ProjectInfoTable[ConfidenceInterval]))</f>
        <v>0.95</v>
      </c>
      <c r="N3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1" s="5">
        <f t="array" ref="O341">MIN(IF((OutputTable[GroupByKey]=OutputTable[[#This Row],[GroupByKey]]),(OutputTable[GroupByKey]=OutputTable[[#This Row],[GroupByKey]])*OutputTable[RecordedValue]))</f>
        <v>0</v>
      </c>
      <c r="P341" s="5">
        <f t="array" ref="P341">MAX(IF((OutputTable[GroupByKey]=OutputTable[[#This Row],[GroupByKey]]),(OutputTable[GroupByKey]=OutputTable[[#This Row],[GroupByKey]])*OutputTable[RecordedValue]))</f>
        <v>0</v>
      </c>
    </row>
    <row r="342" spans="1:16" x14ac:dyDescent="0.25">
      <c r="A342" t="s">
        <v>67</v>
      </c>
      <c r="B342" t="s">
        <v>70</v>
      </c>
      <c r="C342">
        <v>13</v>
      </c>
      <c r="D342" t="s">
        <v>131</v>
      </c>
      <c r="E342" t="s">
        <v>116</v>
      </c>
      <c r="F342" t="s">
        <v>73</v>
      </c>
      <c r="G342">
        <v>0</v>
      </c>
      <c r="H342">
        <v>0</v>
      </c>
      <c r="I342" s="5" t="str">
        <f>OutputTable[[#This Row],[ProjectName]]&amp;OutputTable[[#This Row],[Name]]&amp;OutputTable[[#This Row],[Type]]&amp;OutputTable[[#This Row],[Source]]</f>
        <v>Unnamed Projectpaintingoperator.ScheduledUtilizationScheduled UtilizationResource</v>
      </c>
      <c r="J342" s="5">
        <f t="array" ref="J342">MAX(IF((ProjectInfoTable[ProjectName]=OutputTable[[#This Row],[ProjectName]]),(ProjectInfoTable[ProjectName]=OutputTable[[#This Row],[ProjectName]])*ProjectInfoTable[NumberOfReplications]))</f>
        <v>15</v>
      </c>
      <c r="K342" s="5">
        <f t="array" ref="K342">IFERROR(AVERAGE(IF((OutputTable[GroupByKey]=OutputTable[[#This Row],[GroupByKey]]),(OutputTable[GroupByKey]=OutputTable[[#This Row],[GroupByKey]])*OutputTable[RecordedValue])),0)</f>
        <v>0</v>
      </c>
      <c r="L342" s="5">
        <f t="array" ref="L342">IFERROR(_xlfn.STDEV.S(IF((OutputTable[GroupByKey]=OutputTable[[#This Row],[GroupByKey]]),(OutputTable[GroupByKey]=OutputTable[[#This Row],[GroupByKey]])*OutputTable[RecordedValue])),0)</f>
        <v>0</v>
      </c>
      <c r="M342" s="5">
        <f t="array" ref="M342">MAX(IF((ProjectInfoTable[ProjectName]=OutputTable[[#This Row],[ProjectName]]),(ProjectInfoTable[ProjectName]=OutputTable[[#This Row],[ProjectName]])*ProjectInfoTable[ConfidenceInterval]))</f>
        <v>0.95</v>
      </c>
      <c r="N3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2" s="5">
        <f t="array" ref="O342">MIN(IF((OutputTable[GroupByKey]=OutputTable[[#This Row],[GroupByKey]]),(OutputTable[GroupByKey]=OutputTable[[#This Row],[GroupByKey]])*OutputTable[RecordedValue]))</f>
        <v>0</v>
      </c>
      <c r="P342" s="5">
        <f t="array" ref="P342">MAX(IF((OutputTable[GroupByKey]=OutputTable[[#This Row],[GroupByKey]]),(OutputTable[GroupByKey]=OutputTable[[#This Row],[GroupByKey]])*OutputTable[RecordedValue]))</f>
        <v>0</v>
      </c>
    </row>
    <row r="343" spans="1:16" x14ac:dyDescent="0.25">
      <c r="A343" t="s">
        <v>67</v>
      </c>
      <c r="B343" t="s">
        <v>70</v>
      </c>
      <c r="C343">
        <v>13</v>
      </c>
      <c r="D343" t="s">
        <v>132</v>
      </c>
      <c r="E343" t="s">
        <v>114</v>
      </c>
      <c r="F343" t="s">
        <v>73</v>
      </c>
      <c r="G343">
        <v>0</v>
      </c>
      <c r="H343">
        <v>0</v>
      </c>
      <c r="I343" s="5" t="str">
        <f>OutputTable[[#This Row],[ProjectName]]&amp;OutputTable[[#This Row],[Name]]&amp;OutputTable[[#This Row],[Type]]&amp;OutputTable[[#This Row],[Source]]</f>
        <v>Unnamed Projectsandblastmachine.NumberSeizedTotal Number SeizedResource</v>
      </c>
      <c r="J343" s="5">
        <f t="array" ref="J343">MAX(IF((ProjectInfoTable[ProjectName]=OutputTable[[#This Row],[ProjectName]]),(ProjectInfoTable[ProjectName]=OutputTable[[#This Row],[ProjectName]])*ProjectInfoTable[NumberOfReplications]))</f>
        <v>15</v>
      </c>
      <c r="K343" s="5">
        <f t="array" ref="K343">IFERROR(AVERAGE(IF((OutputTable[GroupByKey]=OutputTable[[#This Row],[GroupByKey]]),(OutputTable[GroupByKey]=OutputTable[[#This Row],[GroupByKey]])*OutputTable[RecordedValue])),0)</f>
        <v>0</v>
      </c>
      <c r="L343" s="5">
        <f t="array" ref="L343">IFERROR(_xlfn.STDEV.S(IF((OutputTable[GroupByKey]=OutputTable[[#This Row],[GroupByKey]]),(OutputTable[GroupByKey]=OutputTable[[#This Row],[GroupByKey]])*OutputTable[RecordedValue])),0)</f>
        <v>0</v>
      </c>
      <c r="M343" s="5">
        <f t="array" ref="M343">MAX(IF((ProjectInfoTable[ProjectName]=OutputTable[[#This Row],[ProjectName]]),(ProjectInfoTable[ProjectName]=OutputTable[[#This Row],[ProjectName]])*ProjectInfoTable[ConfidenceInterval]))</f>
        <v>0.95</v>
      </c>
      <c r="N3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3" s="5">
        <f t="array" ref="O343">MIN(IF((OutputTable[GroupByKey]=OutputTable[[#This Row],[GroupByKey]]),(OutputTable[GroupByKey]=OutputTable[[#This Row],[GroupByKey]])*OutputTable[RecordedValue]))</f>
        <v>0</v>
      </c>
      <c r="P343" s="5">
        <f t="array" ref="P343">MAX(IF((OutputTable[GroupByKey]=OutputTable[[#This Row],[GroupByKey]]),(OutputTable[GroupByKey]=OutputTable[[#This Row],[GroupByKey]])*OutputTable[RecordedValue]))</f>
        <v>0</v>
      </c>
    </row>
    <row r="344" spans="1:16" x14ac:dyDescent="0.25">
      <c r="A344" t="s">
        <v>67</v>
      </c>
      <c r="B344" t="s">
        <v>70</v>
      </c>
      <c r="C344">
        <v>13</v>
      </c>
      <c r="D344" t="s">
        <v>133</v>
      </c>
      <c r="E344" t="s">
        <v>116</v>
      </c>
      <c r="F344" t="s">
        <v>73</v>
      </c>
      <c r="G344">
        <v>0</v>
      </c>
      <c r="H344">
        <v>0</v>
      </c>
      <c r="I344" s="5" t="str">
        <f>OutputTable[[#This Row],[ProjectName]]&amp;OutputTable[[#This Row],[Name]]&amp;OutputTable[[#This Row],[Type]]&amp;OutputTable[[#This Row],[Source]]</f>
        <v>Unnamed Projectsandblastmachine.ScheduledUtilizationScheduled UtilizationResource</v>
      </c>
      <c r="J344" s="5">
        <f t="array" ref="J344">MAX(IF((ProjectInfoTable[ProjectName]=OutputTable[[#This Row],[ProjectName]]),(ProjectInfoTable[ProjectName]=OutputTable[[#This Row],[ProjectName]])*ProjectInfoTable[NumberOfReplications]))</f>
        <v>15</v>
      </c>
      <c r="K344" s="5">
        <f t="array" ref="K344">IFERROR(AVERAGE(IF((OutputTable[GroupByKey]=OutputTable[[#This Row],[GroupByKey]]),(OutputTable[GroupByKey]=OutputTable[[#This Row],[GroupByKey]])*OutputTable[RecordedValue])),0)</f>
        <v>0</v>
      </c>
      <c r="L344" s="5">
        <f t="array" ref="L344">IFERROR(_xlfn.STDEV.S(IF((OutputTable[GroupByKey]=OutputTable[[#This Row],[GroupByKey]]),(OutputTable[GroupByKey]=OutputTable[[#This Row],[GroupByKey]])*OutputTable[RecordedValue])),0)</f>
        <v>0</v>
      </c>
      <c r="M344" s="5">
        <f t="array" ref="M344">MAX(IF((ProjectInfoTable[ProjectName]=OutputTable[[#This Row],[ProjectName]]),(ProjectInfoTable[ProjectName]=OutputTable[[#This Row],[ProjectName]])*ProjectInfoTable[ConfidenceInterval]))</f>
        <v>0.95</v>
      </c>
      <c r="N3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4" s="5">
        <f t="array" ref="O344">MIN(IF((OutputTable[GroupByKey]=OutputTable[[#This Row],[GroupByKey]]),(OutputTable[GroupByKey]=OutputTable[[#This Row],[GroupByKey]])*OutputTable[RecordedValue]))</f>
        <v>0</v>
      </c>
      <c r="P344" s="5">
        <f t="array" ref="P344">MAX(IF((OutputTable[GroupByKey]=OutputTable[[#This Row],[GroupByKey]]),(OutputTable[GroupByKey]=OutputTable[[#This Row],[GroupByKey]])*OutputTable[RecordedValue]))</f>
        <v>0</v>
      </c>
    </row>
    <row r="345" spans="1:16" x14ac:dyDescent="0.25">
      <c r="A345" t="s">
        <v>67</v>
      </c>
      <c r="B345" t="s">
        <v>70</v>
      </c>
      <c r="C345">
        <v>13</v>
      </c>
      <c r="D345" t="s">
        <v>134</v>
      </c>
      <c r="E345" t="s">
        <v>114</v>
      </c>
      <c r="F345" t="s">
        <v>73</v>
      </c>
      <c r="G345">
        <v>0</v>
      </c>
      <c r="H345">
        <v>0</v>
      </c>
      <c r="I345" s="5" t="str">
        <f>OutputTable[[#This Row],[ProjectName]]&amp;OutputTable[[#This Row],[Name]]&amp;OutputTable[[#This Row],[Type]]&amp;OutputTable[[#This Row],[Source]]</f>
        <v>Unnamed Projectsandblastoperator.NumberSeizedTotal Number SeizedResource</v>
      </c>
      <c r="J345" s="5">
        <f t="array" ref="J345">MAX(IF((ProjectInfoTable[ProjectName]=OutputTable[[#This Row],[ProjectName]]),(ProjectInfoTable[ProjectName]=OutputTable[[#This Row],[ProjectName]])*ProjectInfoTable[NumberOfReplications]))</f>
        <v>15</v>
      </c>
      <c r="K345" s="5">
        <f t="array" ref="K345">IFERROR(AVERAGE(IF((OutputTable[GroupByKey]=OutputTable[[#This Row],[GroupByKey]]),(OutputTable[GroupByKey]=OutputTable[[#This Row],[GroupByKey]])*OutputTable[RecordedValue])),0)</f>
        <v>0</v>
      </c>
      <c r="L345" s="5">
        <f t="array" ref="L345">IFERROR(_xlfn.STDEV.S(IF((OutputTable[GroupByKey]=OutputTable[[#This Row],[GroupByKey]]),(OutputTable[GroupByKey]=OutputTable[[#This Row],[GroupByKey]])*OutputTable[RecordedValue])),0)</f>
        <v>0</v>
      </c>
      <c r="M345" s="5">
        <f t="array" ref="M345">MAX(IF((ProjectInfoTable[ProjectName]=OutputTable[[#This Row],[ProjectName]]),(ProjectInfoTable[ProjectName]=OutputTable[[#This Row],[ProjectName]])*ProjectInfoTable[ConfidenceInterval]))</f>
        <v>0.95</v>
      </c>
      <c r="N3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5" s="5">
        <f t="array" ref="O345">MIN(IF((OutputTable[GroupByKey]=OutputTable[[#This Row],[GroupByKey]]),(OutputTable[GroupByKey]=OutputTable[[#This Row],[GroupByKey]])*OutputTable[RecordedValue]))</f>
        <v>0</v>
      </c>
      <c r="P345" s="5">
        <f t="array" ref="P345">MAX(IF((OutputTable[GroupByKey]=OutputTable[[#This Row],[GroupByKey]]),(OutputTable[GroupByKey]=OutputTable[[#This Row],[GroupByKey]])*OutputTable[RecordedValue]))</f>
        <v>0</v>
      </c>
    </row>
    <row r="346" spans="1:16" x14ac:dyDescent="0.25">
      <c r="A346" t="s">
        <v>67</v>
      </c>
      <c r="B346" t="s">
        <v>70</v>
      </c>
      <c r="C346">
        <v>13</v>
      </c>
      <c r="D346" t="s">
        <v>135</v>
      </c>
      <c r="E346" t="s">
        <v>116</v>
      </c>
      <c r="F346" t="s">
        <v>73</v>
      </c>
      <c r="G346">
        <v>0</v>
      </c>
      <c r="H346">
        <v>0</v>
      </c>
      <c r="I346" s="5" t="str">
        <f>OutputTable[[#This Row],[ProjectName]]&amp;OutputTable[[#This Row],[Name]]&amp;OutputTable[[#This Row],[Type]]&amp;OutputTable[[#This Row],[Source]]</f>
        <v>Unnamed Projectsandblastoperator.ScheduledUtilizationScheduled UtilizationResource</v>
      </c>
      <c r="J346" s="5">
        <f t="array" ref="J346">MAX(IF((ProjectInfoTable[ProjectName]=OutputTable[[#This Row],[ProjectName]]),(ProjectInfoTable[ProjectName]=OutputTable[[#This Row],[ProjectName]])*ProjectInfoTable[NumberOfReplications]))</f>
        <v>15</v>
      </c>
      <c r="K346" s="5">
        <f t="array" ref="K346">IFERROR(AVERAGE(IF((OutputTable[GroupByKey]=OutputTable[[#This Row],[GroupByKey]]),(OutputTable[GroupByKey]=OutputTable[[#This Row],[GroupByKey]])*OutputTable[RecordedValue])),0)</f>
        <v>0</v>
      </c>
      <c r="L346" s="5">
        <f t="array" ref="L346">IFERROR(_xlfn.STDEV.S(IF((OutputTable[GroupByKey]=OutputTable[[#This Row],[GroupByKey]]),(OutputTable[GroupByKey]=OutputTable[[#This Row],[GroupByKey]])*OutputTable[RecordedValue])),0)</f>
        <v>0</v>
      </c>
      <c r="M346" s="5">
        <f t="array" ref="M346">MAX(IF((ProjectInfoTable[ProjectName]=OutputTable[[#This Row],[ProjectName]]),(ProjectInfoTable[ProjectName]=OutputTable[[#This Row],[ProjectName]])*ProjectInfoTable[ConfidenceInterval]))</f>
        <v>0.95</v>
      </c>
      <c r="N3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6" s="5">
        <f t="array" ref="O346">MIN(IF((OutputTable[GroupByKey]=OutputTable[[#This Row],[GroupByKey]]),(OutputTable[GroupByKey]=OutputTable[[#This Row],[GroupByKey]])*OutputTable[RecordedValue]))</f>
        <v>0</v>
      </c>
      <c r="P346" s="5">
        <f t="array" ref="P346">MAX(IF((OutputTable[GroupByKey]=OutputTable[[#This Row],[GroupByKey]]),(OutputTable[GroupByKey]=OutputTable[[#This Row],[GroupByKey]])*OutputTable[RecordedValue]))</f>
        <v>0</v>
      </c>
    </row>
    <row r="347" spans="1:16" x14ac:dyDescent="0.25">
      <c r="A347" t="s">
        <v>67</v>
      </c>
      <c r="B347" t="s">
        <v>70</v>
      </c>
      <c r="C347">
        <v>13</v>
      </c>
      <c r="D347" t="s">
        <v>136</v>
      </c>
      <c r="E347" t="s">
        <v>120</v>
      </c>
      <c r="F347" t="s">
        <v>79</v>
      </c>
      <c r="G347">
        <v>0</v>
      </c>
      <c r="H347">
        <v>0</v>
      </c>
      <c r="I347" s="5" t="str">
        <f>OutputTable[[#This Row],[ProjectName]]&amp;OutputTable[[#This Row],[Name]]&amp;OutputTable[[#This Row],[Type]]&amp;OutputTable[[#This Row],[Source]]</f>
        <v>Unnamed Projectsteelsheet.NumberInNumber InEntity</v>
      </c>
      <c r="J347" s="5">
        <f t="array" ref="J347">MAX(IF((ProjectInfoTable[ProjectName]=OutputTable[[#This Row],[ProjectName]]),(ProjectInfoTable[ProjectName]=OutputTable[[#This Row],[ProjectName]])*ProjectInfoTable[NumberOfReplications]))</f>
        <v>15</v>
      </c>
      <c r="K347" s="5">
        <f t="array" ref="K347">IFERROR(AVERAGE(IF((OutputTable[GroupByKey]=OutputTable[[#This Row],[GroupByKey]]),(OutputTable[GroupByKey]=OutputTable[[#This Row],[GroupByKey]])*OutputTable[RecordedValue])),0)</f>
        <v>0</v>
      </c>
      <c r="L347" s="5">
        <f t="array" ref="L347">IFERROR(_xlfn.STDEV.S(IF((OutputTable[GroupByKey]=OutputTable[[#This Row],[GroupByKey]]),(OutputTable[GroupByKey]=OutputTable[[#This Row],[GroupByKey]])*OutputTable[RecordedValue])),0)</f>
        <v>0</v>
      </c>
      <c r="M347" s="5">
        <f t="array" ref="M347">MAX(IF((ProjectInfoTable[ProjectName]=OutputTable[[#This Row],[ProjectName]]),(ProjectInfoTable[ProjectName]=OutputTable[[#This Row],[ProjectName]])*ProjectInfoTable[ConfidenceInterval]))</f>
        <v>0.95</v>
      </c>
      <c r="N3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7" s="5">
        <f t="array" ref="O347">MIN(IF((OutputTable[GroupByKey]=OutputTable[[#This Row],[GroupByKey]]),(OutputTable[GroupByKey]=OutputTable[[#This Row],[GroupByKey]])*OutputTable[RecordedValue]))</f>
        <v>0</v>
      </c>
      <c r="P347" s="5">
        <f t="array" ref="P347">MAX(IF((OutputTable[GroupByKey]=OutputTable[[#This Row],[GroupByKey]]),(OutputTable[GroupByKey]=OutputTable[[#This Row],[GroupByKey]])*OutputTable[RecordedValue]))</f>
        <v>0</v>
      </c>
    </row>
    <row r="348" spans="1:16" x14ac:dyDescent="0.25">
      <c r="A348" t="s">
        <v>67</v>
      </c>
      <c r="B348" t="s">
        <v>70</v>
      </c>
      <c r="C348">
        <v>13</v>
      </c>
      <c r="D348" t="s">
        <v>137</v>
      </c>
      <c r="E348" t="s">
        <v>111</v>
      </c>
      <c r="F348" t="s">
        <v>79</v>
      </c>
      <c r="G348">
        <v>0</v>
      </c>
      <c r="H348">
        <v>0</v>
      </c>
      <c r="I348" s="5" t="str">
        <f>OutputTable[[#This Row],[ProjectName]]&amp;OutputTable[[#This Row],[Name]]&amp;OutputTable[[#This Row],[Type]]&amp;OutputTable[[#This Row],[Source]]</f>
        <v>Unnamed Projectsteelsheet.NumberOutNumber OutEntity</v>
      </c>
      <c r="J348" s="5">
        <f t="array" ref="J348">MAX(IF((ProjectInfoTable[ProjectName]=OutputTable[[#This Row],[ProjectName]]),(ProjectInfoTable[ProjectName]=OutputTable[[#This Row],[ProjectName]])*ProjectInfoTable[NumberOfReplications]))</f>
        <v>15</v>
      </c>
      <c r="K348" s="5">
        <f t="array" ref="K348">IFERROR(AVERAGE(IF((OutputTable[GroupByKey]=OutputTable[[#This Row],[GroupByKey]]),(OutputTable[GroupByKey]=OutputTable[[#This Row],[GroupByKey]])*OutputTable[RecordedValue])),0)</f>
        <v>0</v>
      </c>
      <c r="L348" s="5">
        <f t="array" ref="L348">IFERROR(_xlfn.STDEV.S(IF((OutputTable[GroupByKey]=OutputTable[[#This Row],[GroupByKey]]),(OutputTable[GroupByKey]=OutputTable[[#This Row],[GroupByKey]])*OutputTable[RecordedValue])),0)</f>
        <v>0</v>
      </c>
      <c r="M348" s="5">
        <f t="array" ref="M348">MAX(IF((ProjectInfoTable[ProjectName]=OutputTable[[#This Row],[ProjectName]]),(ProjectInfoTable[ProjectName]=OutputTable[[#This Row],[ProjectName]])*ProjectInfoTable[ConfidenceInterval]))</f>
        <v>0.95</v>
      </c>
      <c r="N3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8" s="5">
        <f t="array" ref="O348">MIN(IF((OutputTable[GroupByKey]=OutputTable[[#This Row],[GroupByKey]]),(OutputTable[GroupByKey]=OutputTable[[#This Row],[GroupByKey]])*OutputTable[RecordedValue]))</f>
        <v>0</v>
      </c>
      <c r="P348" s="5">
        <f t="array" ref="P348">MAX(IF((OutputTable[GroupByKey]=OutputTable[[#This Row],[GroupByKey]]),(OutputTable[GroupByKey]=OutputTable[[#This Row],[GroupByKey]])*OutputTable[RecordedValue]))</f>
        <v>0</v>
      </c>
    </row>
    <row r="349" spans="1:16" x14ac:dyDescent="0.25">
      <c r="A349" t="s">
        <v>67</v>
      </c>
      <c r="B349" t="s">
        <v>70</v>
      </c>
      <c r="C349">
        <v>13</v>
      </c>
      <c r="D349" t="s">
        <v>138</v>
      </c>
      <c r="E349" t="s">
        <v>114</v>
      </c>
      <c r="F349" t="s">
        <v>73</v>
      </c>
      <c r="G349">
        <v>0</v>
      </c>
      <c r="H349">
        <v>0</v>
      </c>
      <c r="I349" s="5" t="str">
        <f>OutputTable[[#This Row],[ProjectName]]&amp;OutputTable[[#This Row],[Name]]&amp;OutputTable[[#This Row],[Type]]&amp;OutputTable[[#This Row],[Source]]</f>
        <v>Unnamed Projectwelder.NumberSeizedTotal Number SeizedResource</v>
      </c>
      <c r="J349" s="5">
        <f t="array" ref="J349">MAX(IF((ProjectInfoTable[ProjectName]=OutputTable[[#This Row],[ProjectName]]),(ProjectInfoTable[ProjectName]=OutputTable[[#This Row],[ProjectName]])*ProjectInfoTable[NumberOfReplications]))</f>
        <v>15</v>
      </c>
      <c r="K349" s="5">
        <f t="array" ref="K349">IFERROR(AVERAGE(IF((OutputTable[GroupByKey]=OutputTable[[#This Row],[GroupByKey]]),(OutputTable[GroupByKey]=OutputTable[[#This Row],[GroupByKey]])*OutputTable[RecordedValue])),0)</f>
        <v>0</v>
      </c>
      <c r="L349" s="5">
        <f t="array" ref="L349">IFERROR(_xlfn.STDEV.S(IF((OutputTable[GroupByKey]=OutputTable[[#This Row],[GroupByKey]]),(OutputTable[GroupByKey]=OutputTable[[#This Row],[GroupByKey]])*OutputTable[RecordedValue])),0)</f>
        <v>0</v>
      </c>
      <c r="M349" s="5">
        <f t="array" ref="M349">MAX(IF((ProjectInfoTable[ProjectName]=OutputTable[[#This Row],[ProjectName]]),(ProjectInfoTable[ProjectName]=OutputTable[[#This Row],[ProjectName]])*ProjectInfoTable[ConfidenceInterval]))</f>
        <v>0.95</v>
      </c>
      <c r="N3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49" s="5">
        <f t="array" ref="O349">MIN(IF((OutputTable[GroupByKey]=OutputTable[[#This Row],[GroupByKey]]),(OutputTable[GroupByKey]=OutputTable[[#This Row],[GroupByKey]])*OutputTable[RecordedValue]))</f>
        <v>0</v>
      </c>
      <c r="P349" s="5">
        <f t="array" ref="P349">MAX(IF((OutputTable[GroupByKey]=OutputTable[[#This Row],[GroupByKey]]),(OutputTable[GroupByKey]=OutputTable[[#This Row],[GroupByKey]])*OutputTable[RecordedValue]))</f>
        <v>0</v>
      </c>
    </row>
    <row r="350" spans="1:16" x14ac:dyDescent="0.25">
      <c r="A350" t="s">
        <v>67</v>
      </c>
      <c r="B350" t="s">
        <v>70</v>
      </c>
      <c r="C350">
        <v>13</v>
      </c>
      <c r="D350" t="s">
        <v>139</v>
      </c>
      <c r="E350" t="s">
        <v>116</v>
      </c>
      <c r="F350" t="s">
        <v>73</v>
      </c>
      <c r="G350">
        <v>0</v>
      </c>
      <c r="H350">
        <v>0</v>
      </c>
      <c r="I350" s="5" t="str">
        <f>OutputTable[[#This Row],[ProjectName]]&amp;OutputTable[[#This Row],[Name]]&amp;OutputTable[[#This Row],[Type]]&amp;OutputTable[[#This Row],[Source]]</f>
        <v>Unnamed Projectwelder.ScheduledUtilizationScheduled UtilizationResource</v>
      </c>
      <c r="J350" s="5">
        <f t="array" ref="J350">MAX(IF((ProjectInfoTable[ProjectName]=OutputTable[[#This Row],[ProjectName]]),(ProjectInfoTable[ProjectName]=OutputTable[[#This Row],[ProjectName]])*ProjectInfoTable[NumberOfReplications]))</f>
        <v>15</v>
      </c>
      <c r="K350" s="5">
        <f t="array" ref="K350">IFERROR(AVERAGE(IF((OutputTable[GroupByKey]=OutputTable[[#This Row],[GroupByKey]]),(OutputTable[GroupByKey]=OutputTable[[#This Row],[GroupByKey]])*OutputTable[RecordedValue])),0)</f>
        <v>0</v>
      </c>
      <c r="L350" s="5">
        <f t="array" ref="L350">IFERROR(_xlfn.STDEV.S(IF((OutputTable[GroupByKey]=OutputTable[[#This Row],[GroupByKey]]),(OutputTable[GroupByKey]=OutputTable[[#This Row],[GroupByKey]])*OutputTable[RecordedValue])),0)</f>
        <v>0</v>
      </c>
      <c r="M350" s="5">
        <f t="array" ref="M350">MAX(IF((ProjectInfoTable[ProjectName]=OutputTable[[#This Row],[ProjectName]]),(ProjectInfoTable[ProjectName]=OutputTable[[#This Row],[ProjectName]])*ProjectInfoTable[ConfidenceInterval]))</f>
        <v>0.95</v>
      </c>
      <c r="N3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0" s="5">
        <f t="array" ref="O350">MIN(IF((OutputTable[GroupByKey]=OutputTable[[#This Row],[GroupByKey]]),(OutputTable[GroupByKey]=OutputTable[[#This Row],[GroupByKey]])*OutputTable[RecordedValue]))</f>
        <v>0</v>
      </c>
      <c r="P350" s="5">
        <f t="array" ref="P350">MAX(IF((OutputTable[GroupByKey]=OutputTable[[#This Row],[GroupByKey]]),(OutputTable[GroupByKey]=OutputTable[[#This Row],[GroupByKey]])*OutputTable[RecordedValue]))</f>
        <v>0</v>
      </c>
    </row>
    <row r="351" spans="1:16" x14ac:dyDescent="0.25">
      <c r="A351" t="s">
        <v>67</v>
      </c>
      <c r="B351" t="s">
        <v>70</v>
      </c>
      <c r="C351">
        <v>13</v>
      </c>
      <c r="D351" t="s">
        <v>140</v>
      </c>
      <c r="E351" t="s">
        <v>114</v>
      </c>
      <c r="F351" t="s">
        <v>73</v>
      </c>
      <c r="G351">
        <v>0</v>
      </c>
      <c r="H351">
        <v>0</v>
      </c>
      <c r="I351" s="5" t="str">
        <f>OutputTable[[#This Row],[ProjectName]]&amp;OutputTable[[#This Row],[Name]]&amp;OutputTable[[#This Row],[Type]]&amp;OutputTable[[#This Row],[Source]]</f>
        <v>Unnamed Projectweldingqcworker.NumberSeizedTotal Number SeizedResource</v>
      </c>
      <c r="J351" s="5">
        <f t="array" ref="J351">MAX(IF((ProjectInfoTable[ProjectName]=OutputTable[[#This Row],[ProjectName]]),(ProjectInfoTable[ProjectName]=OutputTable[[#This Row],[ProjectName]])*ProjectInfoTable[NumberOfReplications]))</f>
        <v>15</v>
      </c>
      <c r="K351" s="5">
        <f t="array" ref="K351">IFERROR(AVERAGE(IF((OutputTable[GroupByKey]=OutputTable[[#This Row],[GroupByKey]]),(OutputTable[GroupByKey]=OutputTable[[#This Row],[GroupByKey]])*OutputTable[RecordedValue])),0)</f>
        <v>0</v>
      </c>
      <c r="L351" s="5">
        <f t="array" ref="L351">IFERROR(_xlfn.STDEV.S(IF((OutputTable[GroupByKey]=OutputTable[[#This Row],[GroupByKey]]),(OutputTable[GroupByKey]=OutputTable[[#This Row],[GroupByKey]])*OutputTable[RecordedValue])),0)</f>
        <v>0</v>
      </c>
      <c r="M351" s="5">
        <f t="array" ref="M351">MAX(IF((ProjectInfoTable[ProjectName]=OutputTable[[#This Row],[ProjectName]]),(ProjectInfoTable[ProjectName]=OutputTable[[#This Row],[ProjectName]])*ProjectInfoTable[ConfidenceInterval]))</f>
        <v>0.95</v>
      </c>
      <c r="N3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1" s="5">
        <f t="array" ref="O351">MIN(IF((OutputTable[GroupByKey]=OutputTable[[#This Row],[GroupByKey]]),(OutputTable[GroupByKey]=OutputTable[[#This Row],[GroupByKey]])*OutputTable[RecordedValue]))</f>
        <v>0</v>
      </c>
      <c r="P351" s="5">
        <f t="array" ref="P351">MAX(IF((OutputTable[GroupByKey]=OutputTable[[#This Row],[GroupByKey]]),(OutputTable[GroupByKey]=OutputTable[[#This Row],[GroupByKey]])*OutputTable[RecordedValue]))</f>
        <v>0</v>
      </c>
    </row>
    <row r="352" spans="1:16" x14ac:dyDescent="0.25">
      <c r="A352" t="s">
        <v>67</v>
      </c>
      <c r="B352" t="s">
        <v>70</v>
      </c>
      <c r="C352">
        <v>13</v>
      </c>
      <c r="D352" t="s">
        <v>141</v>
      </c>
      <c r="E352" t="s">
        <v>116</v>
      </c>
      <c r="F352" t="s">
        <v>73</v>
      </c>
      <c r="G352">
        <v>0</v>
      </c>
      <c r="H352">
        <v>0</v>
      </c>
      <c r="I352" s="5" t="str">
        <f>OutputTable[[#This Row],[ProjectName]]&amp;OutputTable[[#This Row],[Name]]&amp;OutputTable[[#This Row],[Type]]&amp;OutputTable[[#This Row],[Source]]</f>
        <v>Unnamed Projectweldingqcworker.ScheduledUtilizationScheduled UtilizationResource</v>
      </c>
      <c r="J352" s="5">
        <f t="array" ref="J352">MAX(IF((ProjectInfoTable[ProjectName]=OutputTable[[#This Row],[ProjectName]]),(ProjectInfoTable[ProjectName]=OutputTable[[#This Row],[ProjectName]])*ProjectInfoTable[NumberOfReplications]))</f>
        <v>15</v>
      </c>
      <c r="K352" s="5">
        <f t="array" ref="K352">IFERROR(AVERAGE(IF((OutputTable[GroupByKey]=OutputTable[[#This Row],[GroupByKey]]),(OutputTable[GroupByKey]=OutputTable[[#This Row],[GroupByKey]])*OutputTable[RecordedValue])),0)</f>
        <v>0</v>
      </c>
      <c r="L352" s="5">
        <f t="array" ref="L352">IFERROR(_xlfn.STDEV.S(IF((OutputTable[GroupByKey]=OutputTable[[#This Row],[GroupByKey]]),(OutputTable[GroupByKey]=OutputTable[[#This Row],[GroupByKey]])*OutputTable[RecordedValue])),0)</f>
        <v>0</v>
      </c>
      <c r="M352" s="5">
        <f t="array" ref="M352">MAX(IF((ProjectInfoTable[ProjectName]=OutputTable[[#This Row],[ProjectName]]),(ProjectInfoTable[ProjectName]=OutputTable[[#This Row],[ProjectName]])*ProjectInfoTable[ConfidenceInterval]))</f>
        <v>0.95</v>
      </c>
      <c r="N3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2" s="5">
        <f t="array" ref="O352">MIN(IF((OutputTable[GroupByKey]=OutputTable[[#This Row],[GroupByKey]]),(OutputTable[GroupByKey]=OutputTable[[#This Row],[GroupByKey]])*OutputTable[RecordedValue]))</f>
        <v>0</v>
      </c>
      <c r="P352" s="5">
        <f t="array" ref="P352">MAX(IF((OutputTable[GroupByKey]=OutputTable[[#This Row],[GroupByKey]]),(OutputTable[GroupByKey]=OutputTable[[#This Row],[GroupByKey]])*OutputTable[RecordedValue]))</f>
        <v>0</v>
      </c>
    </row>
    <row r="353" spans="1:16" x14ac:dyDescent="0.25">
      <c r="A353" t="s">
        <v>67</v>
      </c>
      <c r="B353" t="s">
        <v>70</v>
      </c>
      <c r="C353">
        <v>14</v>
      </c>
      <c r="D353" t="s">
        <v>110</v>
      </c>
      <c r="E353" t="s">
        <v>111</v>
      </c>
      <c r="F353" t="s">
        <v>112</v>
      </c>
      <c r="G353">
        <v>0</v>
      </c>
      <c r="H353">
        <v>0</v>
      </c>
      <c r="I353" s="5" t="str">
        <f>OutputTable[[#This Row],[ProjectName]]&amp;OutputTable[[#This Row],[Name]]&amp;OutputTable[[#This Row],[Type]]&amp;OutputTable[[#This Row],[Source]]</f>
        <v>Unnamed ProjectSystem.NumberOutNumber OutSystem</v>
      </c>
      <c r="J353" s="5">
        <f t="array" ref="J353">MAX(IF((ProjectInfoTable[ProjectName]=OutputTable[[#This Row],[ProjectName]]),(ProjectInfoTable[ProjectName]=OutputTable[[#This Row],[ProjectName]])*ProjectInfoTable[NumberOfReplications]))</f>
        <v>15</v>
      </c>
      <c r="K353" s="5">
        <f t="array" ref="K353">IFERROR(AVERAGE(IF((OutputTable[GroupByKey]=OutputTable[[#This Row],[GroupByKey]]),(OutputTable[GroupByKey]=OutputTable[[#This Row],[GroupByKey]])*OutputTable[RecordedValue])),0)</f>
        <v>0</v>
      </c>
      <c r="L353" s="5">
        <f t="array" ref="L353">IFERROR(_xlfn.STDEV.S(IF((OutputTable[GroupByKey]=OutputTable[[#This Row],[GroupByKey]]),(OutputTable[GroupByKey]=OutputTable[[#This Row],[GroupByKey]])*OutputTable[RecordedValue])),0)</f>
        <v>0</v>
      </c>
      <c r="M353" s="5">
        <f t="array" ref="M353">MAX(IF((ProjectInfoTable[ProjectName]=OutputTable[[#This Row],[ProjectName]]),(ProjectInfoTable[ProjectName]=OutputTable[[#This Row],[ProjectName]])*ProjectInfoTable[ConfidenceInterval]))</f>
        <v>0.95</v>
      </c>
      <c r="N3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3" s="5">
        <f t="array" ref="O353">MIN(IF((OutputTable[GroupByKey]=OutputTable[[#This Row],[GroupByKey]]),(OutputTable[GroupByKey]=OutputTable[[#This Row],[GroupByKey]])*OutputTable[RecordedValue]))</f>
        <v>0</v>
      </c>
      <c r="P353" s="5">
        <f t="array" ref="P353">MAX(IF((OutputTable[GroupByKey]=OutputTable[[#This Row],[GroupByKey]]),(OutputTable[GroupByKey]=OutputTable[[#This Row],[GroupByKey]])*OutputTable[RecordedValue]))</f>
        <v>0</v>
      </c>
    </row>
    <row r="354" spans="1:16" x14ac:dyDescent="0.25">
      <c r="A354" t="s">
        <v>67</v>
      </c>
      <c r="B354" t="s">
        <v>70</v>
      </c>
      <c r="C354">
        <v>14</v>
      </c>
      <c r="D354" t="s">
        <v>113</v>
      </c>
      <c r="E354" t="s">
        <v>114</v>
      </c>
      <c r="F354" t="s">
        <v>73</v>
      </c>
      <c r="G354">
        <v>0</v>
      </c>
      <c r="H354">
        <v>0</v>
      </c>
      <c r="I354" s="5" t="str">
        <f>OutputTable[[#This Row],[ProjectName]]&amp;OutputTable[[#This Row],[Name]]&amp;OutputTable[[#This Row],[Type]]&amp;OutputTable[[#This Row],[Source]]</f>
        <v>Unnamed Projectassembler.NumberSeizedTotal Number SeizedResource</v>
      </c>
      <c r="J354" s="5">
        <f t="array" ref="J354">MAX(IF((ProjectInfoTable[ProjectName]=OutputTable[[#This Row],[ProjectName]]),(ProjectInfoTable[ProjectName]=OutputTable[[#This Row],[ProjectName]])*ProjectInfoTable[NumberOfReplications]))</f>
        <v>15</v>
      </c>
      <c r="K354" s="5">
        <f t="array" ref="K354">IFERROR(AVERAGE(IF((OutputTable[GroupByKey]=OutputTable[[#This Row],[GroupByKey]]),(OutputTable[GroupByKey]=OutputTable[[#This Row],[GroupByKey]])*OutputTable[RecordedValue])),0)</f>
        <v>0</v>
      </c>
      <c r="L354" s="5">
        <f t="array" ref="L354">IFERROR(_xlfn.STDEV.S(IF((OutputTable[GroupByKey]=OutputTable[[#This Row],[GroupByKey]]),(OutputTable[GroupByKey]=OutputTable[[#This Row],[GroupByKey]])*OutputTable[RecordedValue])),0)</f>
        <v>0</v>
      </c>
      <c r="M354" s="5">
        <f t="array" ref="M354">MAX(IF((ProjectInfoTable[ProjectName]=OutputTable[[#This Row],[ProjectName]]),(ProjectInfoTable[ProjectName]=OutputTable[[#This Row],[ProjectName]])*ProjectInfoTable[ConfidenceInterval]))</f>
        <v>0.95</v>
      </c>
      <c r="N3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4" s="5">
        <f t="array" ref="O354">MIN(IF((OutputTable[GroupByKey]=OutputTable[[#This Row],[GroupByKey]]),(OutputTable[GroupByKey]=OutputTable[[#This Row],[GroupByKey]])*OutputTable[RecordedValue]))</f>
        <v>0</v>
      </c>
      <c r="P354" s="5">
        <f t="array" ref="P354">MAX(IF((OutputTable[GroupByKey]=OutputTable[[#This Row],[GroupByKey]]),(OutputTable[GroupByKey]=OutputTable[[#This Row],[GroupByKey]])*OutputTable[RecordedValue]))</f>
        <v>0</v>
      </c>
    </row>
    <row r="355" spans="1:16" x14ac:dyDescent="0.25">
      <c r="A355" t="s">
        <v>67</v>
      </c>
      <c r="B355" t="s">
        <v>70</v>
      </c>
      <c r="C355">
        <v>14</v>
      </c>
      <c r="D355" t="s">
        <v>115</v>
      </c>
      <c r="E355" t="s">
        <v>116</v>
      </c>
      <c r="F355" t="s">
        <v>73</v>
      </c>
      <c r="G355">
        <v>0</v>
      </c>
      <c r="H355">
        <v>0</v>
      </c>
      <c r="I355" s="5" t="str">
        <f>OutputTable[[#This Row],[ProjectName]]&amp;OutputTable[[#This Row],[Name]]&amp;OutputTable[[#This Row],[Type]]&amp;OutputTable[[#This Row],[Source]]</f>
        <v>Unnamed Projectassembler.ScheduledUtilizationScheduled UtilizationResource</v>
      </c>
      <c r="J355" s="5">
        <f t="array" ref="J355">MAX(IF((ProjectInfoTable[ProjectName]=OutputTable[[#This Row],[ProjectName]]),(ProjectInfoTable[ProjectName]=OutputTable[[#This Row],[ProjectName]])*ProjectInfoTable[NumberOfReplications]))</f>
        <v>15</v>
      </c>
      <c r="K355" s="5">
        <f t="array" ref="K355">IFERROR(AVERAGE(IF((OutputTable[GroupByKey]=OutputTable[[#This Row],[GroupByKey]]),(OutputTable[GroupByKey]=OutputTable[[#This Row],[GroupByKey]])*OutputTable[RecordedValue])),0)</f>
        <v>0</v>
      </c>
      <c r="L355" s="5">
        <f t="array" ref="L355">IFERROR(_xlfn.STDEV.S(IF((OutputTable[GroupByKey]=OutputTable[[#This Row],[GroupByKey]]),(OutputTable[GroupByKey]=OutputTable[[#This Row],[GroupByKey]])*OutputTable[RecordedValue])),0)</f>
        <v>0</v>
      </c>
      <c r="M355" s="5">
        <f t="array" ref="M355">MAX(IF((ProjectInfoTable[ProjectName]=OutputTable[[#This Row],[ProjectName]]),(ProjectInfoTable[ProjectName]=OutputTable[[#This Row],[ProjectName]])*ProjectInfoTable[ConfidenceInterval]))</f>
        <v>0.95</v>
      </c>
      <c r="N3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5" s="5">
        <f t="array" ref="O355">MIN(IF((OutputTable[GroupByKey]=OutputTable[[#This Row],[GroupByKey]]),(OutputTable[GroupByKey]=OutputTable[[#This Row],[GroupByKey]])*OutputTable[RecordedValue]))</f>
        <v>0</v>
      </c>
      <c r="P355" s="5">
        <f t="array" ref="P355">MAX(IF((OutputTable[GroupByKey]=OutputTable[[#This Row],[GroupByKey]]),(OutputTable[GroupByKey]=OutputTable[[#This Row],[GroupByKey]])*OutputTable[RecordedValue]))</f>
        <v>0</v>
      </c>
    </row>
    <row r="356" spans="1:16" x14ac:dyDescent="0.25">
      <c r="A356" t="s">
        <v>67</v>
      </c>
      <c r="B356" t="s">
        <v>70</v>
      </c>
      <c r="C356">
        <v>14</v>
      </c>
      <c r="D356" t="s">
        <v>117</v>
      </c>
      <c r="E356" t="s">
        <v>114</v>
      </c>
      <c r="F356" t="s">
        <v>73</v>
      </c>
      <c r="G356">
        <v>0</v>
      </c>
      <c r="H356">
        <v>0</v>
      </c>
      <c r="I356" s="5" t="str">
        <f>OutputTable[[#This Row],[ProjectName]]&amp;OutputTable[[#This Row],[Name]]&amp;OutputTable[[#This Row],[Type]]&amp;OutputTable[[#This Row],[Source]]</f>
        <v>Unnamed Projectassemblyqcworker.NumberSeizedTotal Number SeizedResource</v>
      </c>
      <c r="J356" s="5">
        <f t="array" ref="J356">MAX(IF((ProjectInfoTable[ProjectName]=OutputTable[[#This Row],[ProjectName]]),(ProjectInfoTable[ProjectName]=OutputTable[[#This Row],[ProjectName]])*ProjectInfoTable[NumberOfReplications]))</f>
        <v>15</v>
      </c>
      <c r="K356" s="5">
        <f t="array" ref="K356">IFERROR(AVERAGE(IF((OutputTable[GroupByKey]=OutputTable[[#This Row],[GroupByKey]]),(OutputTable[GroupByKey]=OutputTable[[#This Row],[GroupByKey]])*OutputTable[RecordedValue])),0)</f>
        <v>0</v>
      </c>
      <c r="L356" s="5">
        <f t="array" ref="L356">IFERROR(_xlfn.STDEV.S(IF((OutputTable[GroupByKey]=OutputTable[[#This Row],[GroupByKey]]),(OutputTable[GroupByKey]=OutputTable[[#This Row],[GroupByKey]])*OutputTable[RecordedValue])),0)</f>
        <v>0</v>
      </c>
      <c r="M356" s="5">
        <f t="array" ref="M356">MAX(IF((ProjectInfoTable[ProjectName]=OutputTable[[#This Row],[ProjectName]]),(ProjectInfoTable[ProjectName]=OutputTable[[#This Row],[ProjectName]])*ProjectInfoTable[ConfidenceInterval]))</f>
        <v>0.95</v>
      </c>
      <c r="N3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6" s="5">
        <f t="array" ref="O356">MIN(IF((OutputTable[GroupByKey]=OutputTable[[#This Row],[GroupByKey]]),(OutputTable[GroupByKey]=OutputTable[[#This Row],[GroupByKey]])*OutputTable[RecordedValue]))</f>
        <v>0</v>
      </c>
      <c r="P356" s="5">
        <f t="array" ref="P356">MAX(IF((OutputTable[GroupByKey]=OutputTable[[#This Row],[GroupByKey]]),(OutputTable[GroupByKey]=OutputTable[[#This Row],[GroupByKey]])*OutputTable[RecordedValue]))</f>
        <v>0</v>
      </c>
    </row>
    <row r="357" spans="1:16" x14ac:dyDescent="0.25">
      <c r="A357" t="s">
        <v>67</v>
      </c>
      <c r="B357" t="s">
        <v>70</v>
      </c>
      <c r="C357">
        <v>14</v>
      </c>
      <c r="D357" t="s">
        <v>118</v>
      </c>
      <c r="E357" t="s">
        <v>116</v>
      </c>
      <c r="F357" t="s">
        <v>73</v>
      </c>
      <c r="G357">
        <v>0</v>
      </c>
      <c r="H357">
        <v>0</v>
      </c>
      <c r="I357" s="5" t="str">
        <f>OutputTable[[#This Row],[ProjectName]]&amp;OutputTable[[#This Row],[Name]]&amp;OutputTable[[#This Row],[Type]]&amp;OutputTable[[#This Row],[Source]]</f>
        <v>Unnamed Projectassemblyqcworker.ScheduledUtilizationScheduled UtilizationResource</v>
      </c>
      <c r="J357" s="5">
        <f t="array" ref="J357">MAX(IF((ProjectInfoTable[ProjectName]=OutputTable[[#This Row],[ProjectName]]),(ProjectInfoTable[ProjectName]=OutputTable[[#This Row],[ProjectName]])*ProjectInfoTable[NumberOfReplications]))</f>
        <v>15</v>
      </c>
      <c r="K357" s="5">
        <f t="array" ref="K357">IFERROR(AVERAGE(IF((OutputTable[GroupByKey]=OutputTable[[#This Row],[GroupByKey]]),(OutputTable[GroupByKey]=OutputTable[[#This Row],[GroupByKey]])*OutputTable[RecordedValue])),0)</f>
        <v>0</v>
      </c>
      <c r="L357" s="5">
        <f t="array" ref="L357">IFERROR(_xlfn.STDEV.S(IF((OutputTable[GroupByKey]=OutputTable[[#This Row],[GroupByKey]]),(OutputTable[GroupByKey]=OutputTable[[#This Row],[GroupByKey]])*OutputTable[RecordedValue])),0)</f>
        <v>0</v>
      </c>
      <c r="M357" s="5">
        <f t="array" ref="M357">MAX(IF((ProjectInfoTable[ProjectName]=OutputTable[[#This Row],[ProjectName]]),(ProjectInfoTable[ProjectName]=OutputTable[[#This Row],[ProjectName]])*ProjectInfoTable[ConfidenceInterval]))</f>
        <v>0.95</v>
      </c>
      <c r="N3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7" s="5">
        <f t="array" ref="O357">MIN(IF((OutputTable[GroupByKey]=OutputTable[[#This Row],[GroupByKey]]),(OutputTable[GroupByKey]=OutputTable[[#This Row],[GroupByKey]])*OutputTable[RecordedValue]))</f>
        <v>0</v>
      </c>
      <c r="P357" s="5">
        <f t="array" ref="P357">MAX(IF((OutputTable[GroupByKey]=OutputTable[[#This Row],[GroupByKey]]),(OutputTable[GroupByKey]=OutputTable[[#This Row],[GroupByKey]])*OutputTable[RecordedValue]))</f>
        <v>0</v>
      </c>
    </row>
    <row r="358" spans="1:16" x14ac:dyDescent="0.25">
      <c r="A358" t="s">
        <v>67</v>
      </c>
      <c r="B358" t="s">
        <v>70</v>
      </c>
      <c r="C358">
        <v>14</v>
      </c>
      <c r="D358" t="s">
        <v>119</v>
      </c>
      <c r="E358" t="s">
        <v>120</v>
      </c>
      <c r="F358" t="s">
        <v>79</v>
      </c>
      <c r="G358">
        <v>0</v>
      </c>
      <c r="H358">
        <v>0</v>
      </c>
      <c r="I358" s="5" t="str">
        <f>OutputTable[[#This Row],[ProjectName]]&amp;OutputTable[[#This Row],[Name]]&amp;OutputTable[[#This Row],[Type]]&amp;OutputTable[[#This Row],[Source]]</f>
        <v>Unnamed Projectbatched_parts.NumberInNumber InEntity</v>
      </c>
      <c r="J358" s="5">
        <f t="array" ref="J358">MAX(IF((ProjectInfoTable[ProjectName]=OutputTable[[#This Row],[ProjectName]]),(ProjectInfoTable[ProjectName]=OutputTable[[#This Row],[ProjectName]])*ProjectInfoTable[NumberOfReplications]))</f>
        <v>15</v>
      </c>
      <c r="K358" s="5">
        <f t="array" ref="K358">IFERROR(AVERAGE(IF((OutputTable[GroupByKey]=OutputTable[[#This Row],[GroupByKey]]),(OutputTable[GroupByKey]=OutputTable[[#This Row],[GroupByKey]])*OutputTable[RecordedValue])),0)</f>
        <v>0</v>
      </c>
      <c r="L358" s="5">
        <f t="array" ref="L358">IFERROR(_xlfn.STDEV.S(IF((OutputTable[GroupByKey]=OutputTable[[#This Row],[GroupByKey]]),(OutputTable[GroupByKey]=OutputTable[[#This Row],[GroupByKey]])*OutputTable[RecordedValue])),0)</f>
        <v>0</v>
      </c>
      <c r="M358" s="5">
        <f t="array" ref="M358">MAX(IF((ProjectInfoTable[ProjectName]=OutputTable[[#This Row],[ProjectName]]),(ProjectInfoTable[ProjectName]=OutputTable[[#This Row],[ProjectName]])*ProjectInfoTable[ConfidenceInterval]))</f>
        <v>0.95</v>
      </c>
      <c r="N3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8" s="5">
        <f t="array" ref="O358">MIN(IF((OutputTable[GroupByKey]=OutputTable[[#This Row],[GroupByKey]]),(OutputTable[GroupByKey]=OutputTable[[#This Row],[GroupByKey]])*OutputTable[RecordedValue]))</f>
        <v>0</v>
      </c>
      <c r="P358" s="5">
        <f t="array" ref="P358">MAX(IF((OutputTable[GroupByKey]=OutputTable[[#This Row],[GroupByKey]]),(OutputTable[GroupByKey]=OutputTable[[#This Row],[GroupByKey]])*OutputTable[RecordedValue]))</f>
        <v>0</v>
      </c>
    </row>
    <row r="359" spans="1:16" x14ac:dyDescent="0.25">
      <c r="A359" t="s">
        <v>67</v>
      </c>
      <c r="B359" t="s">
        <v>70</v>
      </c>
      <c r="C359">
        <v>14</v>
      </c>
      <c r="D359" t="s">
        <v>121</v>
      </c>
      <c r="E359" t="s">
        <v>111</v>
      </c>
      <c r="F359" t="s">
        <v>79</v>
      </c>
      <c r="G359">
        <v>0</v>
      </c>
      <c r="H359">
        <v>0</v>
      </c>
      <c r="I359" s="5" t="str">
        <f>OutputTable[[#This Row],[ProjectName]]&amp;OutputTable[[#This Row],[Name]]&amp;OutputTable[[#This Row],[Type]]&amp;OutputTable[[#This Row],[Source]]</f>
        <v>Unnamed Projectbatched_parts.NumberOutNumber OutEntity</v>
      </c>
      <c r="J359" s="5">
        <f t="array" ref="J359">MAX(IF((ProjectInfoTable[ProjectName]=OutputTable[[#This Row],[ProjectName]]),(ProjectInfoTable[ProjectName]=OutputTable[[#This Row],[ProjectName]])*ProjectInfoTable[NumberOfReplications]))</f>
        <v>15</v>
      </c>
      <c r="K359" s="5">
        <f t="array" ref="K359">IFERROR(AVERAGE(IF((OutputTable[GroupByKey]=OutputTable[[#This Row],[GroupByKey]]),(OutputTable[GroupByKey]=OutputTable[[#This Row],[GroupByKey]])*OutputTable[RecordedValue])),0)</f>
        <v>0</v>
      </c>
      <c r="L359" s="5">
        <f t="array" ref="L359">IFERROR(_xlfn.STDEV.S(IF((OutputTable[GroupByKey]=OutputTable[[#This Row],[GroupByKey]]),(OutputTable[GroupByKey]=OutputTable[[#This Row],[GroupByKey]])*OutputTable[RecordedValue])),0)</f>
        <v>0</v>
      </c>
      <c r="M359" s="5">
        <f t="array" ref="M359">MAX(IF((ProjectInfoTable[ProjectName]=OutputTable[[#This Row],[ProjectName]]),(ProjectInfoTable[ProjectName]=OutputTable[[#This Row],[ProjectName]])*ProjectInfoTable[ConfidenceInterval]))</f>
        <v>0.95</v>
      </c>
      <c r="N3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59" s="5">
        <f t="array" ref="O359">MIN(IF((OutputTable[GroupByKey]=OutputTable[[#This Row],[GroupByKey]]),(OutputTable[GroupByKey]=OutputTable[[#This Row],[GroupByKey]])*OutputTable[RecordedValue]))</f>
        <v>0</v>
      </c>
      <c r="P359" s="5">
        <f t="array" ref="P359">MAX(IF((OutputTable[GroupByKey]=OutputTable[[#This Row],[GroupByKey]]),(OutputTable[GroupByKey]=OutputTable[[#This Row],[GroupByKey]])*OutputTable[RecordedValue]))</f>
        <v>0</v>
      </c>
    </row>
    <row r="360" spans="1:16" x14ac:dyDescent="0.25">
      <c r="A360" t="s">
        <v>67</v>
      </c>
      <c r="B360" t="s">
        <v>70</v>
      </c>
      <c r="C360">
        <v>14</v>
      </c>
      <c r="D360" t="s">
        <v>122</v>
      </c>
      <c r="E360" t="s">
        <v>114</v>
      </c>
      <c r="F360" t="s">
        <v>73</v>
      </c>
      <c r="G360">
        <v>0</v>
      </c>
      <c r="H360">
        <v>0</v>
      </c>
      <c r="I360" s="5" t="str">
        <f>OutputTable[[#This Row],[ProjectName]]&amp;OutputTable[[#This Row],[Name]]&amp;OutputTable[[#This Row],[Type]]&amp;OutputTable[[#This Row],[Source]]</f>
        <v>Unnamed Projectcleaner.NumberSeizedTotal Number SeizedResource</v>
      </c>
      <c r="J360" s="5">
        <f t="array" ref="J360">MAX(IF((ProjectInfoTable[ProjectName]=OutputTable[[#This Row],[ProjectName]]),(ProjectInfoTable[ProjectName]=OutputTable[[#This Row],[ProjectName]])*ProjectInfoTable[NumberOfReplications]))</f>
        <v>15</v>
      </c>
      <c r="K360" s="5">
        <f t="array" ref="K360">IFERROR(AVERAGE(IF((OutputTable[GroupByKey]=OutputTable[[#This Row],[GroupByKey]]),(OutputTable[GroupByKey]=OutputTable[[#This Row],[GroupByKey]])*OutputTable[RecordedValue])),0)</f>
        <v>0</v>
      </c>
      <c r="L360" s="5">
        <f t="array" ref="L360">IFERROR(_xlfn.STDEV.S(IF((OutputTable[GroupByKey]=OutputTable[[#This Row],[GroupByKey]]),(OutputTable[GroupByKey]=OutputTable[[#This Row],[GroupByKey]])*OutputTable[RecordedValue])),0)</f>
        <v>0</v>
      </c>
      <c r="M360" s="5">
        <f t="array" ref="M360">MAX(IF((ProjectInfoTable[ProjectName]=OutputTable[[#This Row],[ProjectName]]),(ProjectInfoTable[ProjectName]=OutputTable[[#This Row],[ProjectName]])*ProjectInfoTable[ConfidenceInterval]))</f>
        <v>0.95</v>
      </c>
      <c r="N3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0" s="5">
        <f t="array" ref="O360">MIN(IF((OutputTable[GroupByKey]=OutputTable[[#This Row],[GroupByKey]]),(OutputTable[GroupByKey]=OutputTable[[#This Row],[GroupByKey]])*OutputTable[RecordedValue]))</f>
        <v>0</v>
      </c>
      <c r="P360" s="5">
        <f t="array" ref="P360">MAX(IF((OutputTable[GroupByKey]=OutputTable[[#This Row],[GroupByKey]]),(OutputTable[GroupByKey]=OutputTable[[#This Row],[GroupByKey]])*OutputTable[RecordedValue]))</f>
        <v>0</v>
      </c>
    </row>
    <row r="361" spans="1:16" x14ac:dyDescent="0.25">
      <c r="A361" t="s">
        <v>67</v>
      </c>
      <c r="B361" t="s">
        <v>70</v>
      </c>
      <c r="C361">
        <v>14</v>
      </c>
      <c r="D361" t="s">
        <v>123</v>
      </c>
      <c r="E361" t="s">
        <v>116</v>
      </c>
      <c r="F361" t="s">
        <v>73</v>
      </c>
      <c r="G361">
        <v>0</v>
      </c>
      <c r="H361">
        <v>0</v>
      </c>
      <c r="I361" s="5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361" s="5">
        <f t="array" ref="J361">MAX(IF((ProjectInfoTable[ProjectName]=OutputTable[[#This Row],[ProjectName]]),(ProjectInfoTable[ProjectName]=OutputTable[[#This Row],[ProjectName]])*ProjectInfoTable[NumberOfReplications]))</f>
        <v>15</v>
      </c>
      <c r="K361" s="5">
        <f t="array" ref="K361">IFERROR(AVERAGE(IF((OutputTable[GroupByKey]=OutputTable[[#This Row],[GroupByKey]]),(OutputTable[GroupByKey]=OutputTable[[#This Row],[GroupByKey]])*OutputTable[RecordedValue])),0)</f>
        <v>0</v>
      </c>
      <c r="L361" s="5">
        <f t="array" ref="L361">IFERROR(_xlfn.STDEV.S(IF((OutputTable[GroupByKey]=OutputTable[[#This Row],[GroupByKey]]),(OutputTable[GroupByKey]=OutputTable[[#This Row],[GroupByKey]])*OutputTable[RecordedValue])),0)</f>
        <v>0</v>
      </c>
      <c r="M361" s="5">
        <f t="array" ref="M361">MAX(IF((ProjectInfoTable[ProjectName]=OutputTable[[#This Row],[ProjectName]]),(ProjectInfoTable[ProjectName]=OutputTable[[#This Row],[ProjectName]])*ProjectInfoTable[ConfidenceInterval]))</f>
        <v>0.95</v>
      </c>
      <c r="N3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1" s="5">
        <f t="array" ref="O361">MIN(IF((OutputTable[GroupByKey]=OutputTable[[#This Row],[GroupByKey]]),(OutputTable[GroupByKey]=OutputTable[[#This Row],[GroupByKey]])*OutputTable[RecordedValue]))</f>
        <v>0</v>
      </c>
      <c r="P361" s="5">
        <f t="array" ref="P361">MAX(IF((OutputTable[GroupByKey]=OutputTable[[#This Row],[GroupByKey]]),(OutputTable[GroupByKey]=OutputTable[[#This Row],[GroupByKey]])*OutputTable[RecordedValue]))</f>
        <v>0</v>
      </c>
    </row>
    <row r="362" spans="1:16" x14ac:dyDescent="0.25">
      <c r="A362" t="s">
        <v>67</v>
      </c>
      <c r="B362" t="s">
        <v>70</v>
      </c>
      <c r="C362">
        <v>14</v>
      </c>
      <c r="D362" t="s">
        <v>124</v>
      </c>
      <c r="E362" t="s">
        <v>114</v>
      </c>
      <c r="F362" t="s">
        <v>73</v>
      </c>
      <c r="G362">
        <v>0</v>
      </c>
      <c r="H362">
        <v>0</v>
      </c>
      <c r="I362" s="5" t="str">
        <f>OutputTable[[#This Row],[ProjectName]]&amp;OutputTable[[#This Row],[Name]]&amp;OutputTable[[#This Row],[Type]]&amp;OutputTable[[#This Row],[Source]]</f>
        <v>Unnamed Projectcutter.NumberSeizedTotal Number SeizedResource</v>
      </c>
      <c r="J362" s="5">
        <f t="array" ref="J362">MAX(IF((ProjectInfoTable[ProjectName]=OutputTable[[#This Row],[ProjectName]]),(ProjectInfoTable[ProjectName]=OutputTable[[#This Row],[ProjectName]])*ProjectInfoTable[NumberOfReplications]))</f>
        <v>15</v>
      </c>
      <c r="K362" s="5">
        <f t="array" ref="K362">IFERROR(AVERAGE(IF((OutputTable[GroupByKey]=OutputTable[[#This Row],[GroupByKey]]),(OutputTable[GroupByKey]=OutputTable[[#This Row],[GroupByKey]])*OutputTable[RecordedValue])),0)</f>
        <v>0</v>
      </c>
      <c r="L362" s="5">
        <f t="array" ref="L362">IFERROR(_xlfn.STDEV.S(IF((OutputTable[GroupByKey]=OutputTable[[#This Row],[GroupByKey]]),(OutputTable[GroupByKey]=OutputTable[[#This Row],[GroupByKey]])*OutputTable[RecordedValue])),0)</f>
        <v>0</v>
      </c>
      <c r="M362" s="5">
        <f t="array" ref="M362">MAX(IF((ProjectInfoTable[ProjectName]=OutputTable[[#This Row],[ProjectName]]),(ProjectInfoTable[ProjectName]=OutputTable[[#This Row],[ProjectName]])*ProjectInfoTable[ConfidenceInterval]))</f>
        <v>0.95</v>
      </c>
      <c r="N3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2" s="5">
        <f t="array" ref="O362">MIN(IF((OutputTable[GroupByKey]=OutputTable[[#This Row],[GroupByKey]]),(OutputTable[GroupByKey]=OutputTable[[#This Row],[GroupByKey]])*OutputTable[RecordedValue]))</f>
        <v>0</v>
      </c>
      <c r="P362" s="5">
        <f t="array" ref="P362">MAX(IF((OutputTable[GroupByKey]=OutputTable[[#This Row],[GroupByKey]]),(OutputTable[GroupByKey]=OutputTable[[#This Row],[GroupByKey]])*OutputTable[RecordedValue]))</f>
        <v>0</v>
      </c>
    </row>
    <row r="363" spans="1:16" x14ac:dyDescent="0.25">
      <c r="A363" t="s">
        <v>67</v>
      </c>
      <c r="B363" t="s">
        <v>70</v>
      </c>
      <c r="C363">
        <v>14</v>
      </c>
      <c r="D363" t="s">
        <v>125</v>
      </c>
      <c r="E363" t="s">
        <v>116</v>
      </c>
      <c r="F363" t="s">
        <v>73</v>
      </c>
      <c r="G363">
        <v>0</v>
      </c>
      <c r="H363">
        <v>0</v>
      </c>
      <c r="I363" s="5" t="str">
        <f>OutputTable[[#This Row],[ProjectName]]&amp;OutputTable[[#This Row],[Name]]&amp;OutputTable[[#This Row],[Type]]&amp;OutputTable[[#This Row],[Source]]</f>
        <v>Unnamed Projectcutter.ScheduledUtilizationScheduled UtilizationResource</v>
      </c>
      <c r="J363" s="5">
        <f t="array" ref="J363">MAX(IF((ProjectInfoTable[ProjectName]=OutputTable[[#This Row],[ProjectName]]),(ProjectInfoTable[ProjectName]=OutputTable[[#This Row],[ProjectName]])*ProjectInfoTable[NumberOfReplications]))</f>
        <v>15</v>
      </c>
      <c r="K363" s="5">
        <f t="array" ref="K363">IFERROR(AVERAGE(IF((OutputTable[GroupByKey]=OutputTable[[#This Row],[GroupByKey]]),(OutputTable[GroupByKey]=OutputTable[[#This Row],[GroupByKey]])*OutputTable[RecordedValue])),0)</f>
        <v>0</v>
      </c>
      <c r="L363" s="5">
        <f t="array" ref="L363">IFERROR(_xlfn.STDEV.S(IF((OutputTable[GroupByKey]=OutputTable[[#This Row],[GroupByKey]]),(OutputTable[GroupByKey]=OutputTable[[#This Row],[GroupByKey]])*OutputTable[RecordedValue])),0)</f>
        <v>0</v>
      </c>
      <c r="M363" s="5">
        <f t="array" ref="M363">MAX(IF((ProjectInfoTable[ProjectName]=OutputTable[[#This Row],[ProjectName]]),(ProjectInfoTable[ProjectName]=OutputTable[[#This Row],[ProjectName]])*ProjectInfoTable[ConfidenceInterval]))</f>
        <v>0.95</v>
      </c>
      <c r="N3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3" s="5">
        <f t="array" ref="O363">MIN(IF((OutputTable[GroupByKey]=OutputTable[[#This Row],[GroupByKey]]),(OutputTable[GroupByKey]=OutputTable[[#This Row],[GroupByKey]])*OutputTable[RecordedValue]))</f>
        <v>0</v>
      </c>
      <c r="P363" s="5">
        <f t="array" ref="P363">MAX(IF((OutputTable[GroupByKey]=OutputTable[[#This Row],[GroupByKey]]),(OutputTable[GroupByKey]=OutputTable[[#This Row],[GroupByKey]])*OutputTable[RecordedValue]))</f>
        <v>0</v>
      </c>
    </row>
    <row r="364" spans="1:16" x14ac:dyDescent="0.25">
      <c r="A364" t="s">
        <v>67</v>
      </c>
      <c r="B364" t="s">
        <v>70</v>
      </c>
      <c r="C364">
        <v>14</v>
      </c>
      <c r="D364" t="s">
        <v>126</v>
      </c>
      <c r="E364" t="s">
        <v>114</v>
      </c>
      <c r="F364" t="s">
        <v>73</v>
      </c>
      <c r="G364">
        <v>0</v>
      </c>
      <c r="H364">
        <v>0</v>
      </c>
      <c r="I364" s="5" t="str">
        <f>OutputTable[[#This Row],[ProjectName]]&amp;OutputTable[[#This Row],[Name]]&amp;OutputTable[[#This Row],[Type]]&amp;OutputTable[[#This Row],[Source]]</f>
        <v>Unnamed Projectfinalqcman.NumberSeizedTotal Number SeizedResource</v>
      </c>
      <c r="J364" s="5">
        <f t="array" ref="J364">MAX(IF((ProjectInfoTable[ProjectName]=OutputTable[[#This Row],[ProjectName]]),(ProjectInfoTable[ProjectName]=OutputTable[[#This Row],[ProjectName]])*ProjectInfoTable[NumberOfReplications]))</f>
        <v>15</v>
      </c>
      <c r="K364" s="5">
        <f t="array" ref="K364">IFERROR(AVERAGE(IF((OutputTable[GroupByKey]=OutputTable[[#This Row],[GroupByKey]]),(OutputTable[GroupByKey]=OutputTable[[#This Row],[GroupByKey]])*OutputTable[RecordedValue])),0)</f>
        <v>0</v>
      </c>
      <c r="L364" s="5">
        <f t="array" ref="L364">IFERROR(_xlfn.STDEV.S(IF((OutputTable[GroupByKey]=OutputTable[[#This Row],[GroupByKey]]),(OutputTable[GroupByKey]=OutputTable[[#This Row],[GroupByKey]])*OutputTable[RecordedValue])),0)</f>
        <v>0</v>
      </c>
      <c r="M364" s="5">
        <f t="array" ref="M364">MAX(IF((ProjectInfoTable[ProjectName]=OutputTable[[#This Row],[ProjectName]]),(ProjectInfoTable[ProjectName]=OutputTable[[#This Row],[ProjectName]])*ProjectInfoTable[ConfidenceInterval]))</f>
        <v>0.95</v>
      </c>
      <c r="N3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4" s="5">
        <f t="array" ref="O364">MIN(IF((OutputTable[GroupByKey]=OutputTable[[#This Row],[GroupByKey]]),(OutputTable[GroupByKey]=OutputTable[[#This Row],[GroupByKey]])*OutputTable[RecordedValue]))</f>
        <v>0</v>
      </c>
      <c r="P364" s="5">
        <f t="array" ref="P364">MAX(IF((OutputTable[GroupByKey]=OutputTable[[#This Row],[GroupByKey]]),(OutputTable[GroupByKey]=OutputTable[[#This Row],[GroupByKey]])*OutputTable[RecordedValue]))</f>
        <v>0</v>
      </c>
    </row>
    <row r="365" spans="1:16" x14ac:dyDescent="0.25">
      <c r="A365" t="s">
        <v>67</v>
      </c>
      <c r="B365" t="s">
        <v>70</v>
      </c>
      <c r="C365">
        <v>14</v>
      </c>
      <c r="D365" t="s">
        <v>127</v>
      </c>
      <c r="E365" t="s">
        <v>116</v>
      </c>
      <c r="F365" t="s">
        <v>73</v>
      </c>
      <c r="G365">
        <v>0</v>
      </c>
      <c r="H365">
        <v>0</v>
      </c>
      <c r="I365" s="5" t="str">
        <f>OutputTable[[#This Row],[ProjectName]]&amp;OutputTable[[#This Row],[Name]]&amp;OutputTable[[#This Row],[Type]]&amp;OutputTable[[#This Row],[Source]]</f>
        <v>Unnamed Projectfinalqcman.ScheduledUtilizationScheduled UtilizationResource</v>
      </c>
      <c r="J365" s="5">
        <f t="array" ref="J365">MAX(IF((ProjectInfoTable[ProjectName]=OutputTable[[#This Row],[ProjectName]]),(ProjectInfoTable[ProjectName]=OutputTable[[#This Row],[ProjectName]])*ProjectInfoTable[NumberOfReplications]))</f>
        <v>15</v>
      </c>
      <c r="K365" s="5">
        <f t="array" ref="K365">IFERROR(AVERAGE(IF((OutputTable[GroupByKey]=OutputTable[[#This Row],[GroupByKey]]),(OutputTable[GroupByKey]=OutputTable[[#This Row],[GroupByKey]])*OutputTable[RecordedValue])),0)</f>
        <v>0</v>
      </c>
      <c r="L365" s="5">
        <f t="array" ref="L365">IFERROR(_xlfn.STDEV.S(IF((OutputTable[GroupByKey]=OutputTable[[#This Row],[GroupByKey]]),(OutputTable[GroupByKey]=OutputTable[[#This Row],[GroupByKey]])*OutputTable[RecordedValue])),0)</f>
        <v>0</v>
      </c>
      <c r="M365" s="5">
        <f t="array" ref="M365">MAX(IF((ProjectInfoTable[ProjectName]=OutputTable[[#This Row],[ProjectName]]),(ProjectInfoTable[ProjectName]=OutputTable[[#This Row],[ProjectName]])*ProjectInfoTable[ConfidenceInterval]))</f>
        <v>0.95</v>
      </c>
      <c r="N3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5" s="5">
        <f t="array" ref="O365">MIN(IF((OutputTable[GroupByKey]=OutputTable[[#This Row],[GroupByKey]]),(OutputTable[GroupByKey]=OutputTable[[#This Row],[GroupByKey]])*OutputTable[RecordedValue]))</f>
        <v>0</v>
      </c>
      <c r="P365" s="5">
        <f t="array" ref="P365">MAX(IF((OutputTable[GroupByKey]=OutputTable[[#This Row],[GroupByKey]]),(OutputTable[GroupByKey]=OutputTable[[#This Row],[GroupByKey]])*OutputTable[RecordedValue]))</f>
        <v>0</v>
      </c>
    </row>
    <row r="366" spans="1:16" x14ac:dyDescent="0.25">
      <c r="A366" t="s">
        <v>67</v>
      </c>
      <c r="B366" t="s">
        <v>70</v>
      </c>
      <c r="C366">
        <v>14</v>
      </c>
      <c r="D366" t="s">
        <v>128</v>
      </c>
      <c r="E366" t="s">
        <v>114</v>
      </c>
      <c r="F366" t="s">
        <v>73</v>
      </c>
      <c r="G366">
        <v>0</v>
      </c>
      <c r="H366">
        <v>0</v>
      </c>
      <c r="I366" s="5" t="str">
        <f>OutputTable[[#This Row],[ProjectName]]&amp;OutputTable[[#This Row],[Name]]&amp;OutputTable[[#This Row],[Type]]&amp;OutputTable[[#This Row],[Source]]</f>
        <v>Unnamed Projectpaintingmachine.NumberSeizedTotal Number SeizedResource</v>
      </c>
      <c r="J366" s="5">
        <f t="array" ref="J366">MAX(IF((ProjectInfoTable[ProjectName]=OutputTable[[#This Row],[ProjectName]]),(ProjectInfoTable[ProjectName]=OutputTable[[#This Row],[ProjectName]])*ProjectInfoTable[NumberOfReplications]))</f>
        <v>15</v>
      </c>
      <c r="K366" s="5">
        <f t="array" ref="K366">IFERROR(AVERAGE(IF((OutputTable[GroupByKey]=OutputTable[[#This Row],[GroupByKey]]),(OutputTable[GroupByKey]=OutputTable[[#This Row],[GroupByKey]])*OutputTable[RecordedValue])),0)</f>
        <v>0</v>
      </c>
      <c r="L366" s="5">
        <f t="array" ref="L366">IFERROR(_xlfn.STDEV.S(IF((OutputTable[GroupByKey]=OutputTable[[#This Row],[GroupByKey]]),(OutputTable[GroupByKey]=OutputTable[[#This Row],[GroupByKey]])*OutputTable[RecordedValue])),0)</f>
        <v>0</v>
      </c>
      <c r="M366" s="5">
        <f t="array" ref="M366">MAX(IF((ProjectInfoTable[ProjectName]=OutputTable[[#This Row],[ProjectName]]),(ProjectInfoTable[ProjectName]=OutputTable[[#This Row],[ProjectName]])*ProjectInfoTable[ConfidenceInterval]))</f>
        <v>0.95</v>
      </c>
      <c r="N3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6" s="5">
        <f t="array" ref="O366">MIN(IF((OutputTable[GroupByKey]=OutputTable[[#This Row],[GroupByKey]]),(OutputTable[GroupByKey]=OutputTable[[#This Row],[GroupByKey]])*OutputTable[RecordedValue]))</f>
        <v>0</v>
      </c>
      <c r="P366" s="5">
        <f t="array" ref="P366">MAX(IF((OutputTable[GroupByKey]=OutputTable[[#This Row],[GroupByKey]]),(OutputTable[GroupByKey]=OutputTable[[#This Row],[GroupByKey]])*OutputTable[RecordedValue]))</f>
        <v>0</v>
      </c>
    </row>
    <row r="367" spans="1:16" x14ac:dyDescent="0.25">
      <c r="A367" t="s">
        <v>67</v>
      </c>
      <c r="B367" t="s">
        <v>70</v>
      </c>
      <c r="C367">
        <v>14</v>
      </c>
      <c r="D367" t="s">
        <v>129</v>
      </c>
      <c r="E367" t="s">
        <v>116</v>
      </c>
      <c r="F367" t="s">
        <v>73</v>
      </c>
      <c r="G367">
        <v>0</v>
      </c>
      <c r="H367">
        <v>0</v>
      </c>
      <c r="I367" s="5" t="str">
        <f>OutputTable[[#This Row],[ProjectName]]&amp;OutputTable[[#This Row],[Name]]&amp;OutputTable[[#This Row],[Type]]&amp;OutputTable[[#This Row],[Source]]</f>
        <v>Unnamed Projectpaintingmachine.ScheduledUtilizationScheduled UtilizationResource</v>
      </c>
      <c r="J367" s="5">
        <f t="array" ref="J367">MAX(IF((ProjectInfoTable[ProjectName]=OutputTable[[#This Row],[ProjectName]]),(ProjectInfoTable[ProjectName]=OutputTable[[#This Row],[ProjectName]])*ProjectInfoTable[NumberOfReplications]))</f>
        <v>15</v>
      </c>
      <c r="K367" s="5">
        <f t="array" ref="K367">IFERROR(AVERAGE(IF((OutputTable[GroupByKey]=OutputTable[[#This Row],[GroupByKey]]),(OutputTable[GroupByKey]=OutputTable[[#This Row],[GroupByKey]])*OutputTable[RecordedValue])),0)</f>
        <v>0</v>
      </c>
      <c r="L367" s="5">
        <f t="array" ref="L367">IFERROR(_xlfn.STDEV.S(IF((OutputTable[GroupByKey]=OutputTable[[#This Row],[GroupByKey]]),(OutputTable[GroupByKey]=OutputTable[[#This Row],[GroupByKey]])*OutputTable[RecordedValue])),0)</f>
        <v>0</v>
      </c>
      <c r="M367" s="5">
        <f t="array" ref="M367">MAX(IF((ProjectInfoTable[ProjectName]=OutputTable[[#This Row],[ProjectName]]),(ProjectInfoTable[ProjectName]=OutputTable[[#This Row],[ProjectName]])*ProjectInfoTable[ConfidenceInterval]))</f>
        <v>0.95</v>
      </c>
      <c r="N3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7" s="5">
        <f t="array" ref="O367">MIN(IF((OutputTable[GroupByKey]=OutputTable[[#This Row],[GroupByKey]]),(OutputTable[GroupByKey]=OutputTable[[#This Row],[GroupByKey]])*OutputTable[RecordedValue]))</f>
        <v>0</v>
      </c>
      <c r="P367" s="5">
        <f t="array" ref="P367">MAX(IF((OutputTable[GroupByKey]=OutputTable[[#This Row],[GroupByKey]]),(OutputTable[GroupByKey]=OutputTable[[#This Row],[GroupByKey]])*OutputTable[RecordedValue]))</f>
        <v>0</v>
      </c>
    </row>
    <row r="368" spans="1:16" x14ac:dyDescent="0.25">
      <c r="A368" t="s">
        <v>67</v>
      </c>
      <c r="B368" t="s">
        <v>70</v>
      </c>
      <c r="C368">
        <v>14</v>
      </c>
      <c r="D368" t="s">
        <v>130</v>
      </c>
      <c r="E368" t="s">
        <v>114</v>
      </c>
      <c r="F368" t="s">
        <v>73</v>
      </c>
      <c r="G368">
        <v>0</v>
      </c>
      <c r="H368">
        <v>0</v>
      </c>
      <c r="I368" s="5" t="str">
        <f>OutputTable[[#This Row],[ProjectName]]&amp;OutputTable[[#This Row],[Name]]&amp;OutputTable[[#This Row],[Type]]&amp;OutputTable[[#This Row],[Source]]</f>
        <v>Unnamed Projectpaintingoperator.NumberSeizedTotal Number SeizedResource</v>
      </c>
      <c r="J368" s="5">
        <f t="array" ref="J368">MAX(IF((ProjectInfoTable[ProjectName]=OutputTable[[#This Row],[ProjectName]]),(ProjectInfoTable[ProjectName]=OutputTable[[#This Row],[ProjectName]])*ProjectInfoTable[NumberOfReplications]))</f>
        <v>15</v>
      </c>
      <c r="K368" s="5">
        <f t="array" ref="K368">IFERROR(AVERAGE(IF((OutputTable[GroupByKey]=OutputTable[[#This Row],[GroupByKey]]),(OutputTable[GroupByKey]=OutputTable[[#This Row],[GroupByKey]])*OutputTable[RecordedValue])),0)</f>
        <v>0</v>
      </c>
      <c r="L368" s="5">
        <f t="array" ref="L368">IFERROR(_xlfn.STDEV.S(IF((OutputTable[GroupByKey]=OutputTable[[#This Row],[GroupByKey]]),(OutputTable[GroupByKey]=OutputTable[[#This Row],[GroupByKey]])*OutputTable[RecordedValue])),0)</f>
        <v>0</v>
      </c>
      <c r="M368" s="5">
        <f t="array" ref="M368">MAX(IF((ProjectInfoTable[ProjectName]=OutputTable[[#This Row],[ProjectName]]),(ProjectInfoTable[ProjectName]=OutputTable[[#This Row],[ProjectName]])*ProjectInfoTable[ConfidenceInterval]))</f>
        <v>0.95</v>
      </c>
      <c r="N3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8" s="5">
        <f t="array" ref="O368">MIN(IF((OutputTable[GroupByKey]=OutputTable[[#This Row],[GroupByKey]]),(OutputTable[GroupByKey]=OutputTable[[#This Row],[GroupByKey]])*OutputTable[RecordedValue]))</f>
        <v>0</v>
      </c>
      <c r="P368" s="5">
        <f t="array" ref="P368">MAX(IF((OutputTable[GroupByKey]=OutputTable[[#This Row],[GroupByKey]]),(OutputTable[GroupByKey]=OutputTable[[#This Row],[GroupByKey]])*OutputTable[RecordedValue]))</f>
        <v>0</v>
      </c>
    </row>
    <row r="369" spans="1:16" x14ac:dyDescent="0.25">
      <c r="A369" t="s">
        <v>67</v>
      </c>
      <c r="B369" t="s">
        <v>70</v>
      </c>
      <c r="C369">
        <v>14</v>
      </c>
      <c r="D369" t="s">
        <v>131</v>
      </c>
      <c r="E369" t="s">
        <v>116</v>
      </c>
      <c r="F369" t="s">
        <v>73</v>
      </c>
      <c r="G369">
        <v>0</v>
      </c>
      <c r="H369">
        <v>0</v>
      </c>
      <c r="I369" s="5" t="str">
        <f>OutputTable[[#This Row],[ProjectName]]&amp;OutputTable[[#This Row],[Name]]&amp;OutputTable[[#This Row],[Type]]&amp;OutputTable[[#This Row],[Source]]</f>
        <v>Unnamed Projectpaintingoperator.ScheduledUtilizationScheduled UtilizationResource</v>
      </c>
      <c r="J369" s="5">
        <f t="array" ref="J369">MAX(IF((ProjectInfoTable[ProjectName]=OutputTable[[#This Row],[ProjectName]]),(ProjectInfoTable[ProjectName]=OutputTable[[#This Row],[ProjectName]])*ProjectInfoTable[NumberOfReplications]))</f>
        <v>15</v>
      </c>
      <c r="K369" s="5">
        <f t="array" ref="K369">IFERROR(AVERAGE(IF((OutputTable[GroupByKey]=OutputTable[[#This Row],[GroupByKey]]),(OutputTable[GroupByKey]=OutputTable[[#This Row],[GroupByKey]])*OutputTable[RecordedValue])),0)</f>
        <v>0</v>
      </c>
      <c r="L369" s="5">
        <f t="array" ref="L369">IFERROR(_xlfn.STDEV.S(IF((OutputTable[GroupByKey]=OutputTable[[#This Row],[GroupByKey]]),(OutputTable[GroupByKey]=OutputTable[[#This Row],[GroupByKey]])*OutputTable[RecordedValue])),0)</f>
        <v>0</v>
      </c>
      <c r="M369" s="5">
        <f t="array" ref="M369">MAX(IF((ProjectInfoTable[ProjectName]=OutputTable[[#This Row],[ProjectName]]),(ProjectInfoTable[ProjectName]=OutputTable[[#This Row],[ProjectName]])*ProjectInfoTable[ConfidenceInterval]))</f>
        <v>0.95</v>
      </c>
      <c r="N3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69" s="5">
        <f t="array" ref="O369">MIN(IF((OutputTable[GroupByKey]=OutputTable[[#This Row],[GroupByKey]]),(OutputTable[GroupByKey]=OutputTable[[#This Row],[GroupByKey]])*OutputTable[RecordedValue]))</f>
        <v>0</v>
      </c>
      <c r="P369" s="5">
        <f t="array" ref="P369">MAX(IF((OutputTable[GroupByKey]=OutputTable[[#This Row],[GroupByKey]]),(OutputTable[GroupByKey]=OutputTable[[#This Row],[GroupByKey]])*OutputTable[RecordedValue]))</f>
        <v>0</v>
      </c>
    </row>
    <row r="370" spans="1:16" x14ac:dyDescent="0.25">
      <c r="A370" t="s">
        <v>67</v>
      </c>
      <c r="B370" t="s">
        <v>70</v>
      </c>
      <c r="C370">
        <v>14</v>
      </c>
      <c r="D370" t="s">
        <v>132</v>
      </c>
      <c r="E370" t="s">
        <v>114</v>
      </c>
      <c r="F370" t="s">
        <v>73</v>
      </c>
      <c r="G370">
        <v>0</v>
      </c>
      <c r="H370">
        <v>0</v>
      </c>
      <c r="I370" s="5" t="str">
        <f>OutputTable[[#This Row],[ProjectName]]&amp;OutputTable[[#This Row],[Name]]&amp;OutputTable[[#This Row],[Type]]&amp;OutputTable[[#This Row],[Source]]</f>
        <v>Unnamed Projectsandblastmachine.NumberSeizedTotal Number SeizedResource</v>
      </c>
      <c r="J370" s="5">
        <f t="array" ref="J370">MAX(IF((ProjectInfoTable[ProjectName]=OutputTable[[#This Row],[ProjectName]]),(ProjectInfoTable[ProjectName]=OutputTable[[#This Row],[ProjectName]])*ProjectInfoTable[NumberOfReplications]))</f>
        <v>15</v>
      </c>
      <c r="K370" s="5">
        <f t="array" ref="K370">IFERROR(AVERAGE(IF((OutputTable[GroupByKey]=OutputTable[[#This Row],[GroupByKey]]),(OutputTable[GroupByKey]=OutputTable[[#This Row],[GroupByKey]])*OutputTable[RecordedValue])),0)</f>
        <v>0</v>
      </c>
      <c r="L370" s="5">
        <f t="array" ref="L370">IFERROR(_xlfn.STDEV.S(IF((OutputTable[GroupByKey]=OutputTable[[#This Row],[GroupByKey]]),(OutputTable[GroupByKey]=OutputTable[[#This Row],[GroupByKey]])*OutputTable[RecordedValue])),0)</f>
        <v>0</v>
      </c>
      <c r="M370" s="5">
        <f t="array" ref="M370">MAX(IF((ProjectInfoTable[ProjectName]=OutputTable[[#This Row],[ProjectName]]),(ProjectInfoTable[ProjectName]=OutputTable[[#This Row],[ProjectName]])*ProjectInfoTable[ConfidenceInterval]))</f>
        <v>0.95</v>
      </c>
      <c r="N3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0" s="5">
        <f t="array" ref="O370">MIN(IF((OutputTable[GroupByKey]=OutputTable[[#This Row],[GroupByKey]]),(OutputTable[GroupByKey]=OutputTable[[#This Row],[GroupByKey]])*OutputTable[RecordedValue]))</f>
        <v>0</v>
      </c>
      <c r="P370" s="5">
        <f t="array" ref="P370">MAX(IF((OutputTable[GroupByKey]=OutputTable[[#This Row],[GroupByKey]]),(OutputTable[GroupByKey]=OutputTable[[#This Row],[GroupByKey]])*OutputTable[RecordedValue]))</f>
        <v>0</v>
      </c>
    </row>
    <row r="371" spans="1:16" x14ac:dyDescent="0.25">
      <c r="A371" t="s">
        <v>67</v>
      </c>
      <c r="B371" t="s">
        <v>70</v>
      </c>
      <c r="C371">
        <v>14</v>
      </c>
      <c r="D371" t="s">
        <v>133</v>
      </c>
      <c r="E371" t="s">
        <v>116</v>
      </c>
      <c r="F371" t="s">
        <v>73</v>
      </c>
      <c r="G371">
        <v>0</v>
      </c>
      <c r="H371">
        <v>0</v>
      </c>
      <c r="I371" s="5" t="str">
        <f>OutputTable[[#This Row],[ProjectName]]&amp;OutputTable[[#This Row],[Name]]&amp;OutputTable[[#This Row],[Type]]&amp;OutputTable[[#This Row],[Source]]</f>
        <v>Unnamed Projectsandblastmachine.ScheduledUtilizationScheduled UtilizationResource</v>
      </c>
      <c r="J371" s="5">
        <f t="array" ref="J371">MAX(IF((ProjectInfoTable[ProjectName]=OutputTable[[#This Row],[ProjectName]]),(ProjectInfoTable[ProjectName]=OutputTable[[#This Row],[ProjectName]])*ProjectInfoTable[NumberOfReplications]))</f>
        <v>15</v>
      </c>
      <c r="K371" s="5">
        <f t="array" ref="K371">IFERROR(AVERAGE(IF((OutputTable[GroupByKey]=OutputTable[[#This Row],[GroupByKey]]),(OutputTable[GroupByKey]=OutputTable[[#This Row],[GroupByKey]])*OutputTable[RecordedValue])),0)</f>
        <v>0</v>
      </c>
      <c r="L371" s="5">
        <f t="array" ref="L371">IFERROR(_xlfn.STDEV.S(IF((OutputTable[GroupByKey]=OutputTable[[#This Row],[GroupByKey]]),(OutputTable[GroupByKey]=OutputTable[[#This Row],[GroupByKey]])*OutputTable[RecordedValue])),0)</f>
        <v>0</v>
      </c>
      <c r="M371" s="5">
        <f t="array" ref="M371">MAX(IF((ProjectInfoTable[ProjectName]=OutputTable[[#This Row],[ProjectName]]),(ProjectInfoTable[ProjectName]=OutputTable[[#This Row],[ProjectName]])*ProjectInfoTable[ConfidenceInterval]))</f>
        <v>0.95</v>
      </c>
      <c r="N3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1" s="5">
        <f t="array" ref="O371">MIN(IF((OutputTable[GroupByKey]=OutputTable[[#This Row],[GroupByKey]]),(OutputTable[GroupByKey]=OutputTable[[#This Row],[GroupByKey]])*OutputTable[RecordedValue]))</f>
        <v>0</v>
      </c>
      <c r="P371" s="5">
        <f t="array" ref="P371">MAX(IF((OutputTable[GroupByKey]=OutputTable[[#This Row],[GroupByKey]]),(OutputTable[GroupByKey]=OutputTable[[#This Row],[GroupByKey]])*OutputTable[RecordedValue]))</f>
        <v>0</v>
      </c>
    </row>
    <row r="372" spans="1:16" x14ac:dyDescent="0.25">
      <c r="A372" t="s">
        <v>67</v>
      </c>
      <c r="B372" t="s">
        <v>70</v>
      </c>
      <c r="C372">
        <v>14</v>
      </c>
      <c r="D372" t="s">
        <v>134</v>
      </c>
      <c r="E372" t="s">
        <v>114</v>
      </c>
      <c r="F372" t="s">
        <v>73</v>
      </c>
      <c r="G372">
        <v>0</v>
      </c>
      <c r="H372">
        <v>0</v>
      </c>
      <c r="I372" s="5" t="str">
        <f>OutputTable[[#This Row],[ProjectName]]&amp;OutputTable[[#This Row],[Name]]&amp;OutputTable[[#This Row],[Type]]&amp;OutputTable[[#This Row],[Source]]</f>
        <v>Unnamed Projectsandblastoperator.NumberSeizedTotal Number SeizedResource</v>
      </c>
      <c r="J372" s="5">
        <f t="array" ref="J372">MAX(IF((ProjectInfoTable[ProjectName]=OutputTable[[#This Row],[ProjectName]]),(ProjectInfoTable[ProjectName]=OutputTable[[#This Row],[ProjectName]])*ProjectInfoTable[NumberOfReplications]))</f>
        <v>15</v>
      </c>
      <c r="K372" s="5">
        <f t="array" ref="K372">IFERROR(AVERAGE(IF((OutputTable[GroupByKey]=OutputTable[[#This Row],[GroupByKey]]),(OutputTable[GroupByKey]=OutputTable[[#This Row],[GroupByKey]])*OutputTable[RecordedValue])),0)</f>
        <v>0</v>
      </c>
      <c r="L372" s="5">
        <f t="array" ref="L372">IFERROR(_xlfn.STDEV.S(IF((OutputTable[GroupByKey]=OutputTable[[#This Row],[GroupByKey]]),(OutputTable[GroupByKey]=OutputTable[[#This Row],[GroupByKey]])*OutputTable[RecordedValue])),0)</f>
        <v>0</v>
      </c>
      <c r="M372" s="5">
        <f t="array" ref="M372">MAX(IF((ProjectInfoTable[ProjectName]=OutputTable[[#This Row],[ProjectName]]),(ProjectInfoTable[ProjectName]=OutputTable[[#This Row],[ProjectName]])*ProjectInfoTable[ConfidenceInterval]))</f>
        <v>0.95</v>
      </c>
      <c r="N3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2" s="5">
        <f t="array" ref="O372">MIN(IF((OutputTable[GroupByKey]=OutputTable[[#This Row],[GroupByKey]]),(OutputTable[GroupByKey]=OutputTable[[#This Row],[GroupByKey]])*OutputTable[RecordedValue]))</f>
        <v>0</v>
      </c>
      <c r="P372" s="5">
        <f t="array" ref="P372">MAX(IF((OutputTable[GroupByKey]=OutputTable[[#This Row],[GroupByKey]]),(OutputTable[GroupByKey]=OutputTable[[#This Row],[GroupByKey]])*OutputTable[RecordedValue]))</f>
        <v>0</v>
      </c>
    </row>
    <row r="373" spans="1:16" x14ac:dyDescent="0.25">
      <c r="A373" t="s">
        <v>67</v>
      </c>
      <c r="B373" t="s">
        <v>70</v>
      </c>
      <c r="C373">
        <v>14</v>
      </c>
      <c r="D373" t="s">
        <v>135</v>
      </c>
      <c r="E373" t="s">
        <v>116</v>
      </c>
      <c r="F373" t="s">
        <v>73</v>
      </c>
      <c r="G373">
        <v>0</v>
      </c>
      <c r="H373">
        <v>0</v>
      </c>
      <c r="I373" s="5" t="str">
        <f>OutputTable[[#This Row],[ProjectName]]&amp;OutputTable[[#This Row],[Name]]&amp;OutputTable[[#This Row],[Type]]&amp;OutputTable[[#This Row],[Source]]</f>
        <v>Unnamed Projectsandblastoperator.ScheduledUtilizationScheduled UtilizationResource</v>
      </c>
      <c r="J373" s="5">
        <f t="array" ref="J373">MAX(IF((ProjectInfoTable[ProjectName]=OutputTable[[#This Row],[ProjectName]]),(ProjectInfoTable[ProjectName]=OutputTable[[#This Row],[ProjectName]])*ProjectInfoTable[NumberOfReplications]))</f>
        <v>15</v>
      </c>
      <c r="K373" s="5">
        <f t="array" ref="K373">IFERROR(AVERAGE(IF((OutputTable[GroupByKey]=OutputTable[[#This Row],[GroupByKey]]),(OutputTable[GroupByKey]=OutputTable[[#This Row],[GroupByKey]])*OutputTable[RecordedValue])),0)</f>
        <v>0</v>
      </c>
      <c r="L373" s="5">
        <f t="array" ref="L373">IFERROR(_xlfn.STDEV.S(IF((OutputTable[GroupByKey]=OutputTable[[#This Row],[GroupByKey]]),(OutputTable[GroupByKey]=OutputTable[[#This Row],[GroupByKey]])*OutputTable[RecordedValue])),0)</f>
        <v>0</v>
      </c>
      <c r="M373" s="5">
        <f t="array" ref="M373">MAX(IF((ProjectInfoTable[ProjectName]=OutputTable[[#This Row],[ProjectName]]),(ProjectInfoTable[ProjectName]=OutputTable[[#This Row],[ProjectName]])*ProjectInfoTable[ConfidenceInterval]))</f>
        <v>0.95</v>
      </c>
      <c r="N3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3" s="5">
        <f t="array" ref="O373">MIN(IF((OutputTable[GroupByKey]=OutputTable[[#This Row],[GroupByKey]]),(OutputTable[GroupByKey]=OutputTable[[#This Row],[GroupByKey]])*OutputTable[RecordedValue]))</f>
        <v>0</v>
      </c>
      <c r="P373" s="5">
        <f t="array" ref="P373">MAX(IF((OutputTable[GroupByKey]=OutputTable[[#This Row],[GroupByKey]]),(OutputTable[GroupByKey]=OutputTable[[#This Row],[GroupByKey]])*OutputTable[RecordedValue]))</f>
        <v>0</v>
      </c>
    </row>
    <row r="374" spans="1:16" x14ac:dyDescent="0.25">
      <c r="A374" t="s">
        <v>67</v>
      </c>
      <c r="B374" t="s">
        <v>70</v>
      </c>
      <c r="C374">
        <v>14</v>
      </c>
      <c r="D374" t="s">
        <v>136</v>
      </c>
      <c r="E374" t="s">
        <v>120</v>
      </c>
      <c r="F374" t="s">
        <v>79</v>
      </c>
      <c r="G374">
        <v>0</v>
      </c>
      <c r="H374">
        <v>0</v>
      </c>
      <c r="I374" s="5" t="str">
        <f>OutputTable[[#This Row],[ProjectName]]&amp;OutputTable[[#This Row],[Name]]&amp;OutputTable[[#This Row],[Type]]&amp;OutputTable[[#This Row],[Source]]</f>
        <v>Unnamed Projectsteelsheet.NumberInNumber InEntity</v>
      </c>
      <c r="J374" s="5">
        <f t="array" ref="J374">MAX(IF((ProjectInfoTable[ProjectName]=OutputTable[[#This Row],[ProjectName]]),(ProjectInfoTable[ProjectName]=OutputTable[[#This Row],[ProjectName]])*ProjectInfoTable[NumberOfReplications]))</f>
        <v>15</v>
      </c>
      <c r="K374" s="5">
        <f t="array" ref="K374">IFERROR(AVERAGE(IF((OutputTable[GroupByKey]=OutputTable[[#This Row],[GroupByKey]]),(OutputTable[GroupByKey]=OutputTable[[#This Row],[GroupByKey]])*OutputTable[RecordedValue])),0)</f>
        <v>0</v>
      </c>
      <c r="L374" s="5">
        <f t="array" ref="L374">IFERROR(_xlfn.STDEV.S(IF((OutputTable[GroupByKey]=OutputTable[[#This Row],[GroupByKey]]),(OutputTable[GroupByKey]=OutputTable[[#This Row],[GroupByKey]])*OutputTable[RecordedValue])),0)</f>
        <v>0</v>
      </c>
      <c r="M374" s="5">
        <f t="array" ref="M374">MAX(IF((ProjectInfoTable[ProjectName]=OutputTable[[#This Row],[ProjectName]]),(ProjectInfoTable[ProjectName]=OutputTable[[#This Row],[ProjectName]])*ProjectInfoTable[ConfidenceInterval]))</f>
        <v>0.95</v>
      </c>
      <c r="N3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4" s="5">
        <f t="array" ref="O374">MIN(IF((OutputTable[GroupByKey]=OutputTable[[#This Row],[GroupByKey]]),(OutputTable[GroupByKey]=OutputTable[[#This Row],[GroupByKey]])*OutputTable[RecordedValue]))</f>
        <v>0</v>
      </c>
      <c r="P374" s="5">
        <f t="array" ref="P374">MAX(IF((OutputTable[GroupByKey]=OutputTable[[#This Row],[GroupByKey]]),(OutputTable[GroupByKey]=OutputTable[[#This Row],[GroupByKey]])*OutputTable[RecordedValue]))</f>
        <v>0</v>
      </c>
    </row>
    <row r="375" spans="1:16" x14ac:dyDescent="0.25">
      <c r="A375" t="s">
        <v>67</v>
      </c>
      <c r="B375" t="s">
        <v>70</v>
      </c>
      <c r="C375">
        <v>14</v>
      </c>
      <c r="D375" t="s">
        <v>137</v>
      </c>
      <c r="E375" t="s">
        <v>111</v>
      </c>
      <c r="F375" t="s">
        <v>79</v>
      </c>
      <c r="G375">
        <v>0</v>
      </c>
      <c r="H375">
        <v>0</v>
      </c>
      <c r="I375" s="5" t="str">
        <f>OutputTable[[#This Row],[ProjectName]]&amp;OutputTable[[#This Row],[Name]]&amp;OutputTable[[#This Row],[Type]]&amp;OutputTable[[#This Row],[Source]]</f>
        <v>Unnamed Projectsteelsheet.NumberOutNumber OutEntity</v>
      </c>
      <c r="J375" s="5">
        <f t="array" ref="J375">MAX(IF((ProjectInfoTable[ProjectName]=OutputTable[[#This Row],[ProjectName]]),(ProjectInfoTable[ProjectName]=OutputTable[[#This Row],[ProjectName]])*ProjectInfoTable[NumberOfReplications]))</f>
        <v>15</v>
      </c>
      <c r="K375" s="5">
        <f t="array" ref="K375">IFERROR(AVERAGE(IF((OutputTable[GroupByKey]=OutputTable[[#This Row],[GroupByKey]]),(OutputTable[GroupByKey]=OutputTable[[#This Row],[GroupByKey]])*OutputTable[RecordedValue])),0)</f>
        <v>0</v>
      </c>
      <c r="L375" s="5">
        <f t="array" ref="L375">IFERROR(_xlfn.STDEV.S(IF((OutputTable[GroupByKey]=OutputTable[[#This Row],[GroupByKey]]),(OutputTable[GroupByKey]=OutputTable[[#This Row],[GroupByKey]])*OutputTable[RecordedValue])),0)</f>
        <v>0</v>
      </c>
      <c r="M375" s="5">
        <f t="array" ref="M375">MAX(IF((ProjectInfoTable[ProjectName]=OutputTable[[#This Row],[ProjectName]]),(ProjectInfoTable[ProjectName]=OutputTable[[#This Row],[ProjectName]])*ProjectInfoTable[ConfidenceInterval]))</f>
        <v>0.95</v>
      </c>
      <c r="N3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5" s="5">
        <f t="array" ref="O375">MIN(IF((OutputTable[GroupByKey]=OutputTable[[#This Row],[GroupByKey]]),(OutputTable[GroupByKey]=OutputTable[[#This Row],[GroupByKey]])*OutputTable[RecordedValue]))</f>
        <v>0</v>
      </c>
      <c r="P375" s="5">
        <f t="array" ref="P375">MAX(IF((OutputTable[GroupByKey]=OutputTable[[#This Row],[GroupByKey]]),(OutputTable[GroupByKey]=OutputTable[[#This Row],[GroupByKey]])*OutputTable[RecordedValue]))</f>
        <v>0</v>
      </c>
    </row>
    <row r="376" spans="1:16" x14ac:dyDescent="0.25">
      <c r="A376" t="s">
        <v>67</v>
      </c>
      <c r="B376" t="s">
        <v>70</v>
      </c>
      <c r="C376">
        <v>14</v>
      </c>
      <c r="D376" t="s">
        <v>138</v>
      </c>
      <c r="E376" t="s">
        <v>114</v>
      </c>
      <c r="F376" t="s">
        <v>73</v>
      </c>
      <c r="G376">
        <v>0</v>
      </c>
      <c r="H376">
        <v>0</v>
      </c>
      <c r="I376" s="5" t="str">
        <f>OutputTable[[#This Row],[ProjectName]]&amp;OutputTable[[#This Row],[Name]]&amp;OutputTable[[#This Row],[Type]]&amp;OutputTable[[#This Row],[Source]]</f>
        <v>Unnamed Projectwelder.NumberSeizedTotal Number SeizedResource</v>
      </c>
      <c r="J376" s="5">
        <f t="array" ref="J376">MAX(IF((ProjectInfoTable[ProjectName]=OutputTable[[#This Row],[ProjectName]]),(ProjectInfoTable[ProjectName]=OutputTable[[#This Row],[ProjectName]])*ProjectInfoTable[NumberOfReplications]))</f>
        <v>15</v>
      </c>
      <c r="K376" s="5">
        <f t="array" ref="K376">IFERROR(AVERAGE(IF((OutputTable[GroupByKey]=OutputTable[[#This Row],[GroupByKey]]),(OutputTable[GroupByKey]=OutputTable[[#This Row],[GroupByKey]])*OutputTable[RecordedValue])),0)</f>
        <v>0</v>
      </c>
      <c r="L376" s="5">
        <f t="array" ref="L376">IFERROR(_xlfn.STDEV.S(IF((OutputTable[GroupByKey]=OutputTable[[#This Row],[GroupByKey]]),(OutputTable[GroupByKey]=OutputTable[[#This Row],[GroupByKey]])*OutputTable[RecordedValue])),0)</f>
        <v>0</v>
      </c>
      <c r="M376" s="5">
        <f t="array" ref="M376">MAX(IF((ProjectInfoTable[ProjectName]=OutputTable[[#This Row],[ProjectName]]),(ProjectInfoTable[ProjectName]=OutputTable[[#This Row],[ProjectName]])*ProjectInfoTable[ConfidenceInterval]))</f>
        <v>0.95</v>
      </c>
      <c r="N3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6" s="5">
        <f t="array" ref="O376">MIN(IF((OutputTable[GroupByKey]=OutputTable[[#This Row],[GroupByKey]]),(OutputTable[GroupByKey]=OutputTable[[#This Row],[GroupByKey]])*OutputTable[RecordedValue]))</f>
        <v>0</v>
      </c>
      <c r="P376" s="5">
        <f t="array" ref="P376">MAX(IF((OutputTable[GroupByKey]=OutputTable[[#This Row],[GroupByKey]]),(OutputTable[GroupByKey]=OutputTable[[#This Row],[GroupByKey]])*OutputTable[RecordedValue]))</f>
        <v>0</v>
      </c>
    </row>
    <row r="377" spans="1:16" x14ac:dyDescent="0.25">
      <c r="A377" t="s">
        <v>67</v>
      </c>
      <c r="B377" t="s">
        <v>70</v>
      </c>
      <c r="C377">
        <v>14</v>
      </c>
      <c r="D377" t="s">
        <v>139</v>
      </c>
      <c r="E377" t="s">
        <v>116</v>
      </c>
      <c r="F377" t="s">
        <v>73</v>
      </c>
      <c r="G377">
        <v>0</v>
      </c>
      <c r="H377">
        <v>0</v>
      </c>
      <c r="I377" s="5" t="str">
        <f>OutputTable[[#This Row],[ProjectName]]&amp;OutputTable[[#This Row],[Name]]&amp;OutputTable[[#This Row],[Type]]&amp;OutputTable[[#This Row],[Source]]</f>
        <v>Unnamed Projectwelder.ScheduledUtilizationScheduled UtilizationResource</v>
      </c>
      <c r="J377" s="5">
        <f t="array" ref="J377">MAX(IF((ProjectInfoTable[ProjectName]=OutputTable[[#This Row],[ProjectName]]),(ProjectInfoTable[ProjectName]=OutputTable[[#This Row],[ProjectName]])*ProjectInfoTable[NumberOfReplications]))</f>
        <v>15</v>
      </c>
      <c r="K377" s="5">
        <f t="array" ref="K377">IFERROR(AVERAGE(IF((OutputTable[GroupByKey]=OutputTable[[#This Row],[GroupByKey]]),(OutputTable[GroupByKey]=OutputTable[[#This Row],[GroupByKey]])*OutputTable[RecordedValue])),0)</f>
        <v>0</v>
      </c>
      <c r="L377" s="5">
        <f t="array" ref="L377">IFERROR(_xlfn.STDEV.S(IF((OutputTable[GroupByKey]=OutputTable[[#This Row],[GroupByKey]]),(OutputTable[GroupByKey]=OutputTable[[#This Row],[GroupByKey]])*OutputTable[RecordedValue])),0)</f>
        <v>0</v>
      </c>
      <c r="M377" s="5">
        <f t="array" ref="M377">MAX(IF((ProjectInfoTable[ProjectName]=OutputTable[[#This Row],[ProjectName]]),(ProjectInfoTable[ProjectName]=OutputTable[[#This Row],[ProjectName]])*ProjectInfoTable[ConfidenceInterval]))</f>
        <v>0.95</v>
      </c>
      <c r="N3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7" s="5">
        <f t="array" ref="O377">MIN(IF((OutputTable[GroupByKey]=OutputTable[[#This Row],[GroupByKey]]),(OutputTable[GroupByKey]=OutputTable[[#This Row],[GroupByKey]])*OutputTable[RecordedValue]))</f>
        <v>0</v>
      </c>
      <c r="P377" s="5">
        <f t="array" ref="P377">MAX(IF((OutputTable[GroupByKey]=OutputTable[[#This Row],[GroupByKey]]),(OutputTable[GroupByKey]=OutputTable[[#This Row],[GroupByKey]])*OutputTable[RecordedValue]))</f>
        <v>0</v>
      </c>
    </row>
    <row r="378" spans="1:16" x14ac:dyDescent="0.25">
      <c r="A378" t="s">
        <v>67</v>
      </c>
      <c r="B378" t="s">
        <v>70</v>
      </c>
      <c r="C378">
        <v>14</v>
      </c>
      <c r="D378" t="s">
        <v>140</v>
      </c>
      <c r="E378" t="s">
        <v>114</v>
      </c>
      <c r="F378" t="s">
        <v>73</v>
      </c>
      <c r="G378">
        <v>0</v>
      </c>
      <c r="H378">
        <v>0</v>
      </c>
      <c r="I378" s="5" t="str">
        <f>OutputTable[[#This Row],[ProjectName]]&amp;OutputTable[[#This Row],[Name]]&amp;OutputTable[[#This Row],[Type]]&amp;OutputTable[[#This Row],[Source]]</f>
        <v>Unnamed Projectweldingqcworker.NumberSeizedTotal Number SeizedResource</v>
      </c>
      <c r="J378" s="5">
        <f t="array" ref="J378">MAX(IF((ProjectInfoTable[ProjectName]=OutputTable[[#This Row],[ProjectName]]),(ProjectInfoTable[ProjectName]=OutputTable[[#This Row],[ProjectName]])*ProjectInfoTable[NumberOfReplications]))</f>
        <v>15</v>
      </c>
      <c r="K378" s="5">
        <f t="array" ref="K378">IFERROR(AVERAGE(IF((OutputTable[GroupByKey]=OutputTable[[#This Row],[GroupByKey]]),(OutputTable[GroupByKey]=OutputTable[[#This Row],[GroupByKey]])*OutputTable[RecordedValue])),0)</f>
        <v>0</v>
      </c>
      <c r="L378" s="5">
        <f t="array" ref="L378">IFERROR(_xlfn.STDEV.S(IF((OutputTable[GroupByKey]=OutputTable[[#This Row],[GroupByKey]]),(OutputTable[GroupByKey]=OutputTable[[#This Row],[GroupByKey]])*OutputTable[RecordedValue])),0)</f>
        <v>0</v>
      </c>
      <c r="M378" s="5">
        <f t="array" ref="M378">MAX(IF((ProjectInfoTable[ProjectName]=OutputTable[[#This Row],[ProjectName]]),(ProjectInfoTable[ProjectName]=OutputTable[[#This Row],[ProjectName]])*ProjectInfoTable[ConfidenceInterval]))</f>
        <v>0.95</v>
      </c>
      <c r="N3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8" s="5">
        <f t="array" ref="O378">MIN(IF((OutputTable[GroupByKey]=OutputTable[[#This Row],[GroupByKey]]),(OutputTable[GroupByKey]=OutputTable[[#This Row],[GroupByKey]])*OutputTable[RecordedValue]))</f>
        <v>0</v>
      </c>
      <c r="P378" s="5">
        <f t="array" ref="P378">MAX(IF((OutputTable[GroupByKey]=OutputTable[[#This Row],[GroupByKey]]),(OutputTable[GroupByKey]=OutputTable[[#This Row],[GroupByKey]])*OutputTable[RecordedValue]))</f>
        <v>0</v>
      </c>
    </row>
    <row r="379" spans="1:16" x14ac:dyDescent="0.25">
      <c r="A379" t="s">
        <v>67</v>
      </c>
      <c r="B379" t="s">
        <v>70</v>
      </c>
      <c r="C379">
        <v>14</v>
      </c>
      <c r="D379" t="s">
        <v>141</v>
      </c>
      <c r="E379" t="s">
        <v>116</v>
      </c>
      <c r="F379" t="s">
        <v>73</v>
      </c>
      <c r="G379">
        <v>0</v>
      </c>
      <c r="H379">
        <v>0</v>
      </c>
      <c r="I379" s="5" t="str">
        <f>OutputTable[[#This Row],[ProjectName]]&amp;OutputTable[[#This Row],[Name]]&amp;OutputTable[[#This Row],[Type]]&amp;OutputTable[[#This Row],[Source]]</f>
        <v>Unnamed Projectweldingqcworker.ScheduledUtilizationScheduled UtilizationResource</v>
      </c>
      <c r="J379" s="5">
        <f t="array" ref="J379">MAX(IF((ProjectInfoTable[ProjectName]=OutputTable[[#This Row],[ProjectName]]),(ProjectInfoTable[ProjectName]=OutputTable[[#This Row],[ProjectName]])*ProjectInfoTable[NumberOfReplications]))</f>
        <v>15</v>
      </c>
      <c r="K379" s="5">
        <f t="array" ref="K379">IFERROR(AVERAGE(IF((OutputTable[GroupByKey]=OutputTable[[#This Row],[GroupByKey]]),(OutputTable[GroupByKey]=OutputTable[[#This Row],[GroupByKey]])*OutputTable[RecordedValue])),0)</f>
        <v>0</v>
      </c>
      <c r="L379" s="5">
        <f t="array" ref="L379">IFERROR(_xlfn.STDEV.S(IF((OutputTable[GroupByKey]=OutputTable[[#This Row],[GroupByKey]]),(OutputTable[GroupByKey]=OutputTable[[#This Row],[GroupByKey]])*OutputTable[RecordedValue])),0)</f>
        <v>0</v>
      </c>
      <c r="M379" s="5">
        <f t="array" ref="M379">MAX(IF((ProjectInfoTable[ProjectName]=OutputTable[[#This Row],[ProjectName]]),(ProjectInfoTable[ProjectName]=OutputTable[[#This Row],[ProjectName]])*ProjectInfoTable[ConfidenceInterval]))</f>
        <v>0.95</v>
      </c>
      <c r="N3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9" s="5">
        <f t="array" ref="O379">MIN(IF((OutputTable[GroupByKey]=OutputTable[[#This Row],[GroupByKey]]),(OutputTable[GroupByKey]=OutputTable[[#This Row],[GroupByKey]])*OutputTable[RecordedValue]))</f>
        <v>0</v>
      </c>
      <c r="P379" s="5">
        <f t="array" ref="P379">MAX(IF((OutputTable[GroupByKey]=OutputTable[[#This Row],[GroupByKey]]),(OutputTable[GroupByKey]=OutputTable[[#This Row],[GroupByKey]])*OutputTable[RecordedValue]))</f>
        <v>0</v>
      </c>
    </row>
    <row r="380" spans="1:16" x14ac:dyDescent="0.25">
      <c r="A380" t="s">
        <v>67</v>
      </c>
      <c r="B380" t="s">
        <v>70</v>
      </c>
      <c r="C380">
        <v>15</v>
      </c>
      <c r="D380" t="s">
        <v>110</v>
      </c>
      <c r="E380" t="s">
        <v>111</v>
      </c>
      <c r="F380" t="s">
        <v>112</v>
      </c>
      <c r="G380">
        <v>0</v>
      </c>
      <c r="H380">
        <v>0</v>
      </c>
      <c r="I380" s="5" t="str">
        <f>OutputTable[[#This Row],[ProjectName]]&amp;OutputTable[[#This Row],[Name]]&amp;OutputTable[[#This Row],[Type]]&amp;OutputTable[[#This Row],[Source]]</f>
        <v>Unnamed ProjectSystem.NumberOutNumber OutSystem</v>
      </c>
      <c r="J380" s="5">
        <f t="array" ref="J380">MAX(IF((ProjectInfoTable[ProjectName]=OutputTable[[#This Row],[ProjectName]]),(ProjectInfoTable[ProjectName]=OutputTable[[#This Row],[ProjectName]])*ProjectInfoTable[NumberOfReplications]))</f>
        <v>15</v>
      </c>
      <c r="K380" s="5">
        <f t="array" ref="K380">IFERROR(AVERAGE(IF((OutputTable[GroupByKey]=OutputTable[[#This Row],[GroupByKey]]),(OutputTable[GroupByKey]=OutputTable[[#This Row],[GroupByKey]])*OutputTable[RecordedValue])),0)</f>
        <v>0</v>
      </c>
      <c r="L380" s="5">
        <f t="array" ref="L380">IFERROR(_xlfn.STDEV.S(IF((OutputTable[GroupByKey]=OutputTable[[#This Row],[GroupByKey]]),(OutputTable[GroupByKey]=OutputTable[[#This Row],[GroupByKey]])*OutputTable[RecordedValue])),0)</f>
        <v>0</v>
      </c>
      <c r="M380" s="5">
        <f t="array" ref="M380">MAX(IF((ProjectInfoTable[ProjectName]=OutputTable[[#This Row],[ProjectName]]),(ProjectInfoTable[ProjectName]=OutputTable[[#This Row],[ProjectName]])*ProjectInfoTable[ConfidenceInterval]))</f>
        <v>0.95</v>
      </c>
      <c r="N3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0" s="5">
        <f t="array" ref="O380">MIN(IF((OutputTable[GroupByKey]=OutputTable[[#This Row],[GroupByKey]]),(OutputTable[GroupByKey]=OutputTable[[#This Row],[GroupByKey]])*OutputTable[RecordedValue]))</f>
        <v>0</v>
      </c>
      <c r="P380" s="5">
        <f t="array" ref="P380">MAX(IF((OutputTable[GroupByKey]=OutputTable[[#This Row],[GroupByKey]]),(OutputTable[GroupByKey]=OutputTable[[#This Row],[GroupByKey]])*OutputTable[RecordedValue]))</f>
        <v>0</v>
      </c>
    </row>
    <row r="381" spans="1:16" x14ac:dyDescent="0.25">
      <c r="A381" t="s">
        <v>67</v>
      </c>
      <c r="B381" t="s">
        <v>70</v>
      </c>
      <c r="C381">
        <v>15</v>
      </c>
      <c r="D381" t="s">
        <v>113</v>
      </c>
      <c r="E381" t="s">
        <v>114</v>
      </c>
      <c r="F381" t="s">
        <v>73</v>
      </c>
      <c r="G381">
        <v>0</v>
      </c>
      <c r="H381">
        <v>0</v>
      </c>
      <c r="I381" s="5" t="str">
        <f>OutputTable[[#This Row],[ProjectName]]&amp;OutputTable[[#This Row],[Name]]&amp;OutputTable[[#This Row],[Type]]&amp;OutputTable[[#This Row],[Source]]</f>
        <v>Unnamed Projectassembler.NumberSeizedTotal Number SeizedResource</v>
      </c>
      <c r="J381" s="5">
        <f t="array" ref="J381">MAX(IF((ProjectInfoTable[ProjectName]=OutputTable[[#This Row],[ProjectName]]),(ProjectInfoTable[ProjectName]=OutputTable[[#This Row],[ProjectName]])*ProjectInfoTable[NumberOfReplications]))</f>
        <v>15</v>
      </c>
      <c r="K381" s="5">
        <f t="array" ref="K381">IFERROR(AVERAGE(IF((OutputTable[GroupByKey]=OutputTable[[#This Row],[GroupByKey]]),(OutputTable[GroupByKey]=OutputTable[[#This Row],[GroupByKey]])*OutputTable[RecordedValue])),0)</f>
        <v>0</v>
      </c>
      <c r="L381" s="5">
        <f t="array" ref="L381">IFERROR(_xlfn.STDEV.S(IF((OutputTable[GroupByKey]=OutputTable[[#This Row],[GroupByKey]]),(OutputTable[GroupByKey]=OutputTable[[#This Row],[GroupByKey]])*OutputTable[RecordedValue])),0)</f>
        <v>0</v>
      </c>
      <c r="M381" s="5">
        <f t="array" ref="M381">MAX(IF((ProjectInfoTable[ProjectName]=OutputTable[[#This Row],[ProjectName]]),(ProjectInfoTable[ProjectName]=OutputTable[[#This Row],[ProjectName]])*ProjectInfoTable[ConfidenceInterval]))</f>
        <v>0.95</v>
      </c>
      <c r="N3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1" s="5">
        <f t="array" ref="O381">MIN(IF((OutputTable[GroupByKey]=OutputTable[[#This Row],[GroupByKey]]),(OutputTable[GroupByKey]=OutputTable[[#This Row],[GroupByKey]])*OutputTable[RecordedValue]))</f>
        <v>0</v>
      </c>
      <c r="P381" s="5">
        <f t="array" ref="P381">MAX(IF((OutputTable[GroupByKey]=OutputTable[[#This Row],[GroupByKey]]),(OutputTable[GroupByKey]=OutputTable[[#This Row],[GroupByKey]])*OutputTable[RecordedValue]))</f>
        <v>0</v>
      </c>
    </row>
    <row r="382" spans="1:16" x14ac:dyDescent="0.25">
      <c r="A382" t="s">
        <v>67</v>
      </c>
      <c r="B382" t="s">
        <v>70</v>
      </c>
      <c r="C382">
        <v>15</v>
      </c>
      <c r="D382" t="s">
        <v>115</v>
      </c>
      <c r="E382" t="s">
        <v>116</v>
      </c>
      <c r="F382" t="s">
        <v>73</v>
      </c>
      <c r="G382">
        <v>0</v>
      </c>
      <c r="H382">
        <v>0</v>
      </c>
      <c r="I382" s="5" t="str">
        <f>OutputTable[[#This Row],[ProjectName]]&amp;OutputTable[[#This Row],[Name]]&amp;OutputTable[[#This Row],[Type]]&amp;OutputTable[[#This Row],[Source]]</f>
        <v>Unnamed Projectassembler.ScheduledUtilizationScheduled UtilizationResource</v>
      </c>
      <c r="J382" s="5">
        <f t="array" ref="J382">MAX(IF((ProjectInfoTable[ProjectName]=OutputTable[[#This Row],[ProjectName]]),(ProjectInfoTable[ProjectName]=OutputTable[[#This Row],[ProjectName]])*ProjectInfoTable[NumberOfReplications]))</f>
        <v>15</v>
      </c>
      <c r="K382" s="5">
        <f t="array" ref="K382">IFERROR(AVERAGE(IF((OutputTable[GroupByKey]=OutputTable[[#This Row],[GroupByKey]]),(OutputTable[GroupByKey]=OutputTable[[#This Row],[GroupByKey]])*OutputTable[RecordedValue])),0)</f>
        <v>0</v>
      </c>
      <c r="L382" s="5">
        <f t="array" ref="L382">IFERROR(_xlfn.STDEV.S(IF((OutputTable[GroupByKey]=OutputTable[[#This Row],[GroupByKey]]),(OutputTable[GroupByKey]=OutputTable[[#This Row],[GroupByKey]])*OutputTable[RecordedValue])),0)</f>
        <v>0</v>
      </c>
      <c r="M382" s="5">
        <f t="array" ref="M382">MAX(IF((ProjectInfoTable[ProjectName]=OutputTable[[#This Row],[ProjectName]]),(ProjectInfoTable[ProjectName]=OutputTable[[#This Row],[ProjectName]])*ProjectInfoTable[ConfidenceInterval]))</f>
        <v>0.95</v>
      </c>
      <c r="N3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2" s="5">
        <f t="array" ref="O382">MIN(IF((OutputTable[GroupByKey]=OutputTable[[#This Row],[GroupByKey]]),(OutputTable[GroupByKey]=OutputTable[[#This Row],[GroupByKey]])*OutputTable[RecordedValue]))</f>
        <v>0</v>
      </c>
      <c r="P382" s="5">
        <f t="array" ref="P382">MAX(IF((OutputTable[GroupByKey]=OutputTable[[#This Row],[GroupByKey]]),(OutputTable[GroupByKey]=OutputTable[[#This Row],[GroupByKey]])*OutputTable[RecordedValue]))</f>
        <v>0</v>
      </c>
    </row>
    <row r="383" spans="1:16" x14ac:dyDescent="0.25">
      <c r="A383" t="s">
        <v>67</v>
      </c>
      <c r="B383" t="s">
        <v>70</v>
      </c>
      <c r="C383">
        <v>15</v>
      </c>
      <c r="D383" t="s">
        <v>117</v>
      </c>
      <c r="E383" t="s">
        <v>114</v>
      </c>
      <c r="F383" t="s">
        <v>73</v>
      </c>
      <c r="G383">
        <v>0</v>
      </c>
      <c r="H383">
        <v>0</v>
      </c>
      <c r="I383" s="5" t="str">
        <f>OutputTable[[#This Row],[ProjectName]]&amp;OutputTable[[#This Row],[Name]]&amp;OutputTable[[#This Row],[Type]]&amp;OutputTable[[#This Row],[Source]]</f>
        <v>Unnamed Projectassemblyqcworker.NumberSeizedTotal Number SeizedResource</v>
      </c>
      <c r="J383" s="5">
        <f t="array" ref="J383">MAX(IF((ProjectInfoTable[ProjectName]=OutputTable[[#This Row],[ProjectName]]),(ProjectInfoTable[ProjectName]=OutputTable[[#This Row],[ProjectName]])*ProjectInfoTable[NumberOfReplications]))</f>
        <v>15</v>
      </c>
      <c r="K383" s="5">
        <f t="array" ref="K383">IFERROR(AVERAGE(IF((OutputTable[GroupByKey]=OutputTable[[#This Row],[GroupByKey]]),(OutputTable[GroupByKey]=OutputTable[[#This Row],[GroupByKey]])*OutputTable[RecordedValue])),0)</f>
        <v>0</v>
      </c>
      <c r="L383" s="5">
        <f t="array" ref="L383">IFERROR(_xlfn.STDEV.S(IF((OutputTable[GroupByKey]=OutputTable[[#This Row],[GroupByKey]]),(OutputTable[GroupByKey]=OutputTable[[#This Row],[GroupByKey]])*OutputTable[RecordedValue])),0)</f>
        <v>0</v>
      </c>
      <c r="M383" s="5">
        <f t="array" ref="M383">MAX(IF((ProjectInfoTable[ProjectName]=OutputTable[[#This Row],[ProjectName]]),(ProjectInfoTable[ProjectName]=OutputTable[[#This Row],[ProjectName]])*ProjectInfoTable[ConfidenceInterval]))</f>
        <v>0.95</v>
      </c>
      <c r="N3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3" s="5">
        <f t="array" ref="O383">MIN(IF((OutputTable[GroupByKey]=OutputTable[[#This Row],[GroupByKey]]),(OutputTable[GroupByKey]=OutputTable[[#This Row],[GroupByKey]])*OutputTable[RecordedValue]))</f>
        <v>0</v>
      </c>
      <c r="P383" s="5">
        <f t="array" ref="P383">MAX(IF((OutputTable[GroupByKey]=OutputTable[[#This Row],[GroupByKey]]),(OutputTable[GroupByKey]=OutputTable[[#This Row],[GroupByKey]])*OutputTable[RecordedValue]))</f>
        <v>0</v>
      </c>
    </row>
    <row r="384" spans="1:16" x14ac:dyDescent="0.25">
      <c r="A384" t="s">
        <v>67</v>
      </c>
      <c r="B384" t="s">
        <v>70</v>
      </c>
      <c r="C384">
        <v>15</v>
      </c>
      <c r="D384" t="s">
        <v>118</v>
      </c>
      <c r="E384" t="s">
        <v>116</v>
      </c>
      <c r="F384" t="s">
        <v>73</v>
      </c>
      <c r="G384">
        <v>0</v>
      </c>
      <c r="H384">
        <v>0</v>
      </c>
      <c r="I384" s="5" t="str">
        <f>OutputTable[[#This Row],[ProjectName]]&amp;OutputTable[[#This Row],[Name]]&amp;OutputTable[[#This Row],[Type]]&amp;OutputTable[[#This Row],[Source]]</f>
        <v>Unnamed Projectassemblyqcworker.ScheduledUtilizationScheduled UtilizationResource</v>
      </c>
      <c r="J384" s="5">
        <f t="array" ref="J384">MAX(IF((ProjectInfoTable[ProjectName]=OutputTable[[#This Row],[ProjectName]]),(ProjectInfoTable[ProjectName]=OutputTable[[#This Row],[ProjectName]])*ProjectInfoTable[NumberOfReplications]))</f>
        <v>15</v>
      </c>
      <c r="K384" s="5">
        <f t="array" ref="K384">IFERROR(AVERAGE(IF((OutputTable[GroupByKey]=OutputTable[[#This Row],[GroupByKey]]),(OutputTable[GroupByKey]=OutputTable[[#This Row],[GroupByKey]])*OutputTable[RecordedValue])),0)</f>
        <v>0</v>
      </c>
      <c r="L384" s="5">
        <f t="array" ref="L384">IFERROR(_xlfn.STDEV.S(IF((OutputTable[GroupByKey]=OutputTable[[#This Row],[GroupByKey]]),(OutputTable[GroupByKey]=OutputTable[[#This Row],[GroupByKey]])*OutputTable[RecordedValue])),0)</f>
        <v>0</v>
      </c>
      <c r="M384" s="5">
        <f t="array" ref="M384">MAX(IF((ProjectInfoTable[ProjectName]=OutputTable[[#This Row],[ProjectName]]),(ProjectInfoTable[ProjectName]=OutputTable[[#This Row],[ProjectName]])*ProjectInfoTable[ConfidenceInterval]))</f>
        <v>0.95</v>
      </c>
      <c r="N3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4" s="5">
        <f t="array" ref="O384">MIN(IF((OutputTable[GroupByKey]=OutputTable[[#This Row],[GroupByKey]]),(OutputTable[GroupByKey]=OutputTable[[#This Row],[GroupByKey]])*OutputTable[RecordedValue]))</f>
        <v>0</v>
      </c>
      <c r="P384" s="5">
        <f t="array" ref="P384">MAX(IF((OutputTable[GroupByKey]=OutputTable[[#This Row],[GroupByKey]]),(OutputTable[GroupByKey]=OutputTable[[#This Row],[GroupByKey]])*OutputTable[RecordedValue]))</f>
        <v>0</v>
      </c>
    </row>
    <row r="385" spans="1:16" x14ac:dyDescent="0.25">
      <c r="A385" t="s">
        <v>67</v>
      </c>
      <c r="B385" t="s">
        <v>70</v>
      </c>
      <c r="C385">
        <v>15</v>
      </c>
      <c r="D385" t="s">
        <v>119</v>
      </c>
      <c r="E385" t="s">
        <v>120</v>
      </c>
      <c r="F385" t="s">
        <v>79</v>
      </c>
      <c r="G385">
        <v>0</v>
      </c>
      <c r="H385">
        <v>0</v>
      </c>
      <c r="I385" s="5" t="str">
        <f>OutputTable[[#This Row],[ProjectName]]&amp;OutputTable[[#This Row],[Name]]&amp;OutputTable[[#This Row],[Type]]&amp;OutputTable[[#This Row],[Source]]</f>
        <v>Unnamed Projectbatched_parts.NumberInNumber InEntity</v>
      </c>
      <c r="J385" s="5">
        <f t="array" ref="J385">MAX(IF((ProjectInfoTable[ProjectName]=OutputTable[[#This Row],[ProjectName]]),(ProjectInfoTable[ProjectName]=OutputTable[[#This Row],[ProjectName]])*ProjectInfoTable[NumberOfReplications]))</f>
        <v>15</v>
      </c>
      <c r="K385" s="5">
        <f t="array" ref="K385">IFERROR(AVERAGE(IF((OutputTable[GroupByKey]=OutputTable[[#This Row],[GroupByKey]]),(OutputTable[GroupByKey]=OutputTable[[#This Row],[GroupByKey]])*OutputTable[RecordedValue])),0)</f>
        <v>0</v>
      </c>
      <c r="L385" s="5">
        <f t="array" ref="L385">IFERROR(_xlfn.STDEV.S(IF((OutputTable[GroupByKey]=OutputTable[[#This Row],[GroupByKey]]),(OutputTable[GroupByKey]=OutputTable[[#This Row],[GroupByKey]])*OutputTable[RecordedValue])),0)</f>
        <v>0</v>
      </c>
      <c r="M385" s="5">
        <f t="array" ref="M385">MAX(IF((ProjectInfoTable[ProjectName]=OutputTable[[#This Row],[ProjectName]]),(ProjectInfoTable[ProjectName]=OutputTable[[#This Row],[ProjectName]])*ProjectInfoTable[ConfidenceInterval]))</f>
        <v>0.95</v>
      </c>
      <c r="N3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5" s="5">
        <f t="array" ref="O385">MIN(IF((OutputTable[GroupByKey]=OutputTable[[#This Row],[GroupByKey]]),(OutputTable[GroupByKey]=OutputTable[[#This Row],[GroupByKey]])*OutputTable[RecordedValue]))</f>
        <v>0</v>
      </c>
      <c r="P385" s="5">
        <f t="array" ref="P385">MAX(IF((OutputTable[GroupByKey]=OutputTable[[#This Row],[GroupByKey]]),(OutputTable[GroupByKey]=OutputTable[[#This Row],[GroupByKey]])*OutputTable[RecordedValue]))</f>
        <v>0</v>
      </c>
    </row>
    <row r="386" spans="1:16" x14ac:dyDescent="0.25">
      <c r="A386" t="s">
        <v>67</v>
      </c>
      <c r="B386" t="s">
        <v>70</v>
      </c>
      <c r="C386">
        <v>15</v>
      </c>
      <c r="D386" t="s">
        <v>121</v>
      </c>
      <c r="E386" t="s">
        <v>111</v>
      </c>
      <c r="F386" t="s">
        <v>79</v>
      </c>
      <c r="G386">
        <v>0</v>
      </c>
      <c r="H386">
        <v>0</v>
      </c>
      <c r="I386" s="5" t="str">
        <f>OutputTable[[#This Row],[ProjectName]]&amp;OutputTable[[#This Row],[Name]]&amp;OutputTable[[#This Row],[Type]]&amp;OutputTable[[#This Row],[Source]]</f>
        <v>Unnamed Projectbatched_parts.NumberOutNumber OutEntity</v>
      </c>
      <c r="J386" s="5">
        <f t="array" ref="J386">MAX(IF((ProjectInfoTable[ProjectName]=OutputTable[[#This Row],[ProjectName]]),(ProjectInfoTable[ProjectName]=OutputTable[[#This Row],[ProjectName]])*ProjectInfoTable[NumberOfReplications]))</f>
        <v>15</v>
      </c>
      <c r="K386" s="5">
        <f t="array" ref="K386">IFERROR(AVERAGE(IF((OutputTable[GroupByKey]=OutputTable[[#This Row],[GroupByKey]]),(OutputTable[GroupByKey]=OutputTable[[#This Row],[GroupByKey]])*OutputTable[RecordedValue])),0)</f>
        <v>0</v>
      </c>
      <c r="L386" s="5">
        <f t="array" ref="L386">IFERROR(_xlfn.STDEV.S(IF((OutputTable[GroupByKey]=OutputTable[[#This Row],[GroupByKey]]),(OutputTable[GroupByKey]=OutputTable[[#This Row],[GroupByKey]])*OutputTable[RecordedValue])),0)</f>
        <v>0</v>
      </c>
      <c r="M386" s="5">
        <f t="array" ref="M386">MAX(IF((ProjectInfoTable[ProjectName]=OutputTable[[#This Row],[ProjectName]]),(ProjectInfoTable[ProjectName]=OutputTable[[#This Row],[ProjectName]])*ProjectInfoTable[ConfidenceInterval]))</f>
        <v>0.95</v>
      </c>
      <c r="N3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6" s="5">
        <f t="array" ref="O386">MIN(IF((OutputTable[GroupByKey]=OutputTable[[#This Row],[GroupByKey]]),(OutputTable[GroupByKey]=OutputTable[[#This Row],[GroupByKey]])*OutputTable[RecordedValue]))</f>
        <v>0</v>
      </c>
      <c r="P386" s="5">
        <f t="array" ref="P386">MAX(IF((OutputTable[GroupByKey]=OutputTable[[#This Row],[GroupByKey]]),(OutputTable[GroupByKey]=OutputTable[[#This Row],[GroupByKey]])*OutputTable[RecordedValue]))</f>
        <v>0</v>
      </c>
    </row>
    <row r="387" spans="1:16" x14ac:dyDescent="0.25">
      <c r="A387" t="s">
        <v>67</v>
      </c>
      <c r="B387" t="s">
        <v>70</v>
      </c>
      <c r="C387">
        <v>15</v>
      </c>
      <c r="D387" t="s">
        <v>122</v>
      </c>
      <c r="E387" t="s">
        <v>114</v>
      </c>
      <c r="F387" t="s">
        <v>73</v>
      </c>
      <c r="G387">
        <v>0</v>
      </c>
      <c r="H387">
        <v>0</v>
      </c>
      <c r="I387" s="5" t="str">
        <f>OutputTable[[#This Row],[ProjectName]]&amp;OutputTable[[#This Row],[Name]]&amp;OutputTable[[#This Row],[Type]]&amp;OutputTable[[#This Row],[Source]]</f>
        <v>Unnamed Projectcleaner.NumberSeizedTotal Number SeizedResource</v>
      </c>
      <c r="J387" s="5">
        <f t="array" ref="J387">MAX(IF((ProjectInfoTable[ProjectName]=OutputTable[[#This Row],[ProjectName]]),(ProjectInfoTable[ProjectName]=OutputTable[[#This Row],[ProjectName]])*ProjectInfoTable[NumberOfReplications]))</f>
        <v>15</v>
      </c>
      <c r="K387" s="5">
        <f t="array" ref="K387">IFERROR(AVERAGE(IF((OutputTable[GroupByKey]=OutputTable[[#This Row],[GroupByKey]]),(OutputTable[GroupByKey]=OutputTable[[#This Row],[GroupByKey]])*OutputTable[RecordedValue])),0)</f>
        <v>0</v>
      </c>
      <c r="L387" s="5">
        <f t="array" ref="L387">IFERROR(_xlfn.STDEV.S(IF((OutputTable[GroupByKey]=OutputTable[[#This Row],[GroupByKey]]),(OutputTable[GroupByKey]=OutputTable[[#This Row],[GroupByKey]])*OutputTable[RecordedValue])),0)</f>
        <v>0</v>
      </c>
      <c r="M387" s="5">
        <f t="array" ref="M387">MAX(IF((ProjectInfoTable[ProjectName]=OutputTable[[#This Row],[ProjectName]]),(ProjectInfoTable[ProjectName]=OutputTable[[#This Row],[ProjectName]])*ProjectInfoTable[ConfidenceInterval]))</f>
        <v>0.95</v>
      </c>
      <c r="N3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7" s="5">
        <f t="array" ref="O387">MIN(IF((OutputTable[GroupByKey]=OutputTable[[#This Row],[GroupByKey]]),(OutputTable[GroupByKey]=OutputTable[[#This Row],[GroupByKey]])*OutputTable[RecordedValue]))</f>
        <v>0</v>
      </c>
      <c r="P387" s="5">
        <f t="array" ref="P387">MAX(IF((OutputTable[GroupByKey]=OutputTable[[#This Row],[GroupByKey]]),(OutputTable[GroupByKey]=OutputTable[[#This Row],[GroupByKey]])*OutputTable[RecordedValue]))</f>
        <v>0</v>
      </c>
    </row>
    <row r="388" spans="1:16" x14ac:dyDescent="0.25">
      <c r="A388" t="s">
        <v>67</v>
      </c>
      <c r="B388" t="s">
        <v>70</v>
      </c>
      <c r="C388">
        <v>15</v>
      </c>
      <c r="D388" t="s">
        <v>123</v>
      </c>
      <c r="E388" t="s">
        <v>116</v>
      </c>
      <c r="F388" t="s">
        <v>73</v>
      </c>
      <c r="G388">
        <v>0</v>
      </c>
      <c r="H388">
        <v>0</v>
      </c>
      <c r="I388" s="5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388" s="5">
        <f t="array" ref="J388">MAX(IF((ProjectInfoTable[ProjectName]=OutputTable[[#This Row],[ProjectName]]),(ProjectInfoTable[ProjectName]=OutputTable[[#This Row],[ProjectName]])*ProjectInfoTable[NumberOfReplications]))</f>
        <v>15</v>
      </c>
      <c r="K388" s="5">
        <f t="array" ref="K388">IFERROR(AVERAGE(IF((OutputTable[GroupByKey]=OutputTable[[#This Row],[GroupByKey]]),(OutputTable[GroupByKey]=OutputTable[[#This Row],[GroupByKey]])*OutputTable[RecordedValue])),0)</f>
        <v>0</v>
      </c>
      <c r="L388" s="5">
        <f t="array" ref="L388">IFERROR(_xlfn.STDEV.S(IF((OutputTable[GroupByKey]=OutputTable[[#This Row],[GroupByKey]]),(OutputTable[GroupByKey]=OutputTable[[#This Row],[GroupByKey]])*OutputTable[RecordedValue])),0)</f>
        <v>0</v>
      </c>
      <c r="M388" s="5">
        <f t="array" ref="M388">MAX(IF((ProjectInfoTable[ProjectName]=OutputTable[[#This Row],[ProjectName]]),(ProjectInfoTable[ProjectName]=OutputTable[[#This Row],[ProjectName]])*ProjectInfoTable[ConfidenceInterval]))</f>
        <v>0.95</v>
      </c>
      <c r="N3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8" s="5">
        <f t="array" ref="O388">MIN(IF((OutputTable[GroupByKey]=OutputTable[[#This Row],[GroupByKey]]),(OutputTable[GroupByKey]=OutputTable[[#This Row],[GroupByKey]])*OutputTable[RecordedValue]))</f>
        <v>0</v>
      </c>
      <c r="P388" s="5">
        <f t="array" ref="P388">MAX(IF((OutputTable[GroupByKey]=OutputTable[[#This Row],[GroupByKey]]),(OutputTable[GroupByKey]=OutputTable[[#This Row],[GroupByKey]])*OutputTable[RecordedValue]))</f>
        <v>0</v>
      </c>
    </row>
    <row r="389" spans="1:16" x14ac:dyDescent="0.25">
      <c r="A389" t="s">
        <v>67</v>
      </c>
      <c r="B389" t="s">
        <v>70</v>
      </c>
      <c r="C389">
        <v>15</v>
      </c>
      <c r="D389" t="s">
        <v>124</v>
      </c>
      <c r="E389" t="s">
        <v>114</v>
      </c>
      <c r="F389" t="s">
        <v>73</v>
      </c>
      <c r="G389">
        <v>0</v>
      </c>
      <c r="H389">
        <v>0</v>
      </c>
      <c r="I389" s="5" t="str">
        <f>OutputTable[[#This Row],[ProjectName]]&amp;OutputTable[[#This Row],[Name]]&amp;OutputTable[[#This Row],[Type]]&amp;OutputTable[[#This Row],[Source]]</f>
        <v>Unnamed Projectcutter.NumberSeizedTotal Number SeizedResource</v>
      </c>
      <c r="J389" s="5">
        <f t="array" ref="J389">MAX(IF((ProjectInfoTable[ProjectName]=OutputTable[[#This Row],[ProjectName]]),(ProjectInfoTable[ProjectName]=OutputTable[[#This Row],[ProjectName]])*ProjectInfoTable[NumberOfReplications]))</f>
        <v>15</v>
      </c>
      <c r="K389" s="5">
        <f t="array" ref="K389">IFERROR(AVERAGE(IF((OutputTable[GroupByKey]=OutputTable[[#This Row],[GroupByKey]]),(OutputTable[GroupByKey]=OutputTable[[#This Row],[GroupByKey]])*OutputTable[RecordedValue])),0)</f>
        <v>0</v>
      </c>
      <c r="L389" s="5">
        <f t="array" ref="L389">IFERROR(_xlfn.STDEV.S(IF((OutputTable[GroupByKey]=OutputTable[[#This Row],[GroupByKey]]),(OutputTable[GroupByKey]=OutputTable[[#This Row],[GroupByKey]])*OutputTable[RecordedValue])),0)</f>
        <v>0</v>
      </c>
      <c r="M389" s="5">
        <f t="array" ref="M389">MAX(IF((ProjectInfoTable[ProjectName]=OutputTable[[#This Row],[ProjectName]]),(ProjectInfoTable[ProjectName]=OutputTable[[#This Row],[ProjectName]])*ProjectInfoTable[ConfidenceInterval]))</f>
        <v>0.95</v>
      </c>
      <c r="N3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89" s="5">
        <f t="array" ref="O389">MIN(IF((OutputTable[GroupByKey]=OutputTable[[#This Row],[GroupByKey]]),(OutputTable[GroupByKey]=OutputTable[[#This Row],[GroupByKey]])*OutputTable[RecordedValue]))</f>
        <v>0</v>
      </c>
      <c r="P389" s="5">
        <f t="array" ref="P389">MAX(IF((OutputTable[GroupByKey]=OutputTable[[#This Row],[GroupByKey]]),(OutputTable[GroupByKey]=OutputTable[[#This Row],[GroupByKey]])*OutputTable[RecordedValue]))</f>
        <v>0</v>
      </c>
    </row>
    <row r="390" spans="1:16" x14ac:dyDescent="0.25">
      <c r="A390" t="s">
        <v>67</v>
      </c>
      <c r="B390" t="s">
        <v>70</v>
      </c>
      <c r="C390">
        <v>15</v>
      </c>
      <c r="D390" t="s">
        <v>125</v>
      </c>
      <c r="E390" t="s">
        <v>116</v>
      </c>
      <c r="F390" t="s">
        <v>73</v>
      </c>
      <c r="G390">
        <v>0</v>
      </c>
      <c r="H390">
        <v>0</v>
      </c>
      <c r="I390" s="5" t="str">
        <f>OutputTable[[#This Row],[ProjectName]]&amp;OutputTable[[#This Row],[Name]]&amp;OutputTable[[#This Row],[Type]]&amp;OutputTable[[#This Row],[Source]]</f>
        <v>Unnamed Projectcutter.ScheduledUtilizationScheduled UtilizationResource</v>
      </c>
      <c r="J390" s="5">
        <f t="array" ref="J390">MAX(IF((ProjectInfoTable[ProjectName]=OutputTable[[#This Row],[ProjectName]]),(ProjectInfoTable[ProjectName]=OutputTable[[#This Row],[ProjectName]])*ProjectInfoTable[NumberOfReplications]))</f>
        <v>15</v>
      </c>
      <c r="K390" s="5">
        <f t="array" ref="K390">IFERROR(AVERAGE(IF((OutputTable[GroupByKey]=OutputTable[[#This Row],[GroupByKey]]),(OutputTable[GroupByKey]=OutputTable[[#This Row],[GroupByKey]])*OutputTable[RecordedValue])),0)</f>
        <v>0</v>
      </c>
      <c r="L390" s="5">
        <f t="array" ref="L390">IFERROR(_xlfn.STDEV.S(IF((OutputTable[GroupByKey]=OutputTable[[#This Row],[GroupByKey]]),(OutputTable[GroupByKey]=OutputTable[[#This Row],[GroupByKey]])*OutputTable[RecordedValue])),0)</f>
        <v>0</v>
      </c>
      <c r="M390" s="5">
        <f t="array" ref="M390">MAX(IF((ProjectInfoTable[ProjectName]=OutputTable[[#This Row],[ProjectName]]),(ProjectInfoTable[ProjectName]=OutputTable[[#This Row],[ProjectName]])*ProjectInfoTable[ConfidenceInterval]))</f>
        <v>0.95</v>
      </c>
      <c r="N3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0" s="5">
        <f t="array" ref="O390">MIN(IF((OutputTable[GroupByKey]=OutputTable[[#This Row],[GroupByKey]]),(OutputTable[GroupByKey]=OutputTable[[#This Row],[GroupByKey]])*OutputTable[RecordedValue]))</f>
        <v>0</v>
      </c>
      <c r="P390" s="5">
        <f t="array" ref="P390">MAX(IF((OutputTable[GroupByKey]=OutputTable[[#This Row],[GroupByKey]]),(OutputTable[GroupByKey]=OutputTable[[#This Row],[GroupByKey]])*OutputTable[RecordedValue]))</f>
        <v>0</v>
      </c>
    </row>
    <row r="391" spans="1:16" x14ac:dyDescent="0.25">
      <c r="A391" t="s">
        <v>67</v>
      </c>
      <c r="B391" t="s">
        <v>70</v>
      </c>
      <c r="C391">
        <v>15</v>
      </c>
      <c r="D391" t="s">
        <v>126</v>
      </c>
      <c r="E391" t="s">
        <v>114</v>
      </c>
      <c r="F391" t="s">
        <v>73</v>
      </c>
      <c r="G391">
        <v>0</v>
      </c>
      <c r="H391">
        <v>0</v>
      </c>
      <c r="I391" s="5" t="str">
        <f>OutputTable[[#This Row],[ProjectName]]&amp;OutputTable[[#This Row],[Name]]&amp;OutputTable[[#This Row],[Type]]&amp;OutputTable[[#This Row],[Source]]</f>
        <v>Unnamed Projectfinalqcman.NumberSeizedTotal Number SeizedResource</v>
      </c>
      <c r="J391" s="5">
        <f t="array" ref="J391">MAX(IF((ProjectInfoTable[ProjectName]=OutputTable[[#This Row],[ProjectName]]),(ProjectInfoTable[ProjectName]=OutputTable[[#This Row],[ProjectName]])*ProjectInfoTable[NumberOfReplications]))</f>
        <v>15</v>
      </c>
      <c r="K391" s="5">
        <f t="array" ref="K391">IFERROR(AVERAGE(IF((OutputTable[GroupByKey]=OutputTable[[#This Row],[GroupByKey]]),(OutputTable[GroupByKey]=OutputTable[[#This Row],[GroupByKey]])*OutputTable[RecordedValue])),0)</f>
        <v>0</v>
      </c>
      <c r="L391" s="5">
        <f t="array" ref="L391">IFERROR(_xlfn.STDEV.S(IF((OutputTable[GroupByKey]=OutputTable[[#This Row],[GroupByKey]]),(OutputTable[GroupByKey]=OutputTable[[#This Row],[GroupByKey]])*OutputTable[RecordedValue])),0)</f>
        <v>0</v>
      </c>
      <c r="M391" s="5">
        <f t="array" ref="M391">MAX(IF((ProjectInfoTable[ProjectName]=OutputTable[[#This Row],[ProjectName]]),(ProjectInfoTable[ProjectName]=OutputTable[[#This Row],[ProjectName]])*ProjectInfoTable[ConfidenceInterval]))</f>
        <v>0.95</v>
      </c>
      <c r="N3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1" s="5">
        <f t="array" ref="O391">MIN(IF((OutputTable[GroupByKey]=OutputTable[[#This Row],[GroupByKey]]),(OutputTable[GroupByKey]=OutputTable[[#This Row],[GroupByKey]])*OutputTable[RecordedValue]))</f>
        <v>0</v>
      </c>
      <c r="P391" s="5">
        <f t="array" ref="P391">MAX(IF((OutputTable[GroupByKey]=OutputTable[[#This Row],[GroupByKey]]),(OutputTable[GroupByKey]=OutputTable[[#This Row],[GroupByKey]])*OutputTable[RecordedValue]))</f>
        <v>0</v>
      </c>
    </row>
    <row r="392" spans="1:16" x14ac:dyDescent="0.25">
      <c r="A392" t="s">
        <v>67</v>
      </c>
      <c r="B392" t="s">
        <v>70</v>
      </c>
      <c r="C392">
        <v>15</v>
      </c>
      <c r="D392" t="s">
        <v>127</v>
      </c>
      <c r="E392" t="s">
        <v>116</v>
      </c>
      <c r="F392" t="s">
        <v>73</v>
      </c>
      <c r="G392">
        <v>0</v>
      </c>
      <c r="H392">
        <v>0</v>
      </c>
      <c r="I392" s="5" t="str">
        <f>OutputTable[[#This Row],[ProjectName]]&amp;OutputTable[[#This Row],[Name]]&amp;OutputTable[[#This Row],[Type]]&amp;OutputTable[[#This Row],[Source]]</f>
        <v>Unnamed Projectfinalqcman.ScheduledUtilizationScheduled UtilizationResource</v>
      </c>
      <c r="J392" s="5">
        <f t="array" ref="J392">MAX(IF((ProjectInfoTable[ProjectName]=OutputTable[[#This Row],[ProjectName]]),(ProjectInfoTable[ProjectName]=OutputTable[[#This Row],[ProjectName]])*ProjectInfoTable[NumberOfReplications]))</f>
        <v>15</v>
      </c>
      <c r="K392" s="5">
        <f t="array" ref="K392">IFERROR(AVERAGE(IF((OutputTable[GroupByKey]=OutputTable[[#This Row],[GroupByKey]]),(OutputTable[GroupByKey]=OutputTable[[#This Row],[GroupByKey]])*OutputTable[RecordedValue])),0)</f>
        <v>0</v>
      </c>
      <c r="L392" s="5">
        <f t="array" ref="L392">IFERROR(_xlfn.STDEV.S(IF((OutputTable[GroupByKey]=OutputTable[[#This Row],[GroupByKey]]),(OutputTable[GroupByKey]=OutputTable[[#This Row],[GroupByKey]])*OutputTable[RecordedValue])),0)</f>
        <v>0</v>
      </c>
      <c r="M392" s="5">
        <f t="array" ref="M392">MAX(IF((ProjectInfoTable[ProjectName]=OutputTable[[#This Row],[ProjectName]]),(ProjectInfoTable[ProjectName]=OutputTable[[#This Row],[ProjectName]])*ProjectInfoTable[ConfidenceInterval]))</f>
        <v>0.95</v>
      </c>
      <c r="N3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2" s="5">
        <f t="array" ref="O392">MIN(IF((OutputTable[GroupByKey]=OutputTable[[#This Row],[GroupByKey]]),(OutputTable[GroupByKey]=OutputTable[[#This Row],[GroupByKey]])*OutputTable[RecordedValue]))</f>
        <v>0</v>
      </c>
      <c r="P392" s="5">
        <f t="array" ref="P392">MAX(IF((OutputTable[GroupByKey]=OutputTable[[#This Row],[GroupByKey]]),(OutputTable[GroupByKey]=OutputTable[[#This Row],[GroupByKey]])*OutputTable[RecordedValue]))</f>
        <v>0</v>
      </c>
    </row>
    <row r="393" spans="1:16" x14ac:dyDescent="0.25">
      <c r="A393" t="s">
        <v>67</v>
      </c>
      <c r="B393" t="s">
        <v>70</v>
      </c>
      <c r="C393">
        <v>15</v>
      </c>
      <c r="D393" t="s">
        <v>128</v>
      </c>
      <c r="E393" t="s">
        <v>114</v>
      </c>
      <c r="F393" t="s">
        <v>73</v>
      </c>
      <c r="G393">
        <v>0</v>
      </c>
      <c r="H393">
        <v>0</v>
      </c>
      <c r="I393" s="5" t="str">
        <f>OutputTable[[#This Row],[ProjectName]]&amp;OutputTable[[#This Row],[Name]]&amp;OutputTable[[#This Row],[Type]]&amp;OutputTable[[#This Row],[Source]]</f>
        <v>Unnamed Projectpaintingmachine.NumberSeizedTotal Number SeizedResource</v>
      </c>
      <c r="J393" s="5">
        <f t="array" ref="J393">MAX(IF((ProjectInfoTable[ProjectName]=OutputTable[[#This Row],[ProjectName]]),(ProjectInfoTable[ProjectName]=OutputTable[[#This Row],[ProjectName]])*ProjectInfoTable[NumberOfReplications]))</f>
        <v>15</v>
      </c>
      <c r="K393" s="5">
        <f t="array" ref="K393">IFERROR(AVERAGE(IF((OutputTable[GroupByKey]=OutputTable[[#This Row],[GroupByKey]]),(OutputTable[GroupByKey]=OutputTable[[#This Row],[GroupByKey]])*OutputTable[RecordedValue])),0)</f>
        <v>0</v>
      </c>
      <c r="L393" s="5">
        <f t="array" ref="L393">IFERROR(_xlfn.STDEV.S(IF((OutputTable[GroupByKey]=OutputTable[[#This Row],[GroupByKey]]),(OutputTable[GroupByKey]=OutputTable[[#This Row],[GroupByKey]])*OutputTable[RecordedValue])),0)</f>
        <v>0</v>
      </c>
      <c r="M393" s="5">
        <f t="array" ref="M393">MAX(IF((ProjectInfoTable[ProjectName]=OutputTable[[#This Row],[ProjectName]]),(ProjectInfoTable[ProjectName]=OutputTable[[#This Row],[ProjectName]])*ProjectInfoTable[ConfidenceInterval]))</f>
        <v>0.95</v>
      </c>
      <c r="N3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3" s="5">
        <f t="array" ref="O393">MIN(IF((OutputTable[GroupByKey]=OutputTable[[#This Row],[GroupByKey]]),(OutputTable[GroupByKey]=OutputTable[[#This Row],[GroupByKey]])*OutputTable[RecordedValue]))</f>
        <v>0</v>
      </c>
      <c r="P393" s="5">
        <f t="array" ref="P393">MAX(IF((OutputTable[GroupByKey]=OutputTable[[#This Row],[GroupByKey]]),(OutputTable[GroupByKey]=OutputTable[[#This Row],[GroupByKey]])*OutputTable[RecordedValue]))</f>
        <v>0</v>
      </c>
    </row>
    <row r="394" spans="1:16" x14ac:dyDescent="0.25">
      <c r="A394" t="s">
        <v>67</v>
      </c>
      <c r="B394" t="s">
        <v>70</v>
      </c>
      <c r="C394">
        <v>15</v>
      </c>
      <c r="D394" t="s">
        <v>129</v>
      </c>
      <c r="E394" t="s">
        <v>116</v>
      </c>
      <c r="F394" t="s">
        <v>73</v>
      </c>
      <c r="G394">
        <v>0</v>
      </c>
      <c r="H394">
        <v>0</v>
      </c>
      <c r="I394" s="5" t="str">
        <f>OutputTable[[#This Row],[ProjectName]]&amp;OutputTable[[#This Row],[Name]]&amp;OutputTable[[#This Row],[Type]]&amp;OutputTable[[#This Row],[Source]]</f>
        <v>Unnamed Projectpaintingmachine.ScheduledUtilizationScheduled UtilizationResource</v>
      </c>
      <c r="J394" s="5">
        <f t="array" ref="J394">MAX(IF((ProjectInfoTable[ProjectName]=OutputTable[[#This Row],[ProjectName]]),(ProjectInfoTable[ProjectName]=OutputTable[[#This Row],[ProjectName]])*ProjectInfoTable[NumberOfReplications]))</f>
        <v>15</v>
      </c>
      <c r="K394" s="5">
        <f t="array" ref="K394">IFERROR(AVERAGE(IF((OutputTable[GroupByKey]=OutputTable[[#This Row],[GroupByKey]]),(OutputTable[GroupByKey]=OutputTable[[#This Row],[GroupByKey]])*OutputTable[RecordedValue])),0)</f>
        <v>0</v>
      </c>
      <c r="L394" s="5">
        <f t="array" ref="L394">IFERROR(_xlfn.STDEV.S(IF((OutputTable[GroupByKey]=OutputTable[[#This Row],[GroupByKey]]),(OutputTable[GroupByKey]=OutputTable[[#This Row],[GroupByKey]])*OutputTable[RecordedValue])),0)</f>
        <v>0</v>
      </c>
      <c r="M394" s="5">
        <f t="array" ref="M394">MAX(IF((ProjectInfoTable[ProjectName]=OutputTable[[#This Row],[ProjectName]]),(ProjectInfoTable[ProjectName]=OutputTable[[#This Row],[ProjectName]])*ProjectInfoTable[ConfidenceInterval]))</f>
        <v>0.95</v>
      </c>
      <c r="N3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4" s="5">
        <f t="array" ref="O394">MIN(IF((OutputTable[GroupByKey]=OutputTable[[#This Row],[GroupByKey]]),(OutputTable[GroupByKey]=OutputTable[[#This Row],[GroupByKey]])*OutputTable[RecordedValue]))</f>
        <v>0</v>
      </c>
      <c r="P394" s="5">
        <f t="array" ref="P394">MAX(IF((OutputTable[GroupByKey]=OutputTable[[#This Row],[GroupByKey]]),(OutputTable[GroupByKey]=OutputTable[[#This Row],[GroupByKey]])*OutputTable[RecordedValue]))</f>
        <v>0</v>
      </c>
    </row>
    <row r="395" spans="1:16" x14ac:dyDescent="0.25">
      <c r="A395" t="s">
        <v>67</v>
      </c>
      <c r="B395" t="s">
        <v>70</v>
      </c>
      <c r="C395">
        <v>15</v>
      </c>
      <c r="D395" t="s">
        <v>130</v>
      </c>
      <c r="E395" t="s">
        <v>114</v>
      </c>
      <c r="F395" t="s">
        <v>73</v>
      </c>
      <c r="G395">
        <v>0</v>
      </c>
      <c r="H395">
        <v>0</v>
      </c>
      <c r="I395" s="5" t="str">
        <f>OutputTable[[#This Row],[ProjectName]]&amp;OutputTable[[#This Row],[Name]]&amp;OutputTable[[#This Row],[Type]]&amp;OutputTable[[#This Row],[Source]]</f>
        <v>Unnamed Projectpaintingoperator.NumberSeizedTotal Number SeizedResource</v>
      </c>
      <c r="J395" s="5">
        <f t="array" ref="J395">MAX(IF((ProjectInfoTable[ProjectName]=OutputTable[[#This Row],[ProjectName]]),(ProjectInfoTable[ProjectName]=OutputTable[[#This Row],[ProjectName]])*ProjectInfoTable[NumberOfReplications]))</f>
        <v>15</v>
      </c>
      <c r="K395" s="5">
        <f t="array" ref="K395">IFERROR(AVERAGE(IF((OutputTable[GroupByKey]=OutputTable[[#This Row],[GroupByKey]]),(OutputTable[GroupByKey]=OutputTable[[#This Row],[GroupByKey]])*OutputTable[RecordedValue])),0)</f>
        <v>0</v>
      </c>
      <c r="L395" s="5">
        <f t="array" ref="L395">IFERROR(_xlfn.STDEV.S(IF((OutputTable[GroupByKey]=OutputTable[[#This Row],[GroupByKey]]),(OutputTable[GroupByKey]=OutputTable[[#This Row],[GroupByKey]])*OutputTable[RecordedValue])),0)</f>
        <v>0</v>
      </c>
      <c r="M395" s="5">
        <f t="array" ref="M395">MAX(IF((ProjectInfoTable[ProjectName]=OutputTable[[#This Row],[ProjectName]]),(ProjectInfoTable[ProjectName]=OutputTable[[#This Row],[ProjectName]])*ProjectInfoTable[ConfidenceInterval]))</f>
        <v>0.95</v>
      </c>
      <c r="N3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5" s="5">
        <f t="array" ref="O395">MIN(IF((OutputTable[GroupByKey]=OutputTable[[#This Row],[GroupByKey]]),(OutputTable[GroupByKey]=OutputTable[[#This Row],[GroupByKey]])*OutputTable[RecordedValue]))</f>
        <v>0</v>
      </c>
      <c r="P395" s="5">
        <f t="array" ref="P395">MAX(IF((OutputTable[GroupByKey]=OutputTable[[#This Row],[GroupByKey]]),(OutputTable[GroupByKey]=OutputTable[[#This Row],[GroupByKey]])*OutputTable[RecordedValue]))</f>
        <v>0</v>
      </c>
    </row>
    <row r="396" spans="1:16" x14ac:dyDescent="0.25">
      <c r="A396" t="s">
        <v>67</v>
      </c>
      <c r="B396" t="s">
        <v>70</v>
      </c>
      <c r="C396">
        <v>15</v>
      </c>
      <c r="D396" t="s">
        <v>131</v>
      </c>
      <c r="E396" t="s">
        <v>116</v>
      </c>
      <c r="F396" t="s">
        <v>73</v>
      </c>
      <c r="G396">
        <v>0</v>
      </c>
      <c r="H396">
        <v>0</v>
      </c>
      <c r="I396" s="5" t="str">
        <f>OutputTable[[#This Row],[ProjectName]]&amp;OutputTable[[#This Row],[Name]]&amp;OutputTable[[#This Row],[Type]]&amp;OutputTable[[#This Row],[Source]]</f>
        <v>Unnamed Projectpaintingoperator.ScheduledUtilizationScheduled UtilizationResource</v>
      </c>
      <c r="J396" s="5">
        <f t="array" ref="J396">MAX(IF((ProjectInfoTable[ProjectName]=OutputTable[[#This Row],[ProjectName]]),(ProjectInfoTable[ProjectName]=OutputTable[[#This Row],[ProjectName]])*ProjectInfoTable[NumberOfReplications]))</f>
        <v>15</v>
      </c>
      <c r="K396" s="5">
        <f t="array" ref="K396">IFERROR(AVERAGE(IF((OutputTable[GroupByKey]=OutputTable[[#This Row],[GroupByKey]]),(OutputTable[GroupByKey]=OutputTable[[#This Row],[GroupByKey]])*OutputTable[RecordedValue])),0)</f>
        <v>0</v>
      </c>
      <c r="L396" s="5">
        <f t="array" ref="L396">IFERROR(_xlfn.STDEV.S(IF((OutputTable[GroupByKey]=OutputTable[[#This Row],[GroupByKey]]),(OutputTable[GroupByKey]=OutputTable[[#This Row],[GroupByKey]])*OutputTable[RecordedValue])),0)</f>
        <v>0</v>
      </c>
      <c r="M396" s="5">
        <f t="array" ref="M396">MAX(IF((ProjectInfoTable[ProjectName]=OutputTable[[#This Row],[ProjectName]]),(ProjectInfoTable[ProjectName]=OutputTable[[#This Row],[ProjectName]])*ProjectInfoTable[ConfidenceInterval]))</f>
        <v>0.95</v>
      </c>
      <c r="N3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6" s="5">
        <f t="array" ref="O396">MIN(IF((OutputTable[GroupByKey]=OutputTable[[#This Row],[GroupByKey]]),(OutputTable[GroupByKey]=OutputTable[[#This Row],[GroupByKey]])*OutputTable[RecordedValue]))</f>
        <v>0</v>
      </c>
      <c r="P396" s="5">
        <f t="array" ref="P396">MAX(IF((OutputTable[GroupByKey]=OutputTable[[#This Row],[GroupByKey]]),(OutputTable[GroupByKey]=OutputTable[[#This Row],[GroupByKey]])*OutputTable[RecordedValue]))</f>
        <v>0</v>
      </c>
    </row>
    <row r="397" spans="1:16" x14ac:dyDescent="0.25">
      <c r="A397" t="s">
        <v>67</v>
      </c>
      <c r="B397" t="s">
        <v>70</v>
      </c>
      <c r="C397">
        <v>15</v>
      </c>
      <c r="D397" t="s">
        <v>132</v>
      </c>
      <c r="E397" t="s">
        <v>114</v>
      </c>
      <c r="F397" t="s">
        <v>73</v>
      </c>
      <c r="G397">
        <v>0</v>
      </c>
      <c r="H397">
        <v>0</v>
      </c>
      <c r="I397" s="5" t="str">
        <f>OutputTable[[#This Row],[ProjectName]]&amp;OutputTable[[#This Row],[Name]]&amp;OutputTable[[#This Row],[Type]]&amp;OutputTable[[#This Row],[Source]]</f>
        <v>Unnamed Projectsandblastmachine.NumberSeizedTotal Number SeizedResource</v>
      </c>
      <c r="J397" s="5">
        <f t="array" ref="J397">MAX(IF((ProjectInfoTable[ProjectName]=OutputTable[[#This Row],[ProjectName]]),(ProjectInfoTable[ProjectName]=OutputTable[[#This Row],[ProjectName]])*ProjectInfoTable[NumberOfReplications]))</f>
        <v>15</v>
      </c>
      <c r="K397" s="5">
        <f t="array" ref="K397">IFERROR(AVERAGE(IF((OutputTable[GroupByKey]=OutputTable[[#This Row],[GroupByKey]]),(OutputTable[GroupByKey]=OutputTable[[#This Row],[GroupByKey]])*OutputTable[RecordedValue])),0)</f>
        <v>0</v>
      </c>
      <c r="L397" s="5">
        <f t="array" ref="L397">IFERROR(_xlfn.STDEV.S(IF((OutputTable[GroupByKey]=OutputTable[[#This Row],[GroupByKey]]),(OutputTable[GroupByKey]=OutputTable[[#This Row],[GroupByKey]])*OutputTable[RecordedValue])),0)</f>
        <v>0</v>
      </c>
      <c r="M397" s="5">
        <f t="array" ref="M397">MAX(IF((ProjectInfoTable[ProjectName]=OutputTable[[#This Row],[ProjectName]]),(ProjectInfoTable[ProjectName]=OutputTable[[#This Row],[ProjectName]])*ProjectInfoTable[ConfidenceInterval]))</f>
        <v>0.95</v>
      </c>
      <c r="N3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7" s="5">
        <f t="array" ref="O397">MIN(IF((OutputTable[GroupByKey]=OutputTable[[#This Row],[GroupByKey]]),(OutputTable[GroupByKey]=OutputTable[[#This Row],[GroupByKey]])*OutputTable[RecordedValue]))</f>
        <v>0</v>
      </c>
      <c r="P397" s="5">
        <f t="array" ref="P397">MAX(IF((OutputTable[GroupByKey]=OutputTable[[#This Row],[GroupByKey]]),(OutputTable[GroupByKey]=OutputTable[[#This Row],[GroupByKey]])*OutputTable[RecordedValue]))</f>
        <v>0</v>
      </c>
    </row>
    <row r="398" spans="1:16" x14ac:dyDescent="0.25">
      <c r="A398" t="s">
        <v>67</v>
      </c>
      <c r="B398" t="s">
        <v>70</v>
      </c>
      <c r="C398">
        <v>15</v>
      </c>
      <c r="D398" t="s">
        <v>133</v>
      </c>
      <c r="E398" t="s">
        <v>116</v>
      </c>
      <c r="F398" t="s">
        <v>73</v>
      </c>
      <c r="G398">
        <v>0</v>
      </c>
      <c r="H398">
        <v>0</v>
      </c>
      <c r="I398" s="5" t="str">
        <f>OutputTable[[#This Row],[ProjectName]]&amp;OutputTable[[#This Row],[Name]]&amp;OutputTable[[#This Row],[Type]]&amp;OutputTable[[#This Row],[Source]]</f>
        <v>Unnamed Projectsandblastmachine.ScheduledUtilizationScheduled UtilizationResource</v>
      </c>
      <c r="J398" s="5">
        <f t="array" ref="J398">MAX(IF((ProjectInfoTable[ProjectName]=OutputTable[[#This Row],[ProjectName]]),(ProjectInfoTable[ProjectName]=OutputTable[[#This Row],[ProjectName]])*ProjectInfoTable[NumberOfReplications]))</f>
        <v>15</v>
      </c>
      <c r="K398" s="5">
        <f t="array" ref="K398">IFERROR(AVERAGE(IF((OutputTable[GroupByKey]=OutputTable[[#This Row],[GroupByKey]]),(OutputTable[GroupByKey]=OutputTable[[#This Row],[GroupByKey]])*OutputTable[RecordedValue])),0)</f>
        <v>0</v>
      </c>
      <c r="L398" s="5">
        <f t="array" ref="L398">IFERROR(_xlfn.STDEV.S(IF((OutputTable[GroupByKey]=OutputTable[[#This Row],[GroupByKey]]),(OutputTable[GroupByKey]=OutputTable[[#This Row],[GroupByKey]])*OutputTable[RecordedValue])),0)</f>
        <v>0</v>
      </c>
      <c r="M398" s="5">
        <f t="array" ref="M398">MAX(IF((ProjectInfoTable[ProjectName]=OutputTable[[#This Row],[ProjectName]]),(ProjectInfoTable[ProjectName]=OutputTable[[#This Row],[ProjectName]])*ProjectInfoTable[ConfidenceInterval]))</f>
        <v>0.95</v>
      </c>
      <c r="N3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8" s="5">
        <f t="array" ref="O398">MIN(IF((OutputTable[GroupByKey]=OutputTable[[#This Row],[GroupByKey]]),(OutputTable[GroupByKey]=OutputTable[[#This Row],[GroupByKey]])*OutputTable[RecordedValue]))</f>
        <v>0</v>
      </c>
      <c r="P398" s="5">
        <f t="array" ref="P398">MAX(IF((OutputTable[GroupByKey]=OutputTable[[#This Row],[GroupByKey]]),(OutputTable[GroupByKey]=OutputTable[[#This Row],[GroupByKey]])*OutputTable[RecordedValue]))</f>
        <v>0</v>
      </c>
    </row>
    <row r="399" spans="1:16" x14ac:dyDescent="0.25">
      <c r="A399" t="s">
        <v>67</v>
      </c>
      <c r="B399" t="s">
        <v>70</v>
      </c>
      <c r="C399">
        <v>15</v>
      </c>
      <c r="D399" t="s">
        <v>134</v>
      </c>
      <c r="E399" t="s">
        <v>114</v>
      </c>
      <c r="F399" t="s">
        <v>73</v>
      </c>
      <c r="G399">
        <v>0</v>
      </c>
      <c r="H399">
        <v>0</v>
      </c>
      <c r="I399" s="5" t="str">
        <f>OutputTable[[#This Row],[ProjectName]]&amp;OutputTable[[#This Row],[Name]]&amp;OutputTable[[#This Row],[Type]]&amp;OutputTable[[#This Row],[Source]]</f>
        <v>Unnamed Projectsandblastoperator.NumberSeizedTotal Number SeizedResource</v>
      </c>
      <c r="J399" s="5">
        <f t="array" ref="J399">MAX(IF((ProjectInfoTable[ProjectName]=OutputTable[[#This Row],[ProjectName]]),(ProjectInfoTable[ProjectName]=OutputTable[[#This Row],[ProjectName]])*ProjectInfoTable[NumberOfReplications]))</f>
        <v>15</v>
      </c>
      <c r="K399" s="5">
        <f t="array" ref="K399">IFERROR(AVERAGE(IF((OutputTable[GroupByKey]=OutputTable[[#This Row],[GroupByKey]]),(OutputTable[GroupByKey]=OutputTable[[#This Row],[GroupByKey]])*OutputTable[RecordedValue])),0)</f>
        <v>0</v>
      </c>
      <c r="L399" s="5">
        <f t="array" ref="L399">IFERROR(_xlfn.STDEV.S(IF((OutputTable[GroupByKey]=OutputTable[[#This Row],[GroupByKey]]),(OutputTable[GroupByKey]=OutputTable[[#This Row],[GroupByKey]])*OutputTable[RecordedValue])),0)</f>
        <v>0</v>
      </c>
      <c r="M399" s="5">
        <f t="array" ref="M399">MAX(IF((ProjectInfoTable[ProjectName]=OutputTable[[#This Row],[ProjectName]]),(ProjectInfoTable[ProjectName]=OutputTable[[#This Row],[ProjectName]])*ProjectInfoTable[ConfidenceInterval]))</f>
        <v>0.95</v>
      </c>
      <c r="N3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99" s="5">
        <f t="array" ref="O399">MIN(IF((OutputTable[GroupByKey]=OutputTable[[#This Row],[GroupByKey]]),(OutputTable[GroupByKey]=OutputTable[[#This Row],[GroupByKey]])*OutputTable[RecordedValue]))</f>
        <v>0</v>
      </c>
      <c r="P399" s="5">
        <f t="array" ref="P399">MAX(IF((OutputTable[GroupByKey]=OutputTable[[#This Row],[GroupByKey]]),(OutputTable[GroupByKey]=OutputTable[[#This Row],[GroupByKey]])*OutputTable[RecordedValue]))</f>
        <v>0</v>
      </c>
    </row>
    <row r="400" spans="1:16" x14ac:dyDescent="0.25">
      <c r="A400" t="s">
        <v>67</v>
      </c>
      <c r="B400" t="s">
        <v>70</v>
      </c>
      <c r="C400">
        <v>15</v>
      </c>
      <c r="D400" t="s">
        <v>135</v>
      </c>
      <c r="E400" t="s">
        <v>116</v>
      </c>
      <c r="F400" t="s">
        <v>73</v>
      </c>
      <c r="G400">
        <v>0</v>
      </c>
      <c r="H400">
        <v>0</v>
      </c>
      <c r="I400" s="5" t="str">
        <f>OutputTable[[#This Row],[ProjectName]]&amp;OutputTable[[#This Row],[Name]]&amp;OutputTable[[#This Row],[Type]]&amp;OutputTable[[#This Row],[Source]]</f>
        <v>Unnamed Projectsandblastoperator.ScheduledUtilizationScheduled UtilizationResource</v>
      </c>
      <c r="J400" s="5">
        <f t="array" ref="J400">MAX(IF((ProjectInfoTable[ProjectName]=OutputTable[[#This Row],[ProjectName]]),(ProjectInfoTable[ProjectName]=OutputTable[[#This Row],[ProjectName]])*ProjectInfoTable[NumberOfReplications]))</f>
        <v>15</v>
      </c>
      <c r="K400" s="5">
        <f t="array" ref="K400">IFERROR(AVERAGE(IF((OutputTable[GroupByKey]=OutputTable[[#This Row],[GroupByKey]]),(OutputTable[GroupByKey]=OutputTable[[#This Row],[GroupByKey]])*OutputTable[RecordedValue])),0)</f>
        <v>0</v>
      </c>
      <c r="L400" s="5">
        <f t="array" ref="L400">IFERROR(_xlfn.STDEV.S(IF((OutputTable[GroupByKey]=OutputTable[[#This Row],[GroupByKey]]),(OutputTable[GroupByKey]=OutputTable[[#This Row],[GroupByKey]])*OutputTable[RecordedValue])),0)</f>
        <v>0</v>
      </c>
      <c r="M400" s="5">
        <f t="array" ref="M400">MAX(IF((ProjectInfoTable[ProjectName]=OutputTable[[#This Row],[ProjectName]]),(ProjectInfoTable[ProjectName]=OutputTable[[#This Row],[ProjectName]])*ProjectInfoTable[ConfidenceInterval]))</f>
        <v>0.95</v>
      </c>
      <c r="N4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0" s="5">
        <f t="array" ref="O400">MIN(IF((OutputTable[GroupByKey]=OutputTable[[#This Row],[GroupByKey]]),(OutputTable[GroupByKey]=OutputTable[[#This Row],[GroupByKey]])*OutputTable[RecordedValue]))</f>
        <v>0</v>
      </c>
      <c r="P400" s="5">
        <f t="array" ref="P400">MAX(IF((OutputTable[GroupByKey]=OutputTable[[#This Row],[GroupByKey]]),(OutputTable[GroupByKey]=OutputTable[[#This Row],[GroupByKey]])*OutputTable[RecordedValue]))</f>
        <v>0</v>
      </c>
    </row>
    <row r="401" spans="1:16" x14ac:dyDescent="0.25">
      <c r="A401" t="s">
        <v>67</v>
      </c>
      <c r="B401" t="s">
        <v>70</v>
      </c>
      <c r="C401">
        <v>15</v>
      </c>
      <c r="D401" t="s">
        <v>136</v>
      </c>
      <c r="E401" t="s">
        <v>120</v>
      </c>
      <c r="F401" t="s">
        <v>79</v>
      </c>
      <c r="G401">
        <v>0</v>
      </c>
      <c r="H401">
        <v>0</v>
      </c>
      <c r="I401" s="5" t="str">
        <f>OutputTable[[#This Row],[ProjectName]]&amp;OutputTable[[#This Row],[Name]]&amp;OutputTable[[#This Row],[Type]]&amp;OutputTable[[#This Row],[Source]]</f>
        <v>Unnamed Projectsteelsheet.NumberInNumber InEntity</v>
      </c>
      <c r="J401" s="5">
        <f t="array" ref="J401">MAX(IF((ProjectInfoTable[ProjectName]=OutputTable[[#This Row],[ProjectName]]),(ProjectInfoTable[ProjectName]=OutputTable[[#This Row],[ProjectName]])*ProjectInfoTable[NumberOfReplications]))</f>
        <v>15</v>
      </c>
      <c r="K401" s="5">
        <f t="array" ref="K401">IFERROR(AVERAGE(IF((OutputTable[GroupByKey]=OutputTable[[#This Row],[GroupByKey]]),(OutputTable[GroupByKey]=OutputTable[[#This Row],[GroupByKey]])*OutputTable[RecordedValue])),0)</f>
        <v>0</v>
      </c>
      <c r="L401" s="5">
        <f t="array" ref="L401">IFERROR(_xlfn.STDEV.S(IF((OutputTable[GroupByKey]=OutputTable[[#This Row],[GroupByKey]]),(OutputTable[GroupByKey]=OutputTable[[#This Row],[GroupByKey]])*OutputTable[RecordedValue])),0)</f>
        <v>0</v>
      </c>
      <c r="M401" s="5">
        <f t="array" ref="M401">MAX(IF((ProjectInfoTable[ProjectName]=OutputTable[[#This Row],[ProjectName]]),(ProjectInfoTable[ProjectName]=OutputTable[[#This Row],[ProjectName]])*ProjectInfoTable[ConfidenceInterval]))</f>
        <v>0.95</v>
      </c>
      <c r="N4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1" s="5">
        <f t="array" ref="O401">MIN(IF((OutputTable[GroupByKey]=OutputTable[[#This Row],[GroupByKey]]),(OutputTable[GroupByKey]=OutputTable[[#This Row],[GroupByKey]])*OutputTable[RecordedValue]))</f>
        <v>0</v>
      </c>
      <c r="P401" s="5">
        <f t="array" ref="P401">MAX(IF((OutputTable[GroupByKey]=OutputTable[[#This Row],[GroupByKey]]),(OutputTable[GroupByKey]=OutputTable[[#This Row],[GroupByKey]])*OutputTable[RecordedValue]))</f>
        <v>0</v>
      </c>
    </row>
    <row r="402" spans="1:16" x14ac:dyDescent="0.25">
      <c r="A402" t="s">
        <v>67</v>
      </c>
      <c r="B402" t="s">
        <v>70</v>
      </c>
      <c r="C402">
        <v>15</v>
      </c>
      <c r="D402" t="s">
        <v>137</v>
      </c>
      <c r="E402" t="s">
        <v>111</v>
      </c>
      <c r="F402" t="s">
        <v>79</v>
      </c>
      <c r="G402">
        <v>0</v>
      </c>
      <c r="H402">
        <v>0</v>
      </c>
      <c r="I402" s="5" t="str">
        <f>OutputTable[[#This Row],[ProjectName]]&amp;OutputTable[[#This Row],[Name]]&amp;OutputTable[[#This Row],[Type]]&amp;OutputTable[[#This Row],[Source]]</f>
        <v>Unnamed Projectsteelsheet.NumberOutNumber OutEntity</v>
      </c>
      <c r="J402" s="5">
        <f t="array" ref="J402">MAX(IF((ProjectInfoTable[ProjectName]=OutputTable[[#This Row],[ProjectName]]),(ProjectInfoTable[ProjectName]=OutputTable[[#This Row],[ProjectName]])*ProjectInfoTable[NumberOfReplications]))</f>
        <v>15</v>
      </c>
      <c r="K402" s="5">
        <f t="array" ref="K402">IFERROR(AVERAGE(IF((OutputTable[GroupByKey]=OutputTable[[#This Row],[GroupByKey]]),(OutputTable[GroupByKey]=OutputTable[[#This Row],[GroupByKey]])*OutputTable[RecordedValue])),0)</f>
        <v>0</v>
      </c>
      <c r="L402" s="5">
        <f t="array" ref="L402">IFERROR(_xlfn.STDEV.S(IF((OutputTable[GroupByKey]=OutputTable[[#This Row],[GroupByKey]]),(OutputTable[GroupByKey]=OutputTable[[#This Row],[GroupByKey]])*OutputTable[RecordedValue])),0)</f>
        <v>0</v>
      </c>
      <c r="M402" s="5">
        <f t="array" ref="M402">MAX(IF((ProjectInfoTable[ProjectName]=OutputTable[[#This Row],[ProjectName]]),(ProjectInfoTable[ProjectName]=OutputTable[[#This Row],[ProjectName]])*ProjectInfoTable[ConfidenceInterval]))</f>
        <v>0.95</v>
      </c>
      <c r="N4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2" s="5">
        <f t="array" ref="O402">MIN(IF((OutputTable[GroupByKey]=OutputTable[[#This Row],[GroupByKey]]),(OutputTable[GroupByKey]=OutputTable[[#This Row],[GroupByKey]])*OutputTable[RecordedValue]))</f>
        <v>0</v>
      </c>
      <c r="P402" s="5">
        <f t="array" ref="P402">MAX(IF((OutputTable[GroupByKey]=OutputTable[[#This Row],[GroupByKey]]),(OutputTable[GroupByKey]=OutputTable[[#This Row],[GroupByKey]])*OutputTable[RecordedValue]))</f>
        <v>0</v>
      </c>
    </row>
    <row r="403" spans="1:16" x14ac:dyDescent="0.25">
      <c r="A403" t="s">
        <v>67</v>
      </c>
      <c r="B403" t="s">
        <v>70</v>
      </c>
      <c r="C403">
        <v>15</v>
      </c>
      <c r="D403" t="s">
        <v>138</v>
      </c>
      <c r="E403" t="s">
        <v>114</v>
      </c>
      <c r="F403" t="s">
        <v>73</v>
      </c>
      <c r="G403">
        <v>0</v>
      </c>
      <c r="H403">
        <v>0</v>
      </c>
      <c r="I403" s="5" t="str">
        <f>OutputTable[[#This Row],[ProjectName]]&amp;OutputTable[[#This Row],[Name]]&amp;OutputTable[[#This Row],[Type]]&amp;OutputTable[[#This Row],[Source]]</f>
        <v>Unnamed Projectwelder.NumberSeizedTotal Number SeizedResource</v>
      </c>
      <c r="J403" s="5">
        <f t="array" ref="J403">MAX(IF((ProjectInfoTable[ProjectName]=OutputTable[[#This Row],[ProjectName]]),(ProjectInfoTable[ProjectName]=OutputTable[[#This Row],[ProjectName]])*ProjectInfoTable[NumberOfReplications]))</f>
        <v>15</v>
      </c>
      <c r="K403" s="5">
        <f t="array" ref="K403">IFERROR(AVERAGE(IF((OutputTable[GroupByKey]=OutputTable[[#This Row],[GroupByKey]]),(OutputTable[GroupByKey]=OutputTable[[#This Row],[GroupByKey]])*OutputTable[RecordedValue])),0)</f>
        <v>0</v>
      </c>
      <c r="L403" s="5">
        <f t="array" ref="L403">IFERROR(_xlfn.STDEV.S(IF((OutputTable[GroupByKey]=OutputTable[[#This Row],[GroupByKey]]),(OutputTable[GroupByKey]=OutputTable[[#This Row],[GroupByKey]])*OutputTable[RecordedValue])),0)</f>
        <v>0</v>
      </c>
      <c r="M403" s="5">
        <f t="array" ref="M403">MAX(IF((ProjectInfoTable[ProjectName]=OutputTable[[#This Row],[ProjectName]]),(ProjectInfoTable[ProjectName]=OutputTable[[#This Row],[ProjectName]])*ProjectInfoTable[ConfidenceInterval]))</f>
        <v>0.95</v>
      </c>
      <c r="N4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3" s="5">
        <f t="array" ref="O403">MIN(IF((OutputTable[GroupByKey]=OutputTable[[#This Row],[GroupByKey]]),(OutputTable[GroupByKey]=OutputTable[[#This Row],[GroupByKey]])*OutputTable[RecordedValue]))</f>
        <v>0</v>
      </c>
      <c r="P403" s="5">
        <f t="array" ref="P403">MAX(IF((OutputTable[GroupByKey]=OutputTable[[#This Row],[GroupByKey]]),(OutputTable[GroupByKey]=OutputTable[[#This Row],[GroupByKey]])*OutputTable[RecordedValue]))</f>
        <v>0</v>
      </c>
    </row>
    <row r="404" spans="1:16" x14ac:dyDescent="0.25">
      <c r="A404" t="s">
        <v>67</v>
      </c>
      <c r="B404" t="s">
        <v>70</v>
      </c>
      <c r="C404">
        <v>15</v>
      </c>
      <c r="D404" t="s">
        <v>139</v>
      </c>
      <c r="E404" t="s">
        <v>116</v>
      </c>
      <c r="F404" t="s">
        <v>73</v>
      </c>
      <c r="G404">
        <v>0</v>
      </c>
      <c r="H404">
        <v>0</v>
      </c>
      <c r="I404" s="5" t="str">
        <f>OutputTable[[#This Row],[ProjectName]]&amp;OutputTable[[#This Row],[Name]]&amp;OutputTable[[#This Row],[Type]]&amp;OutputTable[[#This Row],[Source]]</f>
        <v>Unnamed Projectwelder.ScheduledUtilizationScheduled UtilizationResource</v>
      </c>
      <c r="J404" s="5">
        <f t="array" ref="J404">MAX(IF((ProjectInfoTable[ProjectName]=OutputTable[[#This Row],[ProjectName]]),(ProjectInfoTable[ProjectName]=OutputTable[[#This Row],[ProjectName]])*ProjectInfoTable[NumberOfReplications]))</f>
        <v>15</v>
      </c>
      <c r="K404" s="5">
        <f t="array" ref="K404">IFERROR(AVERAGE(IF((OutputTable[GroupByKey]=OutputTable[[#This Row],[GroupByKey]]),(OutputTable[GroupByKey]=OutputTable[[#This Row],[GroupByKey]])*OutputTable[RecordedValue])),0)</f>
        <v>0</v>
      </c>
      <c r="L404" s="5">
        <f t="array" ref="L404">IFERROR(_xlfn.STDEV.S(IF((OutputTable[GroupByKey]=OutputTable[[#This Row],[GroupByKey]]),(OutputTable[GroupByKey]=OutputTable[[#This Row],[GroupByKey]])*OutputTable[RecordedValue])),0)</f>
        <v>0</v>
      </c>
      <c r="M404" s="5">
        <f t="array" ref="M404">MAX(IF((ProjectInfoTable[ProjectName]=OutputTable[[#This Row],[ProjectName]]),(ProjectInfoTable[ProjectName]=OutputTable[[#This Row],[ProjectName]])*ProjectInfoTable[ConfidenceInterval]))</f>
        <v>0.95</v>
      </c>
      <c r="N4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4" s="5">
        <f t="array" ref="O404">MIN(IF((OutputTable[GroupByKey]=OutputTable[[#This Row],[GroupByKey]]),(OutputTable[GroupByKey]=OutputTable[[#This Row],[GroupByKey]])*OutputTable[RecordedValue]))</f>
        <v>0</v>
      </c>
      <c r="P404" s="5">
        <f t="array" ref="P404">MAX(IF((OutputTable[GroupByKey]=OutputTable[[#This Row],[GroupByKey]]),(OutputTable[GroupByKey]=OutputTable[[#This Row],[GroupByKey]])*OutputTable[RecordedValue]))</f>
        <v>0</v>
      </c>
    </row>
    <row r="405" spans="1:16" x14ac:dyDescent="0.25">
      <c r="A405" t="s">
        <v>67</v>
      </c>
      <c r="B405" t="s">
        <v>70</v>
      </c>
      <c r="C405">
        <v>15</v>
      </c>
      <c r="D405" t="s">
        <v>140</v>
      </c>
      <c r="E405" t="s">
        <v>114</v>
      </c>
      <c r="F405" t="s">
        <v>73</v>
      </c>
      <c r="G405">
        <v>0</v>
      </c>
      <c r="H405">
        <v>0</v>
      </c>
      <c r="I405" s="5" t="str">
        <f>OutputTable[[#This Row],[ProjectName]]&amp;OutputTable[[#This Row],[Name]]&amp;OutputTable[[#This Row],[Type]]&amp;OutputTable[[#This Row],[Source]]</f>
        <v>Unnamed Projectweldingqcworker.NumberSeizedTotal Number SeizedResource</v>
      </c>
      <c r="J405" s="5">
        <f t="array" ref="J405">MAX(IF((ProjectInfoTable[ProjectName]=OutputTable[[#This Row],[ProjectName]]),(ProjectInfoTable[ProjectName]=OutputTable[[#This Row],[ProjectName]])*ProjectInfoTable[NumberOfReplications]))</f>
        <v>15</v>
      </c>
      <c r="K405" s="5">
        <f t="array" ref="K405">IFERROR(AVERAGE(IF((OutputTable[GroupByKey]=OutputTable[[#This Row],[GroupByKey]]),(OutputTable[GroupByKey]=OutputTable[[#This Row],[GroupByKey]])*OutputTable[RecordedValue])),0)</f>
        <v>0</v>
      </c>
      <c r="L405" s="5">
        <f t="array" ref="L405">IFERROR(_xlfn.STDEV.S(IF((OutputTable[GroupByKey]=OutputTable[[#This Row],[GroupByKey]]),(OutputTable[GroupByKey]=OutputTable[[#This Row],[GroupByKey]])*OutputTable[RecordedValue])),0)</f>
        <v>0</v>
      </c>
      <c r="M405" s="5">
        <f t="array" ref="M405">MAX(IF((ProjectInfoTable[ProjectName]=OutputTable[[#This Row],[ProjectName]]),(ProjectInfoTable[ProjectName]=OutputTable[[#This Row],[ProjectName]])*ProjectInfoTable[ConfidenceInterval]))</f>
        <v>0.95</v>
      </c>
      <c r="N4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5" s="5">
        <f t="array" ref="O405">MIN(IF((OutputTable[GroupByKey]=OutputTable[[#This Row],[GroupByKey]]),(OutputTable[GroupByKey]=OutputTable[[#This Row],[GroupByKey]])*OutputTable[RecordedValue]))</f>
        <v>0</v>
      </c>
      <c r="P405" s="5">
        <f t="array" ref="P405">MAX(IF((OutputTable[GroupByKey]=OutputTable[[#This Row],[GroupByKey]]),(OutputTable[GroupByKey]=OutputTable[[#This Row],[GroupByKey]])*OutputTable[RecordedValue]))</f>
        <v>0</v>
      </c>
    </row>
    <row r="406" spans="1:16" x14ac:dyDescent="0.25">
      <c r="A406" t="s">
        <v>67</v>
      </c>
      <c r="B406" t="s">
        <v>70</v>
      </c>
      <c r="C406">
        <v>15</v>
      </c>
      <c r="D406" t="s">
        <v>141</v>
      </c>
      <c r="E406" t="s">
        <v>116</v>
      </c>
      <c r="F406" t="s">
        <v>73</v>
      </c>
      <c r="G406">
        <v>0</v>
      </c>
      <c r="H406">
        <v>0</v>
      </c>
      <c r="I406" s="5" t="str">
        <f>OutputTable[[#This Row],[ProjectName]]&amp;OutputTable[[#This Row],[Name]]&amp;OutputTable[[#This Row],[Type]]&amp;OutputTable[[#This Row],[Source]]</f>
        <v>Unnamed Projectweldingqcworker.ScheduledUtilizationScheduled UtilizationResource</v>
      </c>
      <c r="J406" s="5">
        <f t="array" ref="J406">MAX(IF((ProjectInfoTable[ProjectName]=OutputTable[[#This Row],[ProjectName]]),(ProjectInfoTable[ProjectName]=OutputTable[[#This Row],[ProjectName]])*ProjectInfoTable[NumberOfReplications]))</f>
        <v>15</v>
      </c>
      <c r="K406" s="5">
        <f t="array" ref="K406">IFERROR(AVERAGE(IF((OutputTable[GroupByKey]=OutputTable[[#This Row],[GroupByKey]]),(OutputTable[GroupByKey]=OutputTable[[#This Row],[GroupByKey]])*OutputTable[RecordedValue])),0)</f>
        <v>0</v>
      </c>
      <c r="L406" s="5">
        <f t="array" ref="L406">IFERROR(_xlfn.STDEV.S(IF((OutputTable[GroupByKey]=OutputTable[[#This Row],[GroupByKey]]),(OutputTable[GroupByKey]=OutputTable[[#This Row],[GroupByKey]])*OutputTable[RecordedValue])),0)</f>
        <v>0</v>
      </c>
      <c r="M406" s="5">
        <f t="array" ref="M406">MAX(IF((ProjectInfoTable[ProjectName]=OutputTable[[#This Row],[ProjectName]]),(ProjectInfoTable[ProjectName]=OutputTable[[#This Row],[ProjectName]])*ProjectInfoTable[ConfidenceInterval]))</f>
        <v>0.95</v>
      </c>
      <c r="N4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06" s="5">
        <f t="array" ref="O406">MIN(IF((OutputTable[GroupByKey]=OutputTable[[#This Row],[GroupByKey]]),(OutputTable[GroupByKey]=OutputTable[[#This Row],[GroupByKey]])*OutputTable[RecordedValue]))</f>
        <v>0</v>
      </c>
      <c r="P406" s="5">
        <f t="array" ref="P406">MAX(IF((OutputTable[GroupByKey]=OutputTable[[#This Row],[GroupByKey]]),(OutputTable[GroupByKey]=OutputTable[[#This Row],[GroupByKey]])*OutputTable[RecordedValue]))</f>
        <v>0</v>
      </c>
    </row>
  </sheetData>
  <phoneticPr fontId="2" type="noConversion"/>
  <conditionalFormatting sqref="I2:P406">
    <cfRule type="expression" dxfId="14" priority="2">
      <formula>MOD(ROW(),2)=0</formula>
    </cfRule>
  </conditionalFormatting>
  <conditionalFormatting sqref="N2:N406">
    <cfRule type="expression" dxfId="13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1"/>
  <sheetViews>
    <sheetView workbookViewId="0">
      <selection activeCell="A2" sqref="A2"/>
    </sheetView>
  </sheetViews>
  <sheetFormatPr defaultRowHeight="15" x14ac:dyDescent="0.25"/>
  <cols>
    <col min="1" max="1" width="14.85546875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68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4" priority="3">
      <formula>MOD(ROW(),2)=0</formula>
    </cfRule>
  </conditionalFormatting>
  <conditionalFormatting sqref="H2">
    <cfRule type="expression" dxfId="3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RePack by Diakov</cp:lastModifiedBy>
  <cp:lastPrinted>2022-03-22T10:33:10Z</cp:lastPrinted>
  <dcterms:created xsi:type="dcterms:W3CDTF">2020-06-29T21:30:31Z</dcterms:created>
  <dcterms:modified xsi:type="dcterms:W3CDTF">2026-10-10T15:38:43Z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